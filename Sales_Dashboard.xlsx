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hidePivotFieldList="1" defaultThemeVersion="166925"/>
  <mc:AlternateContent xmlns:mc="http://schemas.openxmlformats.org/markup-compatibility/2006">
    <mc:Choice Requires="x15">
      <x15ac:absPath xmlns:x15ac="http://schemas.microsoft.com/office/spreadsheetml/2010/11/ac" url="/Users/harishthota/Downloads/"/>
    </mc:Choice>
  </mc:AlternateContent>
  <xr:revisionPtr revIDLastSave="0" documentId="8_{A5D0DB8B-4EEA-A742-85BB-C70169906BC8}" xr6:coauthVersionLast="47" xr6:coauthVersionMax="47" xr10:uidLastSave="{00000000-0000-0000-0000-000000000000}"/>
  <bookViews>
    <workbookView xWindow="0" yWindow="760" windowWidth="30240" windowHeight="17680" activeTab="9" xr2:uid="{04CD5780-832A-4A57-BB58-F4E674AEBE20}"/>
  </bookViews>
  <sheets>
    <sheet name="Sales_1" sheetId="20" r:id="rId1"/>
    <sheet name="Detail2" sheetId="16" state="hidden" r:id="rId2"/>
    <sheet name="Detail4" sheetId="18" state="hidden" r:id="rId3"/>
    <sheet name="Detail6" sheetId="27" state="hidden" r:id="rId4"/>
    <sheet name="Detail7" sheetId="28" state="hidden" r:id="rId5"/>
    <sheet name="Detail8" sheetId="29" state="hidden" r:id="rId6"/>
    <sheet name="Detail9" sheetId="30" state="hidden" r:id="rId7"/>
    <sheet name="Detail10" sheetId="32" state="hidden" r:id="rId8"/>
    <sheet name="Customers" sheetId="8" r:id="rId9"/>
    <sheet name="Sales_Cleaned_Data" sheetId="22" r:id="rId10"/>
    <sheet name="Pivot_Tables" sheetId="23" r:id="rId11"/>
    <sheet name="Dashboard" sheetId="14" r:id="rId12"/>
    <sheet name="Detail12" sheetId="35" state="hidden" r:id="rId13"/>
    <sheet name="Grad_Careers_Services" sheetId="7" state="hidden" r:id="rId14"/>
  </sheets>
  <definedNames>
    <definedName name="ExternalData_2" localSheetId="0" hidden="1">Sales_1!$A$1:$N$1001</definedName>
    <definedName name="ExternalData_4" localSheetId="9" hidden="1">Sales_Cleaned_Data!$A$1:$AA$1005</definedName>
    <definedName name="Slicer_Months__Order_Date">#N/A</definedName>
    <definedName name="Slicer_State">#N/A</definedName>
  </definedNames>
  <calcPr calcId="191028"/>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8" i="14" l="1"/>
  <c r="U16" i="14"/>
  <c r="U14" i="14"/>
  <c r="C2" i="22"/>
  <c r="C3" i="22"/>
  <c r="C4" i="22"/>
  <c r="C5" i="22"/>
  <c r="C6" i="22"/>
  <c r="C7" i="22"/>
  <c r="C8" i="22"/>
  <c r="C9" i="22"/>
  <c r="C10" i="22"/>
  <c r="C11" i="22"/>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C197" i="22"/>
  <c r="C198" i="22"/>
  <c r="C199" i="22"/>
  <c r="C200" i="22"/>
  <c r="C201" i="22"/>
  <c r="C202" i="22"/>
  <c r="C203" i="22"/>
  <c r="C204" i="22"/>
  <c r="C205" i="22"/>
  <c r="C206" i="22"/>
  <c r="C207" i="22"/>
  <c r="C208" i="22"/>
  <c r="C209" i="22"/>
  <c r="C210" i="22"/>
  <c r="C211" i="22"/>
  <c r="C212" i="22"/>
  <c r="C213" i="22"/>
  <c r="C214" i="22"/>
  <c r="C215" i="22"/>
  <c r="C216" i="22"/>
  <c r="C217" i="22"/>
  <c r="C218" i="22"/>
  <c r="C219" i="22"/>
  <c r="C220" i="22"/>
  <c r="C221" i="22"/>
  <c r="C222" i="22"/>
  <c r="C223" i="22"/>
  <c r="C224" i="22"/>
  <c r="C225" i="22"/>
  <c r="C226" i="22"/>
  <c r="C227" i="22"/>
  <c r="C228" i="22"/>
  <c r="C229" i="22"/>
  <c r="C230" i="22"/>
  <c r="C231" i="22"/>
  <c r="C232" i="22"/>
  <c r="C233" i="22"/>
  <c r="C234" i="22"/>
  <c r="C235" i="22"/>
  <c r="C236" i="22"/>
  <c r="C237" i="22"/>
  <c r="C238" i="22"/>
  <c r="C239" i="22"/>
  <c r="C240" i="22"/>
  <c r="C241" i="22"/>
  <c r="C242" i="22"/>
  <c r="C243" i="22"/>
  <c r="C244" i="22"/>
  <c r="C245" i="22"/>
  <c r="C246" i="22"/>
  <c r="C247" i="22"/>
  <c r="C248" i="22"/>
  <c r="C249" i="22"/>
  <c r="C250" i="22"/>
  <c r="C251" i="22"/>
  <c r="C252" i="22"/>
  <c r="C253" i="22"/>
  <c r="C254" i="22"/>
  <c r="C255" i="22"/>
  <c r="C256" i="22"/>
  <c r="C257" i="22"/>
  <c r="C258" i="22"/>
  <c r="C259" i="22"/>
  <c r="C260" i="22"/>
  <c r="C261" i="22"/>
  <c r="C262" i="22"/>
  <c r="C263" i="22"/>
  <c r="C264" i="22"/>
  <c r="C265" i="22"/>
  <c r="C266" i="22"/>
  <c r="C267" i="22"/>
  <c r="C268" i="22"/>
  <c r="C269" i="22"/>
  <c r="C270" i="22"/>
  <c r="C271" i="22"/>
  <c r="C272" i="22"/>
  <c r="C273" i="22"/>
  <c r="C274" i="22"/>
  <c r="C275" i="22"/>
  <c r="C276" i="22"/>
  <c r="C277" i="22"/>
  <c r="C278" i="22"/>
  <c r="C279" i="22"/>
  <c r="C280" i="22"/>
  <c r="C281" i="22"/>
  <c r="C282" i="22"/>
  <c r="C283" i="22"/>
  <c r="C284" i="22"/>
  <c r="C285" i="22"/>
  <c r="C286" i="22"/>
  <c r="C287" i="22"/>
  <c r="C288" i="22"/>
  <c r="C289" i="22"/>
  <c r="C290" i="22"/>
  <c r="C291" i="22"/>
  <c r="C292" i="22"/>
  <c r="C293" i="22"/>
  <c r="C294" i="22"/>
  <c r="C295" i="22"/>
  <c r="C296" i="22"/>
  <c r="C297" i="22"/>
  <c r="C298" i="22"/>
  <c r="C299" i="22"/>
  <c r="C300" i="22"/>
  <c r="C301" i="22"/>
  <c r="C302" i="22"/>
  <c r="C303" i="22"/>
  <c r="C304" i="22"/>
  <c r="C305" i="22"/>
  <c r="C306" i="22"/>
  <c r="C307" i="22"/>
  <c r="C308" i="22"/>
  <c r="C309" i="22"/>
  <c r="C310" i="22"/>
  <c r="C311" i="22"/>
  <c r="C312" i="22"/>
  <c r="C313" i="22"/>
  <c r="C314" i="22"/>
  <c r="C315" i="22"/>
  <c r="C316" i="22"/>
  <c r="C317" i="22"/>
  <c r="C318" i="22"/>
  <c r="C319" i="22"/>
  <c r="C320" i="22"/>
  <c r="C321" i="22"/>
  <c r="C322" i="22"/>
  <c r="C323" i="22"/>
  <c r="C324" i="22"/>
  <c r="C325" i="22"/>
  <c r="C326" i="22"/>
  <c r="C327" i="22"/>
  <c r="C328" i="22"/>
  <c r="C329" i="22"/>
  <c r="C330" i="22"/>
  <c r="C331" i="22"/>
  <c r="C332" i="22"/>
  <c r="C333" i="22"/>
  <c r="C334" i="22"/>
  <c r="C335" i="22"/>
  <c r="C336" i="22"/>
  <c r="C337" i="22"/>
  <c r="C338" i="22"/>
  <c r="C339" i="22"/>
  <c r="C340" i="22"/>
  <c r="C341" i="22"/>
  <c r="C342" i="22"/>
  <c r="C343" i="22"/>
  <c r="C344" i="22"/>
  <c r="C345" i="22"/>
  <c r="C346" i="22"/>
  <c r="C347" i="22"/>
  <c r="C348" i="22"/>
  <c r="C349" i="22"/>
  <c r="C350" i="22"/>
  <c r="C351" i="22"/>
  <c r="C352" i="22"/>
  <c r="C353" i="22"/>
  <c r="C354" i="22"/>
  <c r="C355" i="22"/>
  <c r="C356" i="22"/>
  <c r="C357" i="22"/>
  <c r="C358" i="22"/>
  <c r="C359" i="22"/>
  <c r="C360" i="22"/>
  <c r="C361" i="22"/>
  <c r="C362" i="22"/>
  <c r="C363" i="22"/>
  <c r="C364" i="22"/>
  <c r="C365" i="22"/>
  <c r="C366" i="22"/>
  <c r="C367" i="22"/>
  <c r="C368" i="22"/>
  <c r="C369" i="22"/>
  <c r="C370" i="22"/>
  <c r="C371" i="22"/>
  <c r="C372" i="22"/>
  <c r="C373" i="22"/>
  <c r="C374" i="22"/>
  <c r="C375" i="22"/>
  <c r="C376" i="22"/>
  <c r="C377" i="22"/>
  <c r="C378" i="22"/>
  <c r="C379" i="22"/>
  <c r="C380" i="22"/>
  <c r="C381" i="22"/>
  <c r="C382" i="22"/>
  <c r="C383" i="22"/>
  <c r="C384" i="22"/>
  <c r="C385" i="22"/>
  <c r="C386" i="22"/>
  <c r="C387" i="22"/>
  <c r="C388" i="22"/>
  <c r="C389" i="22"/>
  <c r="C390" i="22"/>
  <c r="C391" i="22"/>
  <c r="C392" i="22"/>
  <c r="C393" i="22"/>
  <c r="C394" i="22"/>
  <c r="C395" i="22"/>
  <c r="C396" i="22"/>
  <c r="C397" i="22"/>
  <c r="C398" i="22"/>
  <c r="C399" i="22"/>
  <c r="C400" i="22"/>
  <c r="C401" i="22"/>
  <c r="C402" i="22"/>
  <c r="C403" i="22"/>
  <c r="C404" i="22"/>
  <c r="C405" i="22"/>
  <c r="C406" i="22"/>
  <c r="C407" i="22"/>
  <c r="C408" i="22"/>
  <c r="C409" i="22"/>
  <c r="C410" i="22"/>
  <c r="C411" i="22"/>
  <c r="C412" i="22"/>
  <c r="C413" i="22"/>
  <c r="C414" i="22"/>
  <c r="C415" i="22"/>
  <c r="C416" i="22"/>
  <c r="C417" i="22"/>
  <c r="C418" i="22"/>
  <c r="C419" i="22"/>
  <c r="C420" i="22"/>
  <c r="C421" i="22"/>
  <c r="C422" i="22"/>
  <c r="C423" i="22"/>
  <c r="C424" i="22"/>
  <c r="C425" i="22"/>
  <c r="C426" i="22"/>
  <c r="C427" i="22"/>
  <c r="C428" i="22"/>
  <c r="C429" i="22"/>
  <c r="C430" i="22"/>
  <c r="C431" i="22"/>
  <c r="C432" i="22"/>
  <c r="C433" i="22"/>
  <c r="C434" i="22"/>
  <c r="C435" i="22"/>
  <c r="C436" i="22"/>
  <c r="C437" i="22"/>
  <c r="C438" i="22"/>
  <c r="C439" i="22"/>
  <c r="C440" i="22"/>
  <c r="C441" i="22"/>
  <c r="C442" i="22"/>
  <c r="C443" i="22"/>
  <c r="C444" i="22"/>
  <c r="C445" i="22"/>
  <c r="C446" i="22"/>
  <c r="C447" i="22"/>
  <c r="C448" i="22"/>
  <c r="C449" i="22"/>
  <c r="C450" i="22"/>
  <c r="C451" i="22"/>
  <c r="C452" i="22"/>
  <c r="C453" i="22"/>
  <c r="C454" i="22"/>
  <c r="C455" i="22"/>
  <c r="C456" i="22"/>
  <c r="C457" i="22"/>
  <c r="C458" i="22"/>
  <c r="C459" i="22"/>
  <c r="C460" i="22"/>
  <c r="C461" i="22"/>
  <c r="C462" i="22"/>
  <c r="C463" i="22"/>
  <c r="C464" i="22"/>
  <c r="C465" i="22"/>
  <c r="C466" i="22"/>
  <c r="C467" i="22"/>
  <c r="C468" i="22"/>
  <c r="C469" i="22"/>
  <c r="C470" i="22"/>
  <c r="C471" i="22"/>
  <c r="C472" i="22"/>
  <c r="C473" i="22"/>
  <c r="C474" i="22"/>
  <c r="C475" i="22"/>
  <c r="C476" i="22"/>
  <c r="C477" i="22"/>
  <c r="C478" i="22"/>
  <c r="C479" i="22"/>
  <c r="C480" i="22"/>
  <c r="C481" i="22"/>
  <c r="C482" i="22"/>
  <c r="C483" i="22"/>
  <c r="C484" i="22"/>
  <c r="C485" i="22"/>
  <c r="C486" i="22"/>
  <c r="C487" i="22"/>
  <c r="C488" i="22"/>
  <c r="C489" i="22"/>
  <c r="C490" i="22"/>
  <c r="C491" i="22"/>
  <c r="C492" i="22"/>
  <c r="C493" i="22"/>
  <c r="C494" i="22"/>
  <c r="C495" i="22"/>
  <c r="C496" i="22"/>
  <c r="C497" i="22"/>
  <c r="C498" i="22"/>
  <c r="C499" i="22"/>
  <c r="C500" i="22"/>
  <c r="C501" i="22"/>
  <c r="C502" i="22"/>
  <c r="C503" i="22"/>
  <c r="C504" i="22"/>
  <c r="C505" i="22"/>
  <c r="C506" i="22"/>
  <c r="C507" i="22"/>
  <c r="C508" i="22"/>
  <c r="C509" i="22"/>
  <c r="C510" i="22"/>
  <c r="C511" i="22"/>
  <c r="C512" i="22"/>
  <c r="C513" i="22"/>
  <c r="C514" i="22"/>
  <c r="C515" i="22"/>
  <c r="C516" i="22"/>
  <c r="C517" i="22"/>
  <c r="C518" i="22"/>
  <c r="C519" i="22"/>
  <c r="C520" i="22"/>
  <c r="C521" i="22"/>
  <c r="C522" i="22"/>
  <c r="C523" i="22"/>
  <c r="C524" i="22"/>
  <c r="C525" i="22"/>
  <c r="C526" i="22"/>
  <c r="C527" i="22"/>
  <c r="C528" i="22"/>
  <c r="C529" i="22"/>
  <c r="C530" i="22"/>
  <c r="C531" i="22"/>
  <c r="C532" i="22"/>
  <c r="C533" i="22"/>
  <c r="C534" i="22"/>
  <c r="C535" i="22"/>
  <c r="C536" i="22"/>
  <c r="C537" i="22"/>
  <c r="C538" i="22"/>
  <c r="C539" i="22"/>
  <c r="C540" i="22"/>
  <c r="C541" i="22"/>
  <c r="C542" i="22"/>
  <c r="C543" i="22"/>
  <c r="C544" i="22"/>
  <c r="C545" i="22"/>
  <c r="C546" i="22"/>
  <c r="C547" i="22"/>
  <c r="C548" i="22"/>
  <c r="C549" i="22"/>
  <c r="C550" i="22"/>
  <c r="C551" i="22"/>
  <c r="C552" i="22"/>
  <c r="C553" i="22"/>
  <c r="C554" i="22"/>
  <c r="C555" i="22"/>
  <c r="C556" i="22"/>
  <c r="C557" i="22"/>
  <c r="C558" i="22"/>
  <c r="C559" i="22"/>
  <c r="C560" i="22"/>
  <c r="C561" i="22"/>
  <c r="C562" i="22"/>
  <c r="C563" i="22"/>
  <c r="C564" i="22"/>
  <c r="C565" i="22"/>
  <c r="C566" i="22"/>
  <c r="C567" i="22"/>
  <c r="C568" i="22"/>
  <c r="C569" i="22"/>
  <c r="C570" i="22"/>
  <c r="C571" i="22"/>
  <c r="C572" i="22"/>
  <c r="C573" i="22"/>
  <c r="C574" i="22"/>
  <c r="C575" i="22"/>
  <c r="C576" i="22"/>
  <c r="C577" i="22"/>
  <c r="C578" i="22"/>
  <c r="C579" i="22"/>
  <c r="C580" i="22"/>
  <c r="C581" i="22"/>
  <c r="C582" i="22"/>
  <c r="C583" i="22"/>
  <c r="C584" i="22"/>
  <c r="C585" i="22"/>
  <c r="C586" i="22"/>
  <c r="C587" i="22"/>
  <c r="C588" i="22"/>
  <c r="C589" i="22"/>
  <c r="C590" i="22"/>
  <c r="C591" i="22"/>
  <c r="C592" i="22"/>
  <c r="C593" i="22"/>
  <c r="C594" i="22"/>
  <c r="C595" i="22"/>
  <c r="C596" i="22"/>
  <c r="C597" i="22"/>
  <c r="C598" i="22"/>
  <c r="C599" i="22"/>
  <c r="C600" i="22"/>
  <c r="C601" i="22"/>
  <c r="C602" i="22"/>
  <c r="C603" i="22"/>
  <c r="C604" i="22"/>
  <c r="C605" i="22"/>
  <c r="C606" i="22"/>
  <c r="C607" i="22"/>
  <c r="C608" i="22"/>
  <c r="C609" i="22"/>
  <c r="C610" i="22"/>
  <c r="C611" i="22"/>
  <c r="C612" i="22"/>
  <c r="C613" i="22"/>
  <c r="C614" i="22"/>
  <c r="C615" i="22"/>
  <c r="C616" i="22"/>
  <c r="C617" i="22"/>
  <c r="C618" i="22"/>
  <c r="C619" i="22"/>
  <c r="C620" i="22"/>
  <c r="C621" i="22"/>
  <c r="C622" i="22"/>
  <c r="C623" i="22"/>
  <c r="C624" i="22"/>
  <c r="C625" i="22"/>
  <c r="C626" i="22"/>
  <c r="C627" i="22"/>
  <c r="C628" i="22"/>
  <c r="C629" i="22"/>
  <c r="C630" i="22"/>
  <c r="C631" i="22"/>
  <c r="C632" i="22"/>
  <c r="C633" i="22"/>
  <c r="C634" i="22"/>
  <c r="C635" i="22"/>
  <c r="C636" i="22"/>
  <c r="C637" i="22"/>
  <c r="C638" i="22"/>
  <c r="C639" i="22"/>
  <c r="C640" i="22"/>
  <c r="C641" i="22"/>
  <c r="C642" i="22"/>
  <c r="C643" i="22"/>
  <c r="C644" i="22"/>
  <c r="C645" i="22"/>
  <c r="C646" i="22"/>
  <c r="C647" i="22"/>
  <c r="C648" i="22"/>
  <c r="C649" i="22"/>
  <c r="C650" i="22"/>
  <c r="C651" i="22"/>
  <c r="C652" i="22"/>
  <c r="C653" i="22"/>
  <c r="C654" i="22"/>
  <c r="C655" i="22"/>
  <c r="C656" i="22"/>
  <c r="C657" i="22"/>
  <c r="C658" i="22"/>
  <c r="C659" i="22"/>
  <c r="C660" i="22"/>
  <c r="C661" i="22"/>
  <c r="C662" i="22"/>
  <c r="C663" i="22"/>
  <c r="C664" i="22"/>
  <c r="C665" i="22"/>
  <c r="C666" i="22"/>
  <c r="C667" i="22"/>
  <c r="C668" i="22"/>
  <c r="C669" i="22"/>
  <c r="C670" i="22"/>
  <c r="C671" i="22"/>
  <c r="C672" i="22"/>
  <c r="C673" i="22"/>
  <c r="C674" i="22"/>
  <c r="C675" i="22"/>
  <c r="C676" i="22"/>
  <c r="C677" i="22"/>
  <c r="C678" i="22"/>
  <c r="C679" i="22"/>
  <c r="C680" i="22"/>
  <c r="C681" i="22"/>
  <c r="C682" i="22"/>
  <c r="C683" i="22"/>
  <c r="C684" i="22"/>
  <c r="C685" i="22"/>
  <c r="C686" i="22"/>
  <c r="C687" i="22"/>
  <c r="C688" i="22"/>
  <c r="C689" i="22"/>
  <c r="C690" i="22"/>
  <c r="C691" i="22"/>
  <c r="C692" i="22"/>
  <c r="C693" i="22"/>
  <c r="C694" i="22"/>
  <c r="C695" i="22"/>
  <c r="C696" i="22"/>
  <c r="C697" i="22"/>
  <c r="C698" i="22"/>
  <c r="C699" i="22"/>
  <c r="C700" i="22"/>
  <c r="C701" i="22"/>
  <c r="C702" i="22"/>
  <c r="C703" i="22"/>
  <c r="C704" i="22"/>
  <c r="C705" i="22"/>
  <c r="C706" i="22"/>
  <c r="C707" i="22"/>
  <c r="C708" i="22"/>
  <c r="C709" i="22"/>
  <c r="C710" i="22"/>
  <c r="C711" i="22"/>
  <c r="C712" i="22"/>
  <c r="C713" i="22"/>
  <c r="C714" i="22"/>
  <c r="C715" i="22"/>
  <c r="C716" i="22"/>
  <c r="C717" i="22"/>
  <c r="C718" i="22"/>
  <c r="C719" i="22"/>
  <c r="C720" i="22"/>
  <c r="C721" i="22"/>
  <c r="C722" i="22"/>
  <c r="C723" i="22"/>
  <c r="C724" i="22"/>
  <c r="C725" i="22"/>
  <c r="C726" i="22"/>
  <c r="C727" i="22"/>
  <c r="C728" i="22"/>
  <c r="C729" i="22"/>
  <c r="C730" i="22"/>
  <c r="C731" i="22"/>
  <c r="C732" i="22"/>
  <c r="C733" i="22"/>
  <c r="C734" i="22"/>
  <c r="C735" i="22"/>
  <c r="C736" i="22"/>
  <c r="C737" i="22"/>
  <c r="C738" i="22"/>
  <c r="C739" i="22"/>
  <c r="C740" i="22"/>
  <c r="C741" i="22"/>
  <c r="C742" i="22"/>
  <c r="C743" i="22"/>
  <c r="C744" i="22"/>
  <c r="C745" i="22"/>
  <c r="C746" i="22"/>
  <c r="C747" i="22"/>
  <c r="C748" i="22"/>
  <c r="C749" i="22"/>
  <c r="C750" i="22"/>
  <c r="C751" i="22"/>
  <c r="C752" i="22"/>
  <c r="C753" i="22"/>
  <c r="C754" i="22"/>
  <c r="C755" i="22"/>
  <c r="C756" i="22"/>
  <c r="C757" i="22"/>
  <c r="C758" i="22"/>
  <c r="C759" i="22"/>
  <c r="C760" i="22"/>
  <c r="C761" i="22"/>
  <c r="C762" i="22"/>
  <c r="C763" i="22"/>
  <c r="C764" i="22"/>
  <c r="C765" i="22"/>
  <c r="C766" i="22"/>
  <c r="C767" i="22"/>
  <c r="C768" i="22"/>
  <c r="C769" i="22"/>
  <c r="C770" i="22"/>
  <c r="C771" i="22"/>
  <c r="C772" i="22"/>
  <c r="C773" i="22"/>
  <c r="C774" i="22"/>
  <c r="C775" i="22"/>
  <c r="C776" i="22"/>
  <c r="C777" i="22"/>
  <c r="C778" i="22"/>
  <c r="C779" i="22"/>
  <c r="C780" i="22"/>
  <c r="C781" i="22"/>
  <c r="C782" i="22"/>
  <c r="C783" i="22"/>
  <c r="C784" i="22"/>
  <c r="C785" i="22"/>
  <c r="C786" i="22"/>
  <c r="C787" i="22"/>
  <c r="C788" i="22"/>
  <c r="C789" i="22"/>
  <c r="C790" i="22"/>
  <c r="C791" i="22"/>
  <c r="C792" i="22"/>
  <c r="C793" i="22"/>
  <c r="C794" i="22"/>
  <c r="C795" i="22"/>
  <c r="C796" i="22"/>
  <c r="C797" i="22"/>
  <c r="C798" i="22"/>
  <c r="C799" i="22"/>
  <c r="C800" i="22"/>
  <c r="C801" i="22"/>
  <c r="C802" i="22"/>
  <c r="C803" i="22"/>
  <c r="C804" i="22"/>
  <c r="C805" i="22"/>
  <c r="C806" i="22"/>
  <c r="C807" i="22"/>
  <c r="C808" i="22"/>
  <c r="C809" i="22"/>
  <c r="C810" i="22"/>
  <c r="C811" i="22"/>
  <c r="C812" i="22"/>
  <c r="C813" i="22"/>
  <c r="C814" i="22"/>
  <c r="C815" i="22"/>
  <c r="C816" i="22"/>
  <c r="C817" i="22"/>
  <c r="C818" i="22"/>
  <c r="C819" i="22"/>
  <c r="C820" i="22"/>
  <c r="C821" i="22"/>
  <c r="C822" i="22"/>
  <c r="C823" i="22"/>
  <c r="C824" i="22"/>
  <c r="C825" i="22"/>
  <c r="C826" i="22"/>
  <c r="C827" i="22"/>
  <c r="C828" i="22"/>
  <c r="C829" i="22"/>
  <c r="C830" i="22"/>
  <c r="C831" i="22"/>
  <c r="C832" i="22"/>
  <c r="C833" i="22"/>
  <c r="C834" i="22"/>
  <c r="C835" i="22"/>
  <c r="C836" i="22"/>
  <c r="C837" i="22"/>
  <c r="C838" i="22"/>
  <c r="C839" i="22"/>
  <c r="C840" i="22"/>
  <c r="C841" i="22"/>
  <c r="C842" i="22"/>
  <c r="C843" i="22"/>
  <c r="C844" i="22"/>
  <c r="C845" i="22"/>
  <c r="C846" i="22"/>
  <c r="C847" i="22"/>
  <c r="C848" i="22"/>
  <c r="C849" i="22"/>
  <c r="C850" i="22"/>
  <c r="C851" i="22"/>
  <c r="C852" i="22"/>
  <c r="C853" i="22"/>
  <c r="C854" i="22"/>
  <c r="C855" i="22"/>
  <c r="C856" i="22"/>
  <c r="C857" i="22"/>
  <c r="C858" i="22"/>
  <c r="C859" i="22"/>
  <c r="C860" i="22"/>
  <c r="C861" i="22"/>
  <c r="C862" i="22"/>
  <c r="C863" i="22"/>
  <c r="C864" i="22"/>
  <c r="C865" i="22"/>
  <c r="C866" i="22"/>
  <c r="C867" i="22"/>
  <c r="C868" i="22"/>
  <c r="C869" i="22"/>
  <c r="C870" i="22"/>
  <c r="C871" i="22"/>
  <c r="C872" i="22"/>
  <c r="C873" i="22"/>
  <c r="C874" i="22"/>
  <c r="C875" i="22"/>
  <c r="C876" i="22"/>
  <c r="C877" i="22"/>
  <c r="C878" i="22"/>
  <c r="C879" i="22"/>
  <c r="C880" i="22"/>
  <c r="C881" i="22"/>
  <c r="C882" i="22"/>
  <c r="C883" i="22"/>
  <c r="C884" i="22"/>
  <c r="C885" i="22"/>
  <c r="C886" i="22"/>
  <c r="C887" i="22"/>
  <c r="C888" i="22"/>
  <c r="C889" i="22"/>
  <c r="C890" i="22"/>
  <c r="C891" i="22"/>
  <c r="C892" i="22"/>
  <c r="C893" i="22"/>
  <c r="C894" i="22"/>
  <c r="C895" i="22"/>
  <c r="C896" i="22"/>
  <c r="C897" i="22"/>
  <c r="C898" i="22"/>
  <c r="C899" i="22"/>
  <c r="C900" i="22"/>
  <c r="C901" i="22"/>
  <c r="C902" i="22"/>
  <c r="C903" i="22"/>
  <c r="C904" i="22"/>
  <c r="C905" i="22"/>
  <c r="C906" i="22"/>
  <c r="C907" i="22"/>
  <c r="C908" i="22"/>
  <c r="C909" i="22"/>
  <c r="C910" i="22"/>
  <c r="C911" i="22"/>
  <c r="C912" i="22"/>
  <c r="C913" i="22"/>
  <c r="C914" i="22"/>
  <c r="C915" i="22"/>
  <c r="C916" i="22"/>
  <c r="C917" i="22"/>
  <c r="C918" i="22"/>
  <c r="C919" i="22"/>
  <c r="C920" i="22"/>
  <c r="C921" i="22"/>
  <c r="C922" i="22"/>
  <c r="C923" i="22"/>
  <c r="C924" i="22"/>
  <c r="C925" i="22"/>
  <c r="C926" i="22"/>
  <c r="C927" i="22"/>
  <c r="C928" i="22"/>
  <c r="C929" i="22"/>
  <c r="C930" i="22"/>
  <c r="C931" i="22"/>
  <c r="C932" i="22"/>
  <c r="C933" i="22"/>
  <c r="C934" i="22"/>
  <c r="C935" i="22"/>
  <c r="C936" i="22"/>
  <c r="C937" i="22"/>
  <c r="C938" i="22"/>
  <c r="C939" i="22"/>
  <c r="C940" i="22"/>
  <c r="C941" i="22"/>
  <c r="C942" i="22"/>
  <c r="C943" i="22"/>
  <c r="C944" i="22"/>
  <c r="C945" i="22"/>
  <c r="C946" i="22"/>
  <c r="C947" i="22"/>
  <c r="C948" i="22"/>
  <c r="C949" i="22"/>
  <c r="C950" i="22"/>
  <c r="C951" i="22"/>
  <c r="C952" i="22"/>
  <c r="C953" i="22"/>
  <c r="C954" i="22"/>
  <c r="C955" i="22"/>
  <c r="C956" i="22"/>
  <c r="C957" i="22"/>
  <c r="C958" i="22"/>
  <c r="C959" i="22"/>
  <c r="C960" i="22"/>
  <c r="C961" i="22"/>
  <c r="C962" i="22"/>
  <c r="C963" i="22"/>
  <c r="C964" i="22"/>
  <c r="C965" i="22"/>
  <c r="C966" i="22"/>
  <c r="C967" i="22"/>
  <c r="C968" i="22"/>
  <c r="C969" i="22"/>
  <c r="C970" i="22"/>
  <c r="C971" i="22"/>
  <c r="C972" i="22"/>
  <c r="C973" i="22"/>
  <c r="C974" i="22"/>
  <c r="C975" i="22"/>
  <c r="C976" i="22"/>
  <c r="C977" i="22"/>
  <c r="C978" i="22"/>
  <c r="C979" i="22"/>
  <c r="C980" i="22"/>
  <c r="C981" i="22"/>
  <c r="C982" i="22"/>
  <c r="C983" i="22"/>
  <c r="C984" i="22"/>
  <c r="C985" i="22"/>
  <c r="C986" i="22"/>
  <c r="C987" i="22"/>
  <c r="C988" i="22"/>
  <c r="C989" i="22"/>
  <c r="C990" i="22"/>
  <c r="C991" i="22"/>
  <c r="C992" i="22"/>
  <c r="C993" i="22"/>
  <c r="C994" i="22"/>
  <c r="C995" i="22"/>
  <c r="C996" i="22"/>
  <c r="C997" i="22"/>
  <c r="C998" i="22"/>
  <c r="C999" i="22"/>
  <c r="C1000" i="22"/>
  <c r="C1001" i="22"/>
  <c r="C1002" i="22"/>
  <c r="C1003" i="22"/>
  <c r="C1004" i="22"/>
  <c r="C1005" i="22"/>
  <c r="L1002" i="8"/>
  <c r="M2" i="8"/>
  <c r="M383" i="8"/>
  <c r="M860" i="8"/>
  <c r="M5" i="8"/>
  <c r="M3" i="8"/>
  <c r="M4"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E94F10-A6D1-B340-B484-0A6F88E6A82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6B8EDE0-4513-8E40-B89A-BB8866153FC7}" keepAlive="1" name="Query - Merge" description="Connection to the 'Merge' query in the workbook." type="5" refreshedVersion="8" background="1" saveData="1">
    <dbPr connection="Provider=Microsoft.Mashup.OleDb.1;Data Source=$Workbook$;Location=Merge;Extended Properties=&quot;&quot;" command="SELECT * FROM [Merge]"/>
  </connection>
  <connection id="3" xr16:uid="{622AC092-923D-234F-8EF1-7ED964863C44}"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867DF5F0-151C-6B4C-B580-1AD1D1C1FA06}" keepAlive="1" name="Query - Sales_1" description="Connection to the 'Sales_1' query in the workbook." type="5" refreshedVersion="8" background="1" saveData="1">
    <dbPr connection="Provider=Microsoft.Mashup.OleDb.1;Data Source=$Workbook$;Location=Sales_1;Extended Properties=&quot;&quot;" command="SELECT * FROM [Sales_1]"/>
  </connection>
</connections>
</file>

<file path=xl/sharedStrings.xml><?xml version="1.0" encoding="utf-8"?>
<sst xmlns="http://schemas.openxmlformats.org/spreadsheetml/2006/main" count="34825" uniqueCount="3305">
  <si>
    <t>Month</t>
  </si>
  <si>
    <t>Count of Order ID</t>
  </si>
  <si>
    <t>Jan</t>
  </si>
  <si>
    <t>Feb</t>
  </si>
  <si>
    <t>Mar</t>
  </si>
  <si>
    <t>Apr</t>
  </si>
  <si>
    <t>May</t>
  </si>
  <si>
    <t>Jun</t>
  </si>
  <si>
    <t>Jul</t>
  </si>
  <si>
    <t>Aug</t>
  </si>
  <si>
    <t>Sep</t>
  </si>
  <si>
    <t>Oct</t>
  </si>
  <si>
    <t>Nov</t>
  </si>
  <si>
    <t>Dec</t>
  </si>
  <si>
    <t>Grand Total</t>
  </si>
  <si>
    <t>Order ID</t>
  </si>
  <si>
    <t>Customer Last Name</t>
  </si>
  <si>
    <t>Customer First Name</t>
  </si>
  <si>
    <t>Customer ID</t>
  </si>
  <si>
    <t>Service Category</t>
  </si>
  <si>
    <t>Order Date</t>
  </si>
  <si>
    <t>Quantity Ordered</t>
  </si>
  <si>
    <t>Order Status</t>
  </si>
  <si>
    <t>State</t>
  </si>
  <si>
    <t>Margins</t>
  </si>
  <si>
    <t>Service Provider Expense</t>
  </si>
  <si>
    <t xml:space="preserve">Sale Price </t>
  </si>
  <si>
    <t>Total Profit (GMROI)</t>
  </si>
  <si>
    <t>Sales Agent</t>
  </si>
  <si>
    <t>Hughes</t>
  </si>
  <si>
    <t>Lewis</t>
  </si>
  <si>
    <t>Interview Prep</t>
  </si>
  <si>
    <t>Delivered</t>
  </si>
  <si>
    <t>WA</t>
  </si>
  <si>
    <t>Kelly</t>
  </si>
  <si>
    <t>Gomez</t>
  </si>
  <si>
    <t>Ali</t>
  </si>
  <si>
    <t>Resume + LinkedIn Profile</t>
  </si>
  <si>
    <t>In Progress</t>
  </si>
  <si>
    <t>ACT</t>
  </si>
  <si>
    <t>Beck</t>
  </si>
  <si>
    <t>Mila</t>
  </si>
  <si>
    <t>LinkedIn profile</t>
  </si>
  <si>
    <t>NSW</t>
  </si>
  <si>
    <t>Priscilla</t>
  </si>
  <si>
    <t>Juarez</t>
  </si>
  <si>
    <t>Ryleigh</t>
  </si>
  <si>
    <t>VIC</t>
  </si>
  <si>
    <t>Daniel</t>
  </si>
  <si>
    <t>Preston</t>
  </si>
  <si>
    <t>Leonidas</t>
  </si>
  <si>
    <t>Networking Strategy</t>
  </si>
  <si>
    <t>Service Booked</t>
  </si>
  <si>
    <t>QLD</t>
  </si>
  <si>
    <t>Brian</t>
  </si>
  <si>
    <t>Jacobs</t>
  </si>
  <si>
    <t>Hayden</t>
  </si>
  <si>
    <t>SA</t>
  </si>
  <si>
    <t>Knox</t>
  </si>
  <si>
    <t>Brooke</t>
  </si>
  <si>
    <t>Rice</t>
  </si>
  <si>
    <t>Diana</t>
  </si>
  <si>
    <t>Valencia</t>
  </si>
  <si>
    <t>Rosalie</t>
  </si>
  <si>
    <t>TAS</t>
  </si>
  <si>
    <t>Pierce</t>
  </si>
  <si>
    <t>Andre</t>
  </si>
  <si>
    <t>Olson</t>
  </si>
  <si>
    <t>Walter</t>
  </si>
  <si>
    <t>Malone</t>
  </si>
  <si>
    <t>Nayeli</t>
  </si>
  <si>
    <t>Cancelled</t>
  </si>
  <si>
    <t>Holt</t>
  </si>
  <si>
    <t>Thea</t>
  </si>
  <si>
    <t>Briggs</t>
  </si>
  <si>
    <t>Devin</t>
  </si>
  <si>
    <t>Mentoring program</t>
  </si>
  <si>
    <t>Woodard</t>
  </si>
  <si>
    <t>Destiny</t>
  </si>
  <si>
    <t>Fuentes</t>
  </si>
  <si>
    <t>Rylee</t>
  </si>
  <si>
    <t>NT</t>
  </si>
  <si>
    <t>Shaffer</t>
  </si>
  <si>
    <t>Luka</t>
  </si>
  <si>
    <t>Berry</t>
  </si>
  <si>
    <t>Colt</t>
  </si>
  <si>
    <t>Klein</t>
  </si>
  <si>
    <t>Madelynn</t>
  </si>
  <si>
    <t>Landry</t>
  </si>
  <si>
    <t>Edward</t>
  </si>
  <si>
    <t>Weaver</t>
  </si>
  <si>
    <t>Cash</t>
  </si>
  <si>
    <t>Resume (service fee)</t>
  </si>
  <si>
    <t>Solomon</t>
  </si>
  <si>
    <t>Ronin</t>
  </si>
  <si>
    <t>Benjamin</t>
  </si>
  <si>
    <t>Frank</t>
  </si>
  <si>
    <t>Herrera</t>
  </si>
  <si>
    <t>Olive</t>
  </si>
  <si>
    <t>Bryan</t>
  </si>
  <si>
    <t>Noa</t>
  </si>
  <si>
    <t>Cook</t>
  </si>
  <si>
    <t>Collin</t>
  </si>
  <si>
    <t>Thompson</t>
  </si>
  <si>
    <t>Kane</t>
  </si>
  <si>
    <t>James</t>
  </si>
  <si>
    <t>Arias</t>
  </si>
  <si>
    <t>Sawyer</t>
  </si>
  <si>
    <t>Vincent</t>
  </si>
  <si>
    <t>Isabelle</t>
  </si>
  <si>
    <t>Quintana</t>
  </si>
  <si>
    <t>Raya</t>
  </si>
  <si>
    <t>Anderson</t>
  </si>
  <si>
    <t>Kaiden</t>
  </si>
  <si>
    <t>Terrence</t>
  </si>
  <si>
    <t>Chan</t>
  </si>
  <si>
    <t>Shiloh</t>
  </si>
  <si>
    <t>Foster</t>
  </si>
  <si>
    <t>Layla</t>
  </si>
  <si>
    <t>Giles</t>
  </si>
  <si>
    <t>Sarai</t>
  </si>
  <si>
    <t>Morris</t>
  </si>
  <si>
    <t>Kason</t>
  </si>
  <si>
    <t>Avery</t>
  </si>
  <si>
    <t>Aspen</t>
  </si>
  <si>
    <t>Fitzgerald</t>
  </si>
  <si>
    <t>Cade</t>
  </si>
  <si>
    <t>Sharp</t>
  </si>
  <si>
    <t>Collins</t>
  </si>
  <si>
    <t>Richmond</t>
  </si>
  <si>
    <t>Jayce</t>
  </si>
  <si>
    <t>Hinton</t>
  </si>
  <si>
    <t>Josiah</t>
  </si>
  <si>
    <t>Morales</t>
  </si>
  <si>
    <t>Helen</t>
  </si>
  <si>
    <t>Mccormick</t>
  </si>
  <si>
    <t>Alani</t>
  </si>
  <si>
    <t>Winters</t>
  </si>
  <si>
    <t>Francis</t>
  </si>
  <si>
    <t>Ochoa</t>
  </si>
  <si>
    <t>Wyatt</t>
  </si>
  <si>
    <t>Rollins</t>
  </si>
  <si>
    <t>Leah</t>
  </si>
  <si>
    <t>Buck</t>
  </si>
  <si>
    <t>Blevins</t>
  </si>
  <si>
    <t>Madilyn</t>
  </si>
  <si>
    <t>Parsons</t>
  </si>
  <si>
    <t>Jared</t>
  </si>
  <si>
    <t>Flores</t>
  </si>
  <si>
    <t>Jackson</t>
  </si>
  <si>
    <t>Collier</t>
  </si>
  <si>
    <t>Abigail</t>
  </si>
  <si>
    <t>Harvey</t>
  </si>
  <si>
    <t>Greyson</t>
  </si>
  <si>
    <t>Hunter</t>
  </si>
  <si>
    <t>Luca</t>
  </si>
  <si>
    <t>Mariana</t>
  </si>
  <si>
    <t>Mcdaniel</t>
  </si>
  <si>
    <t>Eliza</t>
  </si>
  <si>
    <t>Atkins</t>
  </si>
  <si>
    <t>Molly</t>
  </si>
  <si>
    <t>Maldonado</t>
  </si>
  <si>
    <t>Arielle</t>
  </si>
  <si>
    <t>Trevino</t>
  </si>
  <si>
    <t>Demi</t>
  </si>
  <si>
    <t>Mckenna</t>
  </si>
  <si>
    <t>Baldwin</t>
  </si>
  <si>
    <t>Adalynn</t>
  </si>
  <si>
    <t>Silva</t>
  </si>
  <si>
    <t>Watts</t>
  </si>
  <si>
    <t>Bailey</t>
  </si>
  <si>
    <t>Russell</t>
  </si>
  <si>
    <t>Bentley</t>
  </si>
  <si>
    <t>Harrington</t>
  </si>
  <si>
    <t>Lillian</t>
  </si>
  <si>
    <t>Fleming</t>
  </si>
  <si>
    <t>Kayden</t>
  </si>
  <si>
    <t>Manuel</t>
  </si>
  <si>
    <t>Nicholson</t>
  </si>
  <si>
    <t>Hattie</t>
  </si>
  <si>
    <t>Guerra</t>
  </si>
  <si>
    <t>Legacy</t>
  </si>
  <si>
    <t>Correa</t>
  </si>
  <si>
    <t>Brantley</t>
  </si>
  <si>
    <t>Carey</t>
  </si>
  <si>
    <t>Rosie</t>
  </si>
  <si>
    <t>Heaven</t>
  </si>
  <si>
    <t>Carroll</t>
  </si>
  <si>
    <t>Chance</t>
  </si>
  <si>
    <t>Bautista</t>
  </si>
  <si>
    <t>Parker</t>
  </si>
  <si>
    <t>Fox</t>
  </si>
  <si>
    <t>Kamari</t>
  </si>
  <si>
    <t>Wong</t>
  </si>
  <si>
    <t>Emerson</t>
  </si>
  <si>
    <t>Rubio</t>
  </si>
  <si>
    <t>Tatum</t>
  </si>
  <si>
    <t>Sanchez</t>
  </si>
  <si>
    <t>Dean</t>
  </si>
  <si>
    <t>Gunner</t>
  </si>
  <si>
    <t>Pham</t>
  </si>
  <si>
    <t>Willa</t>
  </si>
  <si>
    <t>Mata</t>
  </si>
  <si>
    <t>Cooper</t>
  </si>
  <si>
    <t>Mason</t>
  </si>
  <si>
    <t>Jude</t>
  </si>
  <si>
    <t>Ari</t>
  </si>
  <si>
    <t>Watson</t>
  </si>
  <si>
    <t>Alessandra</t>
  </si>
  <si>
    <t>Coleman</t>
  </si>
  <si>
    <t>Callen</t>
  </si>
  <si>
    <t>Clay</t>
  </si>
  <si>
    <t>Aria</t>
  </si>
  <si>
    <t>Truong</t>
  </si>
  <si>
    <t>Nina</t>
  </si>
  <si>
    <t>Saunders</t>
  </si>
  <si>
    <t>Freya</t>
  </si>
  <si>
    <t>Ballard</t>
  </si>
  <si>
    <t>Amir</t>
  </si>
  <si>
    <t>Weber</t>
  </si>
  <si>
    <t>Delarosa</t>
  </si>
  <si>
    <t>Joaquin</t>
  </si>
  <si>
    <t>Gallagher</t>
  </si>
  <si>
    <t>Adaline</t>
  </si>
  <si>
    <t>Rosales</t>
  </si>
  <si>
    <t>Luna</t>
  </si>
  <si>
    <t>Denver</t>
  </si>
  <si>
    <t>Jaramillo</t>
  </si>
  <si>
    <t>Emanuel</t>
  </si>
  <si>
    <t>Crawford</t>
  </si>
  <si>
    <t>Hugo</t>
  </si>
  <si>
    <t>Austin</t>
  </si>
  <si>
    <t>Margaret</t>
  </si>
  <si>
    <t>Weiss</t>
  </si>
  <si>
    <t>Raphael</t>
  </si>
  <si>
    <t>Cardenas</t>
  </si>
  <si>
    <t>Myles</t>
  </si>
  <si>
    <t>Cruz</t>
  </si>
  <si>
    <t>Alexis</t>
  </si>
  <si>
    <t>Mcbride</t>
  </si>
  <si>
    <t>Ellis</t>
  </si>
  <si>
    <t>Singh</t>
  </si>
  <si>
    <t>Zuri</t>
  </si>
  <si>
    <t>Annie</t>
  </si>
  <si>
    <t>Garcia</t>
  </si>
  <si>
    <t>Dakota</t>
  </si>
  <si>
    <t>Luke</t>
  </si>
  <si>
    <t>Frye</t>
  </si>
  <si>
    <t>Jasiah</t>
  </si>
  <si>
    <t>Xiong</t>
  </si>
  <si>
    <t>Selah</t>
  </si>
  <si>
    <t>Pearson</t>
  </si>
  <si>
    <t>Amira</t>
  </si>
  <si>
    <t>Castaneda</t>
  </si>
  <si>
    <t>Jarvis</t>
  </si>
  <si>
    <t>Adelina</t>
  </si>
  <si>
    <t>Fields</t>
  </si>
  <si>
    <t>Adelynn</t>
  </si>
  <si>
    <t>Keller</t>
  </si>
  <si>
    <t>Miguel</t>
  </si>
  <si>
    <t>Clara</t>
  </si>
  <si>
    <t>Bartlett</t>
  </si>
  <si>
    <t>Joshua</t>
  </si>
  <si>
    <t>Kate</t>
  </si>
  <si>
    <t>Flynn</t>
  </si>
  <si>
    <t>Daphne</t>
  </si>
  <si>
    <t>Elise</t>
  </si>
  <si>
    <t>Townsend</t>
  </si>
  <si>
    <t>Charles</t>
  </si>
  <si>
    <t>Pollard</t>
  </si>
  <si>
    <t>Rory</t>
  </si>
  <si>
    <t>Clark</t>
  </si>
  <si>
    <t>Zion</t>
  </si>
  <si>
    <t>Randolph</t>
  </si>
  <si>
    <t>Edgar</t>
  </si>
  <si>
    <t>Johnston</t>
  </si>
  <si>
    <t>Ace</t>
  </si>
  <si>
    <t>Kemp</t>
  </si>
  <si>
    <t>Amy</t>
  </si>
  <si>
    <t>Berger</t>
  </si>
  <si>
    <t>Avianna</t>
  </si>
  <si>
    <t>Hogan</t>
  </si>
  <si>
    <t>Bryce</t>
  </si>
  <si>
    <t>Princeton</t>
  </si>
  <si>
    <t>Griffin</t>
  </si>
  <si>
    <t>Isabella</t>
  </si>
  <si>
    <t>Costa</t>
  </si>
  <si>
    <t>Charlie</t>
  </si>
  <si>
    <t>Schmitt</t>
  </si>
  <si>
    <t>Aliyah</t>
  </si>
  <si>
    <t>Holloway</t>
  </si>
  <si>
    <t>Raven</t>
  </si>
  <si>
    <t>Kirby</t>
  </si>
  <si>
    <t>Malik</t>
  </si>
  <si>
    <t>Schwartz</t>
  </si>
  <si>
    <t>Kylo</t>
  </si>
  <si>
    <t>Salazar</t>
  </si>
  <si>
    <t>Jeremy</t>
  </si>
  <si>
    <t>Oscar</t>
  </si>
  <si>
    <t>Montgomery</t>
  </si>
  <si>
    <t>Vo</t>
  </si>
  <si>
    <t>Kai</t>
  </si>
  <si>
    <t>Velazquez</t>
  </si>
  <si>
    <t>Nico</t>
  </si>
  <si>
    <t>Vasquez</t>
  </si>
  <si>
    <t>Lucy</t>
  </si>
  <si>
    <t>Shepherd</t>
  </si>
  <si>
    <t>Charli</t>
  </si>
  <si>
    <t>Meyer</t>
  </si>
  <si>
    <t>Evie</t>
  </si>
  <si>
    <t>Powell</t>
  </si>
  <si>
    <t>Walton</t>
  </si>
  <si>
    <t>Erick</t>
  </si>
  <si>
    <t>Guzman</t>
  </si>
  <si>
    <t>Emery</t>
  </si>
  <si>
    <t>Rose</t>
  </si>
  <si>
    <t>Annabelle</t>
  </si>
  <si>
    <t>Schmidt</t>
  </si>
  <si>
    <t>Spencer</t>
  </si>
  <si>
    <t>Callie</t>
  </si>
  <si>
    <t>Chavez</t>
  </si>
  <si>
    <t>Cecilia</t>
  </si>
  <si>
    <t>Blackwell</t>
  </si>
  <si>
    <t>Finley</t>
  </si>
  <si>
    <t>Faith</t>
  </si>
  <si>
    <t>Solis</t>
  </si>
  <si>
    <t>Mary</t>
  </si>
  <si>
    <t>Abel</t>
  </si>
  <si>
    <t>Acevedo</t>
  </si>
  <si>
    <t>Annalise</t>
  </si>
  <si>
    <t>Cohen</t>
  </si>
  <si>
    <t>London</t>
  </si>
  <si>
    <t>Espinosa</t>
  </si>
  <si>
    <t>Myla</t>
  </si>
  <si>
    <t>Thornton</t>
  </si>
  <si>
    <t>Bodie</t>
  </si>
  <si>
    <t>Ross</t>
  </si>
  <si>
    <t>Delilah</t>
  </si>
  <si>
    <t>Mckay</t>
  </si>
  <si>
    <t>Serena</t>
  </si>
  <si>
    <t>Asher</t>
  </si>
  <si>
    <t>Galindo</t>
  </si>
  <si>
    <t>Aguilar</t>
  </si>
  <si>
    <t>Veronica</t>
  </si>
  <si>
    <t>Mahoney</t>
  </si>
  <si>
    <t>Reed</t>
  </si>
  <si>
    <t>Jayden</t>
  </si>
  <si>
    <t>Carpenter</t>
  </si>
  <si>
    <t>Jordan</t>
  </si>
  <si>
    <t>Stokes</t>
  </si>
  <si>
    <t>Jace</t>
  </si>
  <si>
    <t>Barrera</t>
  </si>
  <si>
    <t>Pitts</t>
  </si>
  <si>
    <t>Michelle</t>
  </si>
  <si>
    <t>Christian</t>
  </si>
  <si>
    <t>Mccall</t>
  </si>
  <si>
    <t>Saylor</t>
  </si>
  <si>
    <t>Martinez</t>
  </si>
  <si>
    <t>Samantha</t>
  </si>
  <si>
    <t>Acosta</t>
  </si>
  <si>
    <t>Camilla</t>
  </si>
  <si>
    <t>Rivers</t>
  </si>
  <si>
    <t>Hoffman</t>
  </si>
  <si>
    <t>Melissa</t>
  </si>
  <si>
    <t>Horn</t>
  </si>
  <si>
    <t>Mabel</t>
  </si>
  <si>
    <t>Daniela</t>
  </si>
  <si>
    <t>Bradshaw</t>
  </si>
  <si>
    <t>Dax</t>
  </si>
  <si>
    <t>Boone</t>
  </si>
  <si>
    <t>Aitana</t>
  </si>
  <si>
    <t>Roy</t>
  </si>
  <si>
    <t>Patrick</t>
  </si>
  <si>
    <t>Mccarthy</t>
  </si>
  <si>
    <t>Calvin</t>
  </si>
  <si>
    <t>Everett</t>
  </si>
  <si>
    <t>Lyra</t>
  </si>
  <si>
    <t>Alvarado</t>
  </si>
  <si>
    <t>Zayn</t>
  </si>
  <si>
    <t>Lynch</t>
  </si>
  <si>
    <t>Xander</t>
  </si>
  <si>
    <t>Escobar</t>
  </si>
  <si>
    <t>Declan</t>
  </si>
  <si>
    <t>Fisher</t>
  </si>
  <si>
    <t>Zara</t>
  </si>
  <si>
    <t>Gould</t>
  </si>
  <si>
    <t>Contreras</t>
  </si>
  <si>
    <t>Addison</t>
  </si>
  <si>
    <t>Burke</t>
  </si>
  <si>
    <t>Owens</t>
  </si>
  <si>
    <t>Maximus</t>
  </si>
  <si>
    <t>Sadie</t>
  </si>
  <si>
    <t>Sloane</t>
  </si>
  <si>
    <t>Reyna</t>
  </si>
  <si>
    <t>Heidi</t>
  </si>
  <si>
    <t>Hallie</t>
  </si>
  <si>
    <t>Jensen</t>
  </si>
  <si>
    <t>Jason</t>
  </si>
  <si>
    <t>Ayala</t>
  </si>
  <si>
    <t>Elaina</t>
  </si>
  <si>
    <t>Genevieve</t>
  </si>
  <si>
    <t>Kirk</t>
  </si>
  <si>
    <t>Mathias</t>
  </si>
  <si>
    <t>Terrell</t>
  </si>
  <si>
    <t>Norris</t>
  </si>
  <si>
    <t>Kobe</t>
  </si>
  <si>
    <t>Huerta</t>
  </si>
  <si>
    <t>Hail</t>
  </si>
  <si>
    <t>Raymond</t>
  </si>
  <si>
    <t>Bauer</t>
  </si>
  <si>
    <t>Melanie</t>
  </si>
  <si>
    <t>English</t>
  </si>
  <si>
    <t>Allen</t>
  </si>
  <si>
    <t>Benson</t>
  </si>
  <si>
    <t>Victor</t>
  </si>
  <si>
    <t>Blankenship</t>
  </si>
  <si>
    <t>Gabriel</t>
  </si>
  <si>
    <t>Cunningham</t>
  </si>
  <si>
    <t>Julia</t>
  </si>
  <si>
    <t>Cantu</t>
  </si>
  <si>
    <t>Stewart</t>
  </si>
  <si>
    <t>Nylah</t>
  </si>
  <si>
    <t>Rich</t>
  </si>
  <si>
    <t>Paul</t>
  </si>
  <si>
    <t>Monroe</t>
  </si>
  <si>
    <t>Marco</t>
  </si>
  <si>
    <t>Cherry</t>
  </si>
  <si>
    <t>Diego</t>
  </si>
  <si>
    <t>Mitchell</t>
  </si>
  <si>
    <t>Ailani</t>
  </si>
  <si>
    <t>Dunlap</t>
  </si>
  <si>
    <t>Alaina</t>
  </si>
  <si>
    <t>Baker</t>
  </si>
  <si>
    <t>King</t>
  </si>
  <si>
    <t>Sierra</t>
  </si>
  <si>
    <t>Dante</t>
  </si>
  <si>
    <t>Griffith</t>
  </si>
  <si>
    <t>Kashton</t>
  </si>
  <si>
    <t>Madison</t>
  </si>
  <si>
    <t>Miles</t>
  </si>
  <si>
    <t>Booth</t>
  </si>
  <si>
    <t>Karter</t>
  </si>
  <si>
    <t>Fernando</t>
  </si>
  <si>
    <t>Marley</t>
  </si>
  <si>
    <t>Sanders</t>
  </si>
  <si>
    <t>Lukas</t>
  </si>
  <si>
    <t>Orozco</t>
  </si>
  <si>
    <t>River</t>
  </si>
  <si>
    <t>Nuñez</t>
  </si>
  <si>
    <t>Mackenzie</t>
  </si>
  <si>
    <t>Dixon</t>
  </si>
  <si>
    <t>Stevie</t>
  </si>
  <si>
    <t>Rosemary</t>
  </si>
  <si>
    <t>Ellison</t>
  </si>
  <si>
    <t>Santiago</t>
  </si>
  <si>
    <t>Bean</t>
  </si>
  <si>
    <t>Cataleya</t>
  </si>
  <si>
    <t>Daisy</t>
  </si>
  <si>
    <t>Burton</t>
  </si>
  <si>
    <t>Grady</t>
  </si>
  <si>
    <t>Thomas</t>
  </si>
  <si>
    <t>Garza</t>
  </si>
  <si>
    <t>Natalia</t>
  </si>
  <si>
    <t>Newman</t>
  </si>
  <si>
    <t>Celine</t>
  </si>
  <si>
    <t>Robbins</t>
  </si>
  <si>
    <t>Alex</t>
  </si>
  <si>
    <t>Sexton</t>
  </si>
  <si>
    <t>Meadow</t>
  </si>
  <si>
    <t>Ponce</t>
  </si>
  <si>
    <t>Lucille</t>
  </si>
  <si>
    <t>Gonzales</t>
  </si>
  <si>
    <t>Cairo</t>
  </si>
  <si>
    <t>Mejia</t>
  </si>
  <si>
    <t>Desmond</t>
  </si>
  <si>
    <t>Joy</t>
  </si>
  <si>
    <t>Bowers</t>
  </si>
  <si>
    <t>Frazier</t>
  </si>
  <si>
    <t>Ella</t>
  </si>
  <si>
    <t>Sparks</t>
  </si>
  <si>
    <t>Villarreal</t>
  </si>
  <si>
    <t>Damian</t>
  </si>
  <si>
    <t>Lozano</t>
  </si>
  <si>
    <t>Lorenzo</t>
  </si>
  <si>
    <t>Mcpherson</t>
  </si>
  <si>
    <t>Tucker</t>
  </si>
  <si>
    <t>Jade</t>
  </si>
  <si>
    <t>Riley</t>
  </si>
  <si>
    <t>Amaya</t>
  </si>
  <si>
    <t>Bruce</t>
  </si>
  <si>
    <t>Adan</t>
  </si>
  <si>
    <t>Williams</t>
  </si>
  <si>
    <t>Gideon</t>
  </si>
  <si>
    <t>Bowen</t>
  </si>
  <si>
    <t>Ryker</t>
  </si>
  <si>
    <t>Dorsey</t>
  </si>
  <si>
    <t>Hartman</t>
  </si>
  <si>
    <t>Huang</t>
  </si>
  <si>
    <t>Amanda</t>
  </si>
  <si>
    <t>Marlee</t>
  </si>
  <si>
    <t>Xiomara</t>
  </si>
  <si>
    <t>Logan</t>
  </si>
  <si>
    <t>Kaur</t>
  </si>
  <si>
    <t>Athena</t>
  </si>
  <si>
    <t>Conley</t>
  </si>
  <si>
    <t>Elsie</t>
  </si>
  <si>
    <t>Kramer</t>
  </si>
  <si>
    <t>Emersyn</t>
  </si>
  <si>
    <t>Crosby</t>
  </si>
  <si>
    <t>Talia</t>
  </si>
  <si>
    <t>Carson</t>
  </si>
  <si>
    <t>Duran</t>
  </si>
  <si>
    <t>Emilia</t>
  </si>
  <si>
    <t>Velasquez</t>
  </si>
  <si>
    <t>Booker</t>
  </si>
  <si>
    <t>Harding</t>
  </si>
  <si>
    <t>Lowery</t>
  </si>
  <si>
    <t>Lexi</t>
  </si>
  <si>
    <t>Byrd</t>
  </si>
  <si>
    <t>Charlotte</t>
  </si>
  <si>
    <t>Peters</t>
  </si>
  <si>
    <t>Estes</t>
  </si>
  <si>
    <t>Genesis</t>
  </si>
  <si>
    <t>Dodson</t>
  </si>
  <si>
    <t>Noah</t>
  </si>
  <si>
    <t>Chandler</t>
  </si>
  <si>
    <t>Nolan</t>
  </si>
  <si>
    <t>Kimberly</t>
  </si>
  <si>
    <t>Beil</t>
  </si>
  <si>
    <t>Kaleb</t>
  </si>
  <si>
    <t>Gibbs</t>
  </si>
  <si>
    <t>Lennox</t>
  </si>
  <si>
    <t>Liam</t>
  </si>
  <si>
    <t>Damien</t>
  </si>
  <si>
    <t>Black</t>
  </si>
  <si>
    <t>Donovan</t>
  </si>
  <si>
    <t>Stanton</t>
  </si>
  <si>
    <t>Piper</t>
  </si>
  <si>
    <t>Strong</t>
  </si>
  <si>
    <t>Oaklee</t>
  </si>
  <si>
    <t>Sellers</t>
  </si>
  <si>
    <t>Gael</t>
  </si>
  <si>
    <t>Prince</t>
  </si>
  <si>
    <t>Flowers</t>
  </si>
  <si>
    <t>Killian</t>
  </si>
  <si>
    <t>Henry</t>
  </si>
  <si>
    <t>Cora</t>
  </si>
  <si>
    <t>Nash</t>
  </si>
  <si>
    <t>Waller</t>
  </si>
  <si>
    <t>Tate</t>
  </si>
  <si>
    <t>Peña</t>
  </si>
  <si>
    <t>Malachi</t>
  </si>
  <si>
    <t>Daniels</t>
  </si>
  <si>
    <t>Lilith</t>
  </si>
  <si>
    <t>Gates</t>
  </si>
  <si>
    <t>Braxton</t>
  </si>
  <si>
    <t>Erickson</t>
  </si>
  <si>
    <t>Cassidy</t>
  </si>
  <si>
    <t>Odom</t>
  </si>
  <si>
    <t>Gregory</t>
  </si>
  <si>
    <t>Wagner</t>
  </si>
  <si>
    <t>Archer</t>
  </si>
  <si>
    <t>Kennedy</t>
  </si>
  <si>
    <t>Weston</t>
  </si>
  <si>
    <t>Case</t>
  </si>
  <si>
    <t>Alana</t>
  </si>
  <si>
    <t>Castillo</t>
  </si>
  <si>
    <t>Milani</t>
  </si>
  <si>
    <t>Torres</t>
  </si>
  <si>
    <t>Karson</t>
  </si>
  <si>
    <t>Paxton</t>
  </si>
  <si>
    <t>Parra</t>
  </si>
  <si>
    <t>Kingston</t>
  </si>
  <si>
    <t>Russo</t>
  </si>
  <si>
    <t>Olivia</t>
  </si>
  <si>
    <t>Mathews</t>
  </si>
  <si>
    <t>Kendall</t>
  </si>
  <si>
    <t>Tapia</t>
  </si>
  <si>
    <t>Roberson</t>
  </si>
  <si>
    <t>Fiona</t>
  </si>
  <si>
    <t>Brinley</t>
  </si>
  <si>
    <t>Macdonald</t>
  </si>
  <si>
    <t>Angelina</t>
  </si>
  <si>
    <t>Hester</t>
  </si>
  <si>
    <t>Alora</t>
  </si>
  <si>
    <t>Levy</t>
  </si>
  <si>
    <t>Santana</t>
  </si>
  <si>
    <t>Deleon</t>
  </si>
  <si>
    <t>Daleyza</t>
  </si>
  <si>
    <t>Harrell</t>
  </si>
  <si>
    <t>Esteban</t>
  </si>
  <si>
    <t>Ashley</t>
  </si>
  <si>
    <t>Zaire</t>
  </si>
  <si>
    <t>Miranda</t>
  </si>
  <si>
    <t>Potter</t>
  </si>
  <si>
    <t>Niko</t>
  </si>
  <si>
    <t>Wilkins</t>
  </si>
  <si>
    <t>Paris</t>
  </si>
  <si>
    <t>Hammond</t>
  </si>
  <si>
    <t>Aylin</t>
  </si>
  <si>
    <t>Juliana</t>
  </si>
  <si>
    <t>Ramirez</t>
  </si>
  <si>
    <t>Robert</t>
  </si>
  <si>
    <t>Reeves</t>
  </si>
  <si>
    <t>Ezequiel</t>
  </si>
  <si>
    <t>Dahlia</t>
  </si>
  <si>
    <t>Maya</t>
  </si>
  <si>
    <t>Ayla</t>
  </si>
  <si>
    <t>Wilson</t>
  </si>
  <si>
    <t>Alejandro</t>
  </si>
  <si>
    <t>Leon</t>
  </si>
  <si>
    <t>Elliott</t>
  </si>
  <si>
    <t>Nasir</t>
  </si>
  <si>
    <t>Norman</t>
  </si>
  <si>
    <t>Esme</t>
  </si>
  <si>
    <t>Vega</t>
  </si>
  <si>
    <t>Blake</t>
  </si>
  <si>
    <t>Oakley</t>
  </si>
  <si>
    <t>Brynlee</t>
  </si>
  <si>
    <t>Wallace</t>
  </si>
  <si>
    <t>Reid</t>
  </si>
  <si>
    <t>Rebecca</t>
  </si>
  <si>
    <t>Palmer</t>
  </si>
  <si>
    <t>Piñeda</t>
  </si>
  <si>
    <t>Kyler</t>
  </si>
  <si>
    <t>Holden</t>
  </si>
  <si>
    <t>Stafford</t>
  </si>
  <si>
    <t>Smith</t>
  </si>
  <si>
    <t>Hancock</t>
  </si>
  <si>
    <t>Norah</t>
  </si>
  <si>
    <t>Ruby</t>
  </si>
  <si>
    <t>Boyle</t>
  </si>
  <si>
    <t>Morgan</t>
  </si>
  <si>
    <t>Whitehead</t>
  </si>
  <si>
    <t>Bernal</t>
  </si>
  <si>
    <t>Koa</t>
  </si>
  <si>
    <t>Walsh</t>
  </si>
  <si>
    <t>Portillo</t>
  </si>
  <si>
    <t>Kline</t>
  </si>
  <si>
    <t>Lana</t>
  </si>
  <si>
    <t>Ahmed</t>
  </si>
  <si>
    <t>Laura</t>
  </si>
  <si>
    <t>Conner</t>
  </si>
  <si>
    <t>Arthur</t>
  </si>
  <si>
    <t>Ávila</t>
  </si>
  <si>
    <t>Peterson</t>
  </si>
  <si>
    <t>Armani</t>
  </si>
  <si>
    <t>Oliver</t>
  </si>
  <si>
    <t>Barajas</t>
  </si>
  <si>
    <t>Teagan</t>
  </si>
  <si>
    <t>Amara</t>
  </si>
  <si>
    <t>Poole</t>
  </si>
  <si>
    <t>Lane</t>
  </si>
  <si>
    <t>Campbell</t>
  </si>
  <si>
    <t>Angela</t>
  </si>
  <si>
    <t>Stuart</t>
  </si>
  <si>
    <t>Burgess</t>
  </si>
  <si>
    <t>Alexandria</t>
  </si>
  <si>
    <t>Frost</t>
  </si>
  <si>
    <t>Judah</t>
  </si>
  <si>
    <t>Krueger</t>
  </si>
  <si>
    <t>Kaia</t>
  </si>
  <si>
    <t>Trejo</t>
  </si>
  <si>
    <t>Josephine</t>
  </si>
  <si>
    <t>Kali</t>
  </si>
  <si>
    <t>Combs</t>
  </si>
  <si>
    <t>Dream</t>
  </si>
  <si>
    <t>Haley</t>
  </si>
  <si>
    <t>Nathan</t>
  </si>
  <si>
    <t>Soto</t>
  </si>
  <si>
    <t>Bianca</t>
  </si>
  <si>
    <t>Cisneros</t>
  </si>
  <si>
    <t>Garrett</t>
  </si>
  <si>
    <t>Zimmerman</t>
  </si>
  <si>
    <t>Hahn</t>
  </si>
  <si>
    <t>Gibson</t>
  </si>
  <si>
    <t>Romeo</t>
  </si>
  <si>
    <t>Rodriguez</t>
  </si>
  <si>
    <t>August</t>
  </si>
  <si>
    <t>Wilkinson</t>
  </si>
  <si>
    <t>Maeve</t>
  </si>
  <si>
    <t>Alonzo</t>
  </si>
  <si>
    <t>Rocha</t>
  </si>
  <si>
    <t>Londyn</t>
  </si>
  <si>
    <t>Miracle</t>
  </si>
  <si>
    <t>Mcintosh</t>
  </si>
  <si>
    <t>Daugherty</t>
  </si>
  <si>
    <t>Noelle</t>
  </si>
  <si>
    <t>Newton</t>
  </si>
  <si>
    <t>Alessia</t>
  </si>
  <si>
    <t>Livingston</t>
  </si>
  <si>
    <t>Chloe</t>
  </si>
  <si>
    <t>Stanley</t>
  </si>
  <si>
    <t>Maxwell</t>
  </si>
  <si>
    <t>Serrano</t>
  </si>
  <si>
    <t>Nora</t>
  </si>
  <si>
    <t>Fletcher</t>
  </si>
  <si>
    <t>Leal</t>
  </si>
  <si>
    <t>Enzo</t>
  </si>
  <si>
    <t>Robertson</t>
  </si>
  <si>
    <t>Finn</t>
  </si>
  <si>
    <t>Goodwin</t>
  </si>
  <si>
    <t>Brody</t>
  </si>
  <si>
    <t>Kyle</t>
  </si>
  <si>
    <t>Maynard</t>
  </si>
  <si>
    <t>Jasper</t>
  </si>
  <si>
    <t>Lee</t>
  </si>
  <si>
    <t>Colin</t>
  </si>
  <si>
    <t>Sandoval</t>
  </si>
  <si>
    <t>Kash</t>
  </si>
  <si>
    <t>Wolfe</t>
  </si>
  <si>
    <t>Amari</t>
  </si>
  <si>
    <t>Molina</t>
  </si>
  <si>
    <t>Rush</t>
  </si>
  <si>
    <t>Harrison</t>
  </si>
  <si>
    <t>Alison</t>
  </si>
  <si>
    <t>Santino</t>
  </si>
  <si>
    <t>Henderson</t>
  </si>
  <si>
    <t>Dawson</t>
  </si>
  <si>
    <t>Ismael</t>
  </si>
  <si>
    <t>Porter</t>
  </si>
  <si>
    <t>Felix</t>
  </si>
  <si>
    <t>Singleton</t>
  </si>
  <si>
    <t>Bradley</t>
  </si>
  <si>
    <t>Castro</t>
  </si>
  <si>
    <t>Brooklynn</t>
  </si>
  <si>
    <t>Kim</t>
  </si>
  <si>
    <t>Briella</t>
  </si>
  <si>
    <t>Fischer</t>
  </si>
  <si>
    <t>Jeremiah</t>
  </si>
  <si>
    <t>Alaya</t>
  </si>
  <si>
    <t>Small</t>
  </si>
  <si>
    <t>Ada</t>
  </si>
  <si>
    <t>Perez</t>
  </si>
  <si>
    <t>Greene</t>
  </si>
  <si>
    <t>Rylie</t>
  </si>
  <si>
    <t>Nguyen</t>
  </si>
  <si>
    <t>Alfaro</t>
  </si>
  <si>
    <t>Hensley</t>
  </si>
  <si>
    <t>Sienna</t>
  </si>
  <si>
    <t>Stevenson</t>
  </si>
  <si>
    <t>Landon</t>
  </si>
  <si>
    <t>Pruitt</t>
  </si>
  <si>
    <t>Jax</t>
  </si>
  <si>
    <t>Best</t>
  </si>
  <si>
    <t>Aubrey</t>
  </si>
  <si>
    <t>Barrett</t>
  </si>
  <si>
    <t>Matteo</t>
  </si>
  <si>
    <t>Barker</t>
  </si>
  <si>
    <t>Richard</t>
  </si>
  <si>
    <t>Frances</t>
  </si>
  <si>
    <t>Brown</t>
  </si>
  <si>
    <t>Isabel</t>
  </si>
  <si>
    <t>Strickland</t>
  </si>
  <si>
    <t>Stephanie</t>
  </si>
  <si>
    <t>Brandt</t>
  </si>
  <si>
    <t>Durham</t>
  </si>
  <si>
    <t>William</t>
  </si>
  <si>
    <t>Myers</t>
  </si>
  <si>
    <t>Brewer</t>
  </si>
  <si>
    <t>Lucas</t>
  </si>
  <si>
    <t>Mercado</t>
  </si>
  <si>
    <t>Leonel</t>
  </si>
  <si>
    <t>Bates</t>
  </si>
  <si>
    <t>Anya</t>
  </si>
  <si>
    <t>Sweeney</t>
  </si>
  <si>
    <t>Valeria</t>
  </si>
  <si>
    <t>Enriquez</t>
  </si>
  <si>
    <t>Asa</t>
  </si>
  <si>
    <t>Ayers</t>
  </si>
  <si>
    <t>Ramsey</t>
  </si>
  <si>
    <t>Hank</t>
  </si>
  <si>
    <t>Kent</t>
  </si>
  <si>
    <t>Richardson</t>
  </si>
  <si>
    <t>Madelyn</t>
  </si>
  <si>
    <t>Mclean</t>
  </si>
  <si>
    <t>Duncan</t>
  </si>
  <si>
    <t>Maryam</t>
  </si>
  <si>
    <t>Haven</t>
  </si>
  <si>
    <t>Eden</t>
  </si>
  <si>
    <t>Esquivel</t>
  </si>
  <si>
    <t>Matias</t>
  </si>
  <si>
    <t>Murray</t>
  </si>
  <si>
    <t>Kyson</t>
  </si>
  <si>
    <t>Joseph</t>
  </si>
  <si>
    <t>Fernanda</t>
  </si>
  <si>
    <t>Ivan</t>
  </si>
  <si>
    <t>Dominic</t>
  </si>
  <si>
    <t>Renata</t>
  </si>
  <si>
    <t>Yu</t>
  </si>
  <si>
    <t>Huynh</t>
  </si>
  <si>
    <t>Sarah</t>
  </si>
  <si>
    <t>Sage</t>
  </si>
  <si>
    <t>Beau</t>
  </si>
  <si>
    <t>Lin</t>
  </si>
  <si>
    <t>Beard</t>
  </si>
  <si>
    <t>Leland</t>
  </si>
  <si>
    <t>Camilo</t>
  </si>
  <si>
    <t>Zyaire</t>
  </si>
  <si>
    <t>Shields</t>
  </si>
  <si>
    <t>Eduardo</t>
  </si>
  <si>
    <t>Zuniga</t>
  </si>
  <si>
    <t>Edwin</t>
  </si>
  <si>
    <t>Julian</t>
  </si>
  <si>
    <t>Pacheco</t>
  </si>
  <si>
    <t>Manning</t>
  </si>
  <si>
    <t>Connor</t>
  </si>
  <si>
    <t>Raelynn</t>
  </si>
  <si>
    <t>Hess</t>
  </si>
  <si>
    <t>Kairo</t>
  </si>
  <si>
    <t>Pablo</t>
  </si>
  <si>
    <t>Frederick</t>
  </si>
  <si>
    <t>Skinner</t>
  </si>
  <si>
    <t>Bennett</t>
  </si>
  <si>
    <t>Josue</t>
  </si>
  <si>
    <t>Carter</t>
  </si>
  <si>
    <t>Hamilton</t>
  </si>
  <si>
    <t>Elle</t>
  </si>
  <si>
    <t>Medina</t>
  </si>
  <si>
    <t>Jimenez</t>
  </si>
  <si>
    <t>Kamila</t>
  </si>
  <si>
    <t>Penelope</t>
  </si>
  <si>
    <t>Valentine</t>
  </si>
  <si>
    <t>Koda</t>
  </si>
  <si>
    <t>Chang</t>
  </si>
  <si>
    <t>Esmeralda</t>
  </si>
  <si>
    <t>Alayna</t>
  </si>
  <si>
    <t>Haisley</t>
  </si>
  <si>
    <t>Stephens</t>
  </si>
  <si>
    <t>Taylor</t>
  </si>
  <si>
    <t>Delacruz</t>
  </si>
  <si>
    <t>Zayne</t>
  </si>
  <si>
    <t>Alvarez</t>
  </si>
  <si>
    <t>Seth</t>
  </si>
  <si>
    <t>Gross</t>
  </si>
  <si>
    <t>Gianna</t>
  </si>
  <si>
    <t>Isaiah</t>
  </si>
  <si>
    <t>Bo</t>
  </si>
  <si>
    <t>Little</t>
  </si>
  <si>
    <t>Travis</t>
  </si>
  <si>
    <t>Micah</t>
  </si>
  <si>
    <t>Atticus</t>
  </si>
  <si>
    <t>Rowland</t>
  </si>
  <si>
    <t>Gavin</t>
  </si>
  <si>
    <t>Wheeler</t>
  </si>
  <si>
    <t>Sullivan</t>
  </si>
  <si>
    <t>Emmett</t>
  </si>
  <si>
    <t>Padilla</t>
  </si>
  <si>
    <t>Sims</t>
  </si>
  <si>
    <t>Selena</t>
  </si>
  <si>
    <t>Palacios</t>
  </si>
  <si>
    <t>Hall</t>
  </si>
  <si>
    <t>Barron</t>
  </si>
  <si>
    <t>Rhys</t>
  </si>
  <si>
    <t>Alicia</t>
  </si>
  <si>
    <t>O’Connell</t>
  </si>
  <si>
    <t>Evelynn</t>
  </si>
  <si>
    <t>Snow</t>
  </si>
  <si>
    <t>White</t>
  </si>
  <si>
    <t>Lila</t>
  </si>
  <si>
    <t>Theo</t>
  </si>
  <si>
    <t>Mayer</t>
  </si>
  <si>
    <t>Steven</t>
  </si>
  <si>
    <t>Nadia</t>
  </si>
  <si>
    <t>Greer</t>
  </si>
  <si>
    <t>Sydney</t>
  </si>
  <si>
    <t>Wise</t>
  </si>
  <si>
    <t>Ava</t>
  </si>
  <si>
    <t>Mathis</t>
  </si>
  <si>
    <t>Damon</t>
  </si>
  <si>
    <t>Vaughan</t>
  </si>
  <si>
    <t>Leila</t>
  </si>
  <si>
    <t>Hanna</t>
  </si>
  <si>
    <t>Rowan</t>
  </si>
  <si>
    <t>Henson</t>
  </si>
  <si>
    <t>Vivian</t>
  </si>
  <si>
    <t>Clayton</t>
  </si>
  <si>
    <t>Carr</t>
  </si>
  <si>
    <t>Arellano</t>
  </si>
  <si>
    <t>Jonathan</t>
  </si>
  <si>
    <t>Dennis</t>
  </si>
  <si>
    <t>Alijah</t>
  </si>
  <si>
    <t>Conrad</t>
  </si>
  <si>
    <t>Sebastian</t>
  </si>
  <si>
    <t>Kerr</t>
  </si>
  <si>
    <t>Summer</t>
  </si>
  <si>
    <t>Mcintyre</t>
  </si>
  <si>
    <t>June</t>
  </si>
  <si>
    <t>Scott</t>
  </si>
  <si>
    <t>Cordova</t>
  </si>
  <si>
    <t>Johns</t>
  </si>
  <si>
    <t>Payton</t>
  </si>
  <si>
    <t>Roth</t>
  </si>
  <si>
    <t>Titus</t>
  </si>
  <si>
    <t>Schneider</t>
  </si>
  <si>
    <t>Gill</t>
  </si>
  <si>
    <t>Phoenix</t>
  </si>
  <si>
    <t>Ferguson</t>
  </si>
  <si>
    <t>Craig</t>
  </si>
  <si>
    <t>Gonzalez</t>
  </si>
  <si>
    <t>Maria</t>
  </si>
  <si>
    <t>Huffman</t>
  </si>
  <si>
    <t>Curry</t>
  </si>
  <si>
    <t>Magana</t>
  </si>
  <si>
    <t>Kyrie</t>
  </si>
  <si>
    <t>Schroeder</t>
  </si>
  <si>
    <t>Dylan</t>
  </si>
  <si>
    <t>Love</t>
  </si>
  <si>
    <t>Abraham</t>
  </si>
  <si>
    <t>Emily</t>
  </si>
  <si>
    <t>Pugh</t>
  </si>
  <si>
    <t>Gracelyn</t>
  </si>
  <si>
    <t>Middleton</t>
  </si>
  <si>
    <t>Jesse</t>
  </si>
  <si>
    <t>Hubbard</t>
  </si>
  <si>
    <t>Barber</t>
  </si>
  <si>
    <t>Marcus</t>
  </si>
  <si>
    <t>Montes</t>
  </si>
  <si>
    <t>Catalina</t>
  </si>
  <si>
    <t>Rowe</t>
  </si>
  <si>
    <t>Trinity</t>
  </si>
  <si>
    <t>Adkins</t>
  </si>
  <si>
    <t>Cole</t>
  </si>
  <si>
    <t>Ian</t>
  </si>
  <si>
    <t>Page</t>
  </si>
  <si>
    <t>Quintero</t>
  </si>
  <si>
    <t>Huff</t>
  </si>
  <si>
    <t>Ryan</t>
  </si>
  <si>
    <t>Maisie</t>
  </si>
  <si>
    <t>Tanner</t>
  </si>
  <si>
    <t>Simpson</t>
  </si>
  <si>
    <t>Alexandra</t>
  </si>
  <si>
    <t>Kora</t>
  </si>
  <si>
    <t>Colón</t>
  </si>
  <si>
    <t>Samara</t>
  </si>
  <si>
    <t>Martin</t>
  </si>
  <si>
    <t>Mullins</t>
  </si>
  <si>
    <t>Regina</t>
  </si>
  <si>
    <t>Hayes</t>
  </si>
  <si>
    <t>Kaylee</t>
  </si>
  <si>
    <t>Mcgee</t>
  </si>
  <si>
    <t>Novak</t>
  </si>
  <si>
    <t>Wade</t>
  </si>
  <si>
    <t>Sonny</t>
  </si>
  <si>
    <t>Katherine</t>
  </si>
  <si>
    <t>Ximena</t>
  </si>
  <si>
    <t>Matthews</t>
  </si>
  <si>
    <t>Stetson</t>
  </si>
  <si>
    <t>Gray</t>
  </si>
  <si>
    <t>Rosario</t>
  </si>
  <si>
    <t>Casey</t>
  </si>
  <si>
    <t>Sutton</t>
  </si>
  <si>
    <t>Steele</t>
  </si>
  <si>
    <t>Patton</t>
  </si>
  <si>
    <t>Allie</t>
  </si>
  <si>
    <t>Mora</t>
  </si>
  <si>
    <t>Hanson</t>
  </si>
  <si>
    <t>Kayla</t>
  </si>
  <si>
    <t>Barnes</t>
  </si>
  <si>
    <t>Naomi</t>
  </si>
  <si>
    <t>Larson</t>
  </si>
  <si>
    <t>Jasmine</t>
  </si>
  <si>
    <t>Georgia</t>
  </si>
  <si>
    <t>Sterling</t>
  </si>
  <si>
    <t>Makayla</t>
  </si>
  <si>
    <t>Ariana</t>
  </si>
  <si>
    <t>Warren</t>
  </si>
  <si>
    <t>Walker</t>
  </si>
  <si>
    <t>Saige</t>
  </si>
  <si>
    <t>French</t>
  </si>
  <si>
    <t>Hodge</t>
  </si>
  <si>
    <t>Banks</t>
  </si>
  <si>
    <t>Hudson</t>
  </si>
  <si>
    <t>Aisha</t>
  </si>
  <si>
    <t>Jacob</t>
  </si>
  <si>
    <t>Velez</t>
  </si>
  <si>
    <t>Navy</t>
  </si>
  <si>
    <t>Schultz</t>
  </si>
  <si>
    <t>Lilly</t>
  </si>
  <si>
    <t>Rhodes</t>
  </si>
  <si>
    <t>Evelyn</t>
  </si>
  <si>
    <t>Arya</t>
  </si>
  <si>
    <t>Cantrell</t>
  </si>
  <si>
    <t>Sophia</t>
  </si>
  <si>
    <t>Quinn</t>
  </si>
  <si>
    <t>George</t>
  </si>
  <si>
    <t>Rhett</t>
  </si>
  <si>
    <t>Ward</t>
  </si>
  <si>
    <t>Amelia</t>
  </si>
  <si>
    <t>Payne</t>
  </si>
  <si>
    <t>Ortiz</t>
  </si>
  <si>
    <t>Gracie</t>
  </si>
  <si>
    <t>Becker</t>
  </si>
  <si>
    <t>Jaxon</t>
  </si>
  <si>
    <t>Kade</t>
  </si>
  <si>
    <t>Glass</t>
  </si>
  <si>
    <t>Timothy</t>
  </si>
  <si>
    <t>Petersen</t>
  </si>
  <si>
    <t>Elliot</t>
  </si>
  <si>
    <t>Lu</t>
  </si>
  <si>
    <t>Sergio</t>
  </si>
  <si>
    <t>Brooks</t>
  </si>
  <si>
    <t>Randall</t>
  </si>
  <si>
    <t>Potts</t>
  </si>
  <si>
    <t>Herman</t>
  </si>
  <si>
    <t>Gillespie</t>
  </si>
  <si>
    <t>Allison</t>
  </si>
  <si>
    <t>Ingram</t>
  </si>
  <si>
    <t>Reyes</t>
  </si>
  <si>
    <t>Aaliyah</t>
  </si>
  <si>
    <t>Elian</t>
  </si>
  <si>
    <t>Phillips</t>
  </si>
  <si>
    <t>Autumn</t>
  </si>
  <si>
    <t>Emiliano</t>
  </si>
  <si>
    <t>Jacobson</t>
  </si>
  <si>
    <t>Ariah</t>
  </si>
  <si>
    <t>Beasley</t>
  </si>
  <si>
    <t>Malia</t>
  </si>
  <si>
    <t>Aguirre</t>
  </si>
  <si>
    <t>Baylor</t>
  </si>
  <si>
    <t>Nicolas</t>
  </si>
  <si>
    <t>Morrison</t>
  </si>
  <si>
    <t>Caiden</t>
  </si>
  <si>
    <t>Dallas</t>
  </si>
  <si>
    <t>Swanson</t>
  </si>
  <si>
    <t>Carolina</t>
  </si>
  <si>
    <t>Ayden</t>
  </si>
  <si>
    <t>Skylar</t>
  </si>
  <si>
    <t>Noble</t>
  </si>
  <si>
    <t>Hunt</t>
  </si>
  <si>
    <t>Ivy</t>
  </si>
  <si>
    <t>Kayson</t>
  </si>
  <si>
    <t>Washington</t>
  </si>
  <si>
    <t>Savannah</t>
  </si>
  <si>
    <t>Avalos</t>
  </si>
  <si>
    <t>Alan</t>
  </si>
  <si>
    <t>Adams</t>
  </si>
  <si>
    <t>Valerie</t>
  </si>
  <si>
    <t>Brock</t>
  </si>
  <si>
    <t>Itzel</t>
  </si>
  <si>
    <t>Jimena</t>
  </si>
  <si>
    <t>Alyssa</t>
  </si>
  <si>
    <t>Zamora</t>
  </si>
  <si>
    <t>Drake</t>
  </si>
  <si>
    <t>Emma</t>
  </si>
  <si>
    <t>Fatima</t>
  </si>
  <si>
    <t>Bonilla</t>
  </si>
  <si>
    <t>Zander</t>
  </si>
  <si>
    <t>Maddox</t>
  </si>
  <si>
    <t>Doyle</t>
  </si>
  <si>
    <t>Messiah</t>
  </si>
  <si>
    <t>Owen</t>
  </si>
  <si>
    <t>Kendrick</t>
  </si>
  <si>
    <t>Stephenson</t>
  </si>
  <si>
    <t>Hodges</t>
  </si>
  <si>
    <t>Hopkins</t>
  </si>
  <si>
    <t>Serenity</t>
  </si>
  <si>
    <t>Parks</t>
  </si>
  <si>
    <t>Leonardo</t>
  </si>
  <si>
    <t>Graham</t>
  </si>
  <si>
    <t>Ball</t>
  </si>
  <si>
    <t>Moore</t>
  </si>
  <si>
    <t>Liliana</t>
  </si>
  <si>
    <t>Browning</t>
  </si>
  <si>
    <t>Curtis</t>
  </si>
  <si>
    <t>Claire</t>
  </si>
  <si>
    <t>Brennan</t>
  </si>
  <si>
    <t>Osborne</t>
  </si>
  <si>
    <t>Salem</t>
  </si>
  <si>
    <t>Charlee</t>
  </si>
  <si>
    <t>Duffy</t>
  </si>
  <si>
    <t>Hannah</t>
  </si>
  <si>
    <t>Lang</t>
  </si>
  <si>
    <t>Gracelynn</t>
  </si>
  <si>
    <t>Guevara</t>
  </si>
  <si>
    <t>Dominguez</t>
  </si>
  <si>
    <t>Justin</t>
  </si>
  <si>
    <t>Dillon</t>
  </si>
  <si>
    <t>Jaxton</t>
  </si>
  <si>
    <t>Makenna</t>
  </si>
  <si>
    <t>O’Brien</t>
  </si>
  <si>
    <t>Reese</t>
  </si>
  <si>
    <t>Hutchinson</t>
  </si>
  <si>
    <t>Millie</t>
  </si>
  <si>
    <t>Harlow</t>
  </si>
  <si>
    <t>Harmon</t>
  </si>
  <si>
    <t>Camille</t>
  </si>
  <si>
    <t>Lamb</t>
  </si>
  <si>
    <t>Lia</t>
  </si>
  <si>
    <t>Walters</t>
  </si>
  <si>
    <t>Franklin</t>
  </si>
  <si>
    <t>Farrell</t>
  </si>
  <si>
    <t>Hurst</t>
  </si>
  <si>
    <t>Ruiz</t>
  </si>
  <si>
    <t>Alayah</t>
  </si>
  <si>
    <t>Adelaide</t>
  </si>
  <si>
    <t>Elaine</t>
  </si>
  <si>
    <t>Johnson</t>
  </si>
  <si>
    <t>Ronan</t>
  </si>
  <si>
    <t>Aurora</t>
  </si>
  <si>
    <t>Ricardo</t>
  </si>
  <si>
    <t>Mcconnell</t>
  </si>
  <si>
    <t>Lilah</t>
  </si>
  <si>
    <t>Webster</t>
  </si>
  <si>
    <t>Sylas</t>
  </si>
  <si>
    <t>Lyla</t>
  </si>
  <si>
    <t>Robinson</t>
  </si>
  <si>
    <t>Ho</t>
  </si>
  <si>
    <t>Everleigh</t>
  </si>
  <si>
    <t>Bryson</t>
  </si>
  <si>
    <t>Marshall</t>
  </si>
  <si>
    <t>Sanford</t>
  </si>
  <si>
    <t>Caroline</t>
  </si>
  <si>
    <t>Price</t>
  </si>
  <si>
    <t>Jaylen</t>
  </si>
  <si>
    <t>Harris</t>
  </si>
  <si>
    <t>Grayson</t>
  </si>
  <si>
    <t>Pope</t>
  </si>
  <si>
    <t>Savage</t>
  </si>
  <si>
    <t>Rogers</t>
  </si>
  <si>
    <t>Phoebe</t>
  </si>
  <si>
    <t>Peck</t>
  </si>
  <si>
    <t>Sophie</t>
  </si>
  <si>
    <t>Javier</t>
  </si>
  <si>
    <t>Welch</t>
  </si>
  <si>
    <t>Moran</t>
  </si>
  <si>
    <t>Mayo</t>
  </si>
  <si>
    <t>Octavia</t>
  </si>
  <si>
    <t>Cortéz</t>
  </si>
  <si>
    <t>Bravo</t>
  </si>
  <si>
    <t>Sabrina</t>
  </si>
  <si>
    <t>Augustus</t>
  </si>
  <si>
    <t>Burns</t>
  </si>
  <si>
    <t>Joel</t>
  </si>
  <si>
    <t>Remington</t>
  </si>
  <si>
    <t>Stone</t>
  </si>
  <si>
    <t>Francesca</t>
  </si>
  <si>
    <t>Eaton</t>
  </si>
  <si>
    <t>Violet</t>
  </si>
  <si>
    <t>Journee</t>
  </si>
  <si>
    <t>Hill</t>
  </si>
  <si>
    <t>Valentina</t>
  </si>
  <si>
    <t>Gordon</t>
  </si>
  <si>
    <t>Jett</t>
  </si>
  <si>
    <t>Hobbs</t>
  </si>
  <si>
    <t>Adalyn</t>
  </si>
  <si>
    <t>Atkinson</t>
  </si>
  <si>
    <t>Jose</t>
  </si>
  <si>
    <t>Knapp</t>
  </si>
  <si>
    <t>Ventura</t>
  </si>
  <si>
    <t>Zoey</t>
  </si>
  <si>
    <t>House</t>
  </si>
  <si>
    <t>Willow</t>
  </si>
  <si>
    <t>Vargas</t>
  </si>
  <si>
    <t>Zayden</t>
  </si>
  <si>
    <t>Royalty</t>
  </si>
  <si>
    <t>Mcdonald</t>
  </si>
  <si>
    <t>Adrian</t>
  </si>
  <si>
    <t>Leblanc</t>
  </si>
  <si>
    <t>Bishop</t>
  </si>
  <si>
    <t>Mack</t>
  </si>
  <si>
    <t>Chung</t>
  </si>
  <si>
    <t>Remi</t>
  </si>
  <si>
    <t>Nixon</t>
  </si>
  <si>
    <t>Eleanor</t>
  </si>
  <si>
    <t>Calhoun</t>
  </si>
  <si>
    <t>Aubree</t>
  </si>
  <si>
    <t>Cabrera</t>
  </si>
  <si>
    <t>Kira</t>
  </si>
  <si>
    <t>Reynolds</t>
  </si>
  <si>
    <t>Luis</t>
  </si>
  <si>
    <t>Willis</t>
  </si>
  <si>
    <t>Marsh</t>
  </si>
  <si>
    <t>Whitaker</t>
  </si>
  <si>
    <t>Jefferson</t>
  </si>
  <si>
    <t>Delaney</t>
  </si>
  <si>
    <t>Callan</t>
  </si>
  <si>
    <t>Danielle</t>
  </si>
  <si>
    <t>West</t>
  </si>
  <si>
    <t>Mueller</t>
  </si>
  <si>
    <t>Poppy</t>
  </si>
  <si>
    <t>Mann</t>
  </si>
  <si>
    <t>Cody</t>
  </si>
  <si>
    <t>Simmons</t>
  </si>
  <si>
    <t>Davila</t>
  </si>
  <si>
    <t>Tristan</t>
  </si>
  <si>
    <t>Mckenzie</t>
  </si>
  <si>
    <t>Khan</t>
  </si>
  <si>
    <t>Caldwell</t>
  </si>
  <si>
    <t>Fernandez</t>
  </si>
  <si>
    <t>Catherine</t>
  </si>
  <si>
    <t>Beckett</t>
  </si>
  <si>
    <t>Muhammad</t>
  </si>
  <si>
    <t>Hampton</t>
  </si>
  <si>
    <t>Muñoz</t>
  </si>
  <si>
    <t>Carmen</t>
  </si>
  <si>
    <t>Kenneth</t>
  </si>
  <si>
    <t>Gutierrez</t>
  </si>
  <si>
    <t>Andy</t>
  </si>
  <si>
    <t>Boyd</t>
  </si>
  <si>
    <t>Evangeline</t>
  </si>
  <si>
    <t>Moses</t>
  </si>
  <si>
    <t>Gabriella</t>
  </si>
  <si>
    <t>Esparza</t>
  </si>
  <si>
    <t>Tobias</t>
  </si>
  <si>
    <t>Floyd</t>
  </si>
  <si>
    <t>Rojas</t>
  </si>
  <si>
    <t>Dunn</t>
  </si>
  <si>
    <t>Kelley</t>
  </si>
  <si>
    <t>Kevin</t>
  </si>
  <si>
    <t>Gardner</t>
  </si>
  <si>
    <t>Winter</t>
  </si>
  <si>
    <t>Melton</t>
  </si>
  <si>
    <t>Suarez</t>
  </si>
  <si>
    <t>Merritt</t>
  </si>
  <si>
    <t>Ezra</t>
  </si>
  <si>
    <t>Uriel</t>
  </si>
  <si>
    <t>Stella</t>
  </si>
  <si>
    <t>Armstrong</t>
  </si>
  <si>
    <t>Angelo</t>
  </si>
  <si>
    <t>Ruth</t>
  </si>
  <si>
    <t>Clements</t>
  </si>
  <si>
    <t>Blair</t>
  </si>
  <si>
    <t>Butler</t>
  </si>
  <si>
    <t>Natalie</t>
  </si>
  <si>
    <t>Patel</t>
  </si>
  <si>
    <t>Holmes</t>
  </si>
  <si>
    <t>Green</t>
  </si>
  <si>
    <t>Crew</t>
  </si>
  <si>
    <t>Salinas</t>
  </si>
  <si>
    <t>Bond</t>
  </si>
  <si>
    <t>Compton</t>
  </si>
  <si>
    <t xml:space="preserve">Address </t>
  </si>
  <si>
    <t>City</t>
  </si>
  <si>
    <t>Postal Code</t>
  </si>
  <si>
    <t>Sales Price (Per unit)</t>
  </si>
  <si>
    <t>Phone</t>
  </si>
  <si>
    <t>54113 Main Street</t>
  </si>
  <si>
    <t>Broome</t>
  </si>
  <si>
    <t>+61 8 9929 7089</t>
  </si>
  <si>
    <t>31652 Main Street</t>
  </si>
  <si>
    <t>Canberra</t>
  </si>
  <si>
    <t>+61 2 2684 3193</t>
  </si>
  <si>
    <t>35446 King Street</t>
  </si>
  <si>
    <t>Newcastle</t>
  </si>
  <si>
    <t>+61 6 6279 4893</t>
  </si>
  <si>
    <t>67535 Park Avenue</t>
  </si>
  <si>
    <t>Ballarat</t>
  </si>
  <si>
    <t>+61 9 6193 6662</t>
  </si>
  <si>
    <t>78361 Elizabeth Street</t>
  </si>
  <si>
    <t>Gold Coast</t>
  </si>
  <si>
    <t>+61 8 2149 9223</t>
  </si>
  <si>
    <t>12937 George Street</t>
  </si>
  <si>
    <t>Mount Gambier</t>
  </si>
  <si>
    <t>+61 7 3754 9016</t>
  </si>
  <si>
    <t>55276 Main Street</t>
  </si>
  <si>
    <t>Geelong</t>
  </si>
  <si>
    <t>+61 2 5999 8075</t>
  </si>
  <si>
    <t>72499 Main Street</t>
  </si>
  <si>
    <t>Fremantle</t>
  </si>
  <si>
    <t>+61 8 5174 1777</t>
  </si>
  <si>
    <t>67620 Main Street</t>
  </si>
  <si>
    <t>Launceston</t>
  </si>
  <si>
    <t>+61 2 3646 7756</t>
  </si>
  <si>
    <t>36501 Main Street</t>
  </si>
  <si>
    <t>Hobart</t>
  </si>
  <si>
    <t>+61 7 5771 9670</t>
  </si>
  <si>
    <t>32742 Park Avenue</t>
  </si>
  <si>
    <t>Cairns</t>
  </si>
  <si>
    <t>+61 4 3247 8562</t>
  </si>
  <si>
    <t>64128 Main Street</t>
  </si>
  <si>
    <t>+61 6 6035 7957</t>
  </si>
  <si>
    <t>74442 Park Avenue</t>
  </si>
  <si>
    <t>+61 5 4315 9069</t>
  </si>
  <si>
    <t>27685 George Street</t>
  </si>
  <si>
    <t>Melbourne</t>
  </si>
  <si>
    <t>+61 6 4872 6400</t>
  </si>
  <si>
    <t>52948 Elizabeth Street</t>
  </si>
  <si>
    <t>+61 6 3685 2382</t>
  </si>
  <si>
    <t>65429 Park Avenue</t>
  </si>
  <si>
    <t>Darwin</t>
  </si>
  <si>
    <t>+61 3 1281 9764</t>
  </si>
  <si>
    <t>69927 Elizabeth Street</t>
  </si>
  <si>
    <t>+61 2 8353 1443</t>
  </si>
  <si>
    <t>20473 Elizabeth Street</t>
  </si>
  <si>
    <t>+61 7 3818 3446</t>
  </si>
  <si>
    <t>23352 Main Street</t>
  </si>
  <si>
    <t>+61 9 3972 9212</t>
  </si>
  <si>
    <t>50269 Elizabeth Street</t>
  </si>
  <si>
    <t>+61 4 6693 3445</t>
  </si>
  <si>
    <t>2111 King Street</t>
  </si>
  <si>
    <t>+61 6 4641 4524</t>
  </si>
  <si>
    <t>49044 Main Street</t>
  </si>
  <si>
    <t>+61 4 4909 1170</t>
  </si>
  <si>
    <t>31985 Park Avenue</t>
  </si>
  <si>
    <t>+61 9 2069 3039</t>
  </si>
  <si>
    <t>79707 Elizabeth Street</t>
  </si>
  <si>
    <t>+61 3 7245 8172</t>
  </si>
  <si>
    <t>12506 Main Street</t>
  </si>
  <si>
    <t>Wollongong</t>
  </si>
  <si>
    <t>+61 3 2697 1777</t>
  </si>
  <si>
    <t>15349 Main Street</t>
  </si>
  <si>
    <t>Perth</t>
  </si>
  <si>
    <t>+61 2 6247 7968</t>
  </si>
  <si>
    <t>91039 Park Avenue</t>
  </si>
  <si>
    <t>Brisbane</t>
  </si>
  <si>
    <t>+61 2 3558 5728</t>
  </si>
  <si>
    <t>63839 Elizabeth Street</t>
  </si>
  <si>
    <t>+61 4 3819 3436</t>
  </si>
  <si>
    <t>75988 King Street</t>
  </si>
  <si>
    <t>+61 8 6187 1974</t>
  </si>
  <si>
    <t>7523 George Street</t>
  </si>
  <si>
    <t>+61 2 5223 7219</t>
  </si>
  <si>
    <t>79218 Park Avenue</t>
  </si>
  <si>
    <t>+61 4 7114 5580</t>
  </si>
  <si>
    <t>82168 King Street</t>
  </si>
  <si>
    <t>+61 5 3648 6335</t>
  </si>
  <si>
    <t>47390 George Street</t>
  </si>
  <si>
    <t>+61 7 4459 6057</t>
  </si>
  <si>
    <t>65566 Elizabeth Street</t>
  </si>
  <si>
    <t>+61 3 3537 4490</t>
  </si>
  <si>
    <t>22831 Park Avenue</t>
  </si>
  <si>
    <t>+61 2 9478 4516</t>
  </si>
  <si>
    <t>32286 Park Avenue</t>
  </si>
  <si>
    <t>+61 6 4136 2298</t>
  </si>
  <si>
    <t>40586 Park Avenue</t>
  </si>
  <si>
    <t>+61 6 1603 7513</t>
  </si>
  <si>
    <t>33763 King Street</t>
  </si>
  <si>
    <t>+61 4 8640 6144</t>
  </si>
  <si>
    <t>91716 Park Avenue</t>
  </si>
  <si>
    <t>+61 7 7556 5559</t>
  </si>
  <si>
    <t>70325 King Street</t>
  </si>
  <si>
    <t>+61 9 7387 7435</t>
  </si>
  <si>
    <t>15417 Elizabeth Street</t>
  </si>
  <si>
    <t>+61 3 1125 8801</t>
  </si>
  <si>
    <t>20665 King Street</t>
  </si>
  <si>
    <t>+61 2 8707 1256</t>
  </si>
  <si>
    <t>14702 George Street</t>
  </si>
  <si>
    <t>+61 4 4894 3292</t>
  </si>
  <si>
    <t>36211 George Street</t>
  </si>
  <si>
    <t>+61 4 4846 8091</t>
  </si>
  <si>
    <t>33911 Elizabeth Street</t>
  </si>
  <si>
    <t>+61 3 5429 9394</t>
  </si>
  <si>
    <t>88519 Main Street</t>
  </si>
  <si>
    <t>+61 3 4274 6770</t>
  </si>
  <si>
    <t>38317 Park Avenue</t>
  </si>
  <si>
    <t>+61 3 5456 4663</t>
  </si>
  <si>
    <t>67995 Park Avenue</t>
  </si>
  <si>
    <t>+61 2 3230 4597</t>
  </si>
  <si>
    <t>91009 Park Avenue</t>
  </si>
  <si>
    <t>Whyalla</t>
  </si>
  <si>
    <t>+61 4 5733 1690</t>
  </si>
  <si>
    <t>8270 Elizabeth Street</t>
  </si>
  <si>
    <t>+61 4 4793 3785</t>
  </si>
  <si>
    <t>30245 Main Street</t>
  </si>
  <si>
    <t>+61 5 9847 1946</t>
  </si>
  <si>
    <t>3616 Main Street</t>
  </si>
  <si>
    <t>+61 2 9438 9181</t>
  </si>
  <si>
    <t>37556 Park Avenue</t>
  </si>
  <si>
    <t>+61 3 9100 4349</t>
  </si>
  <si>
    <t>64859 Park Avenue</t>
  </si>
  <si>
    <t>Alice Springs</t>
  </si>
  <si>
    <t>+61 2 7743 5562</t>
  </si>
  <si>
    <t>51450 Park Avenue</t>
  </si>
  <si>
    <t>+61 6 1800 8105</t>
  </si>
  <si>
    <t>98776 King Street</t>
  </si>
  <si>
    <t>+61 8 4482 1286</t>
  </si>
  <si>
    <t>79405 George Street</t>
  </si>
  <si>
    <t>+61 3 2068 2596</t>
  </si>
  <si>
    <t>12747 Main Street</t>
  </si>
  <si>
    <t>+61 8 7435 8384</t>
  </si>
  <si>
    <t>62504 Main Street</t>
  </si>
  <si>
    <t>+61 6 8086 1334</t>
  </si>
  <si>
    <t>6714 King Street</t>
  </si>
  <si>
    <t>+61 2 3492 5141</t>
  </si>
  <si>
    <t>40939 Elizabeth Street</t>
  </si>
  <si>
    <t>+61 6 6452 8362</t>
  </si>
  <si>
    <t>6565 King Street</t>
  </si>
  <si>
    <t>+61 8 6113 5419</t>
  </si>
  <si>
    <t>48408 Park Avenue</t>
  </si>
  <si>
    <t>+61 9 4440 7340</t>
  </si>
  <si>
    <t>83494 Main Street</t>
  </si>
  <si>
    <t>+61 7 1636 2524</t>
  </si>
  <si>
    <t>23176 Park Avenue</t>
  </si>
  <si>
    <t>+61 3 5550 3211</t>
  </si>
  <si>
    <t>9679 Elizabeth Street</t>
  </si>
  <si>
    <t>+61 2 4555 5372</t>
  </si>
  <si>
    <t>4179 Elizabeth Street</t>
  </si>
  <si>
    <t>+61 7 1631 2802</t>
  </si>
  <si>
    <t>56068 Elizabeth Street</t>
  </si>
  <si>
    <t>+61 8 7187 1753</t>
  </si>
  <si>
    <t>25920 George Street</t>
  </si>
  <si>
    <t>+61 7 3920 3959</t>
  </si>
  <si>
    <t>48249 George Street</t>
  </si>
  <si>
    <t>+61 3 1862 1493</t>
  </si>
  <si>
    <t>20434 Park Avenue</t>
  </si>
  <si>
    <t>+61 6 1890 9215</t>
  </si>
  <si>
    <t>51302 Main Street</t>
  </si>
  <si>
    <t>+61 5 6362 5705</t>
  </si>
  <si>
    <t>82031 King Street</t>
  </si>
  <si>
    <t>Devonport</t>
  </si>
  <si>
    <t>+61 3 8660 5395</t>
  </si>
  <si>
    <t>14561 George Street</t>
  </si>
  <si>
    <t>+61 8 8950 5310</t>
  </si>
  <si>
    <t>98908 Park Avenue</t>
  </si>
  <si>
    <t>+61 9 5739 8952</t>
  </si>
  <si>
    <t>13507 Park Avenue</t>
  </si>
  <si>
    <t>+61 8 5349 5901</t>
  </si>
  <si>
    <t>78027 Main Street</t>
  </si>
  <si>
    <t>+61 4 3688 5969</t>
  </si>
  <si>
    <t>55885 Main Street</t>
  </si>
  <si>
    <t>+61 9 4216 6909</t>
  </si>
  <si>
    <t>73120 Main Street</t>
  </si>
  <si>
    <t>+61 7 9022 6640</t>
  </si>
  <si>
    <t>87984 George Street</t>
  </si>
  <si>
    <t>+61 4 6601 4396</t>
  </si>
  <si>
    <t>70539 King Street</t>
  </si>
  <si>
    <t>+61 7 5735 2927</t>
  </si>
  <si>
    <t>71136 Elizabeth Street</t>
  </si>
  <si>
    <t>+61 3 8666 1404</t>
  </si>
  <si>
    <t>15346 Main Street</t>
  </si>
  <si>
    <t>+61 5 6939 1328</t>
  </si>
  <si>
    <t>56751 George Street</t>
  </si>
  <si>
    <t>+61 8 3728 5894</t>
  </si>
  <si>
    <t>39289 Elizabeth Street</t>
  </si>
  <si>
    <t>+61 6 3418 1922</t>
  </si>
  <si>
    <t>69174 King Street</t>
  </si>
  <si>
    <t>+61 8 2910 7914</t>
  </si>
  <si>
    <t>64778 Elizabeth Street</t>
  </si>
  <si>
    <t>+61 4 5434 3125</t>
  </si>
  <si>
    <t>61223 Elizabeth Street</t>
  </si>
  <si>
    <t>+61 2 1302 4663</t>
  </si>
  <si>
    <t>95202 Park Avenue</t>
  </si>
  <si>
    <t>+61 3 3577 1687</t>
  </si>
  <si>
    <t>59287 King Street</t>
  </si>
  <si>
    <t>+61 9 7901 6154</t>
  </si>
  <si>
    <t>91161 George Street</t>
  </si>
  <si>
    <t>+61 8 9703 5285</t>
  </si>
  <si>
    <t>83685 Main Street</t>
  </si>
  <si>
    <t>+61 2 8881 2797</t>
  </si>
  <si>
    <t>71474 George Street</t>
  </si>
  <si>
    <t>+61 7 3849 8517</t>
  </si>
  <si>
    <t>76265 Park Avenue</t>
  </si>
  <si>
    <t>+61 6 5402 6258</t>
  </si>
  <si>
    <t>73847 Main Street</t>
  </si>
  <si>
    <t>+61 2 1395 7503</t>
  </si>
  <si>
    <t>1932 Main Street</t>
  </si>
  <si>
    <t>+61 8 3901 2578</t>
  </si>
  <si>
    <t>53572 George Street</t>
  </si>
  <si>
    <t>+61 4 2614 2207</t>
  </si>
  <si>
    <t>30861 Main Street</t>
  </si>
  <si>
    <t>+61 2 7447 5070</t>
  </si>
  <si>
    <t>48778 Park Avenue</t>
  </si>
  <si>
    <t>+61 7 3269 4746</t>
  </si>
  <si>
    <t>25494 King Street</t>
  </si>
  <si>
    <t>+61 9 3545 4286</t>
  </si>
  <si>
    <t>63594 Elizabeth Street</t>
  </si>
  <si>
    <t>+61 6 1507 3766</t>
  </si>
  <si>
    <t>50808 King Street</t>
  </si>
  <si>
    <t>+61 6 4695 4722</t>
  </si>
  <si>
    <t>42884 George Street</t>
  </si>
  <si>
    <t>+61 7 6592 8091</t>
  </si>
  <si>
    <t>95531 Main Street</t>
  </si>
  <si>
    <t>+61 7 8539 7050</t>
  </si>
  <si>
    <t>16269 King Street</t>
  </si>
  <si>
    <t>+61 3 3040 9752</t>
  </si>
  <si>
    <t>3487 King Street</t>
  </si>
  <si>
    <t>+61 7 1593 9784</t>
  </si>
  <si>
    <t>3099 Park Avenue</t>
  </si>
  <si>
    <t>+61 6 3768 2860</t>
  </si>
  <si>
    <t>98534 Main Street</t>
  </si>
  <si>
    <t>+61 2 6480 2898</t>
  </si>
  <si>
    <t>76592 George Street</t>
  </si>
  <si>
    <t>+61 3 4656 7360</t>
  </si>
  <si>
    <t>82936 Elizabeth Street</t>
  </si>
  <si>
    <t>+61 7 4900 6201</t>
  </si>
  <si>
    <t>86447 Main Street</t>
  </si>
  <si>
    <t>+61 6 8714 3821</t>
  </si>
  <si>
    <t>5229 Park Avenue</t>
  </si>
  <si>
    <t>+61 9 6012 6163</t>
  </si>
  <si>
    <t>50484 George Street</t>
  </si>
  <si>
    <t>+61 9 2865 3419</t>
  </si>
  <si>
    <t>75404 Elizabeth Street</t>
  </si>
  <si>
    <t>+61 2 2849 9015</t>
  </si>
  <si>
    <t>70259 Main Street</t>
  </si>
  <si>
    <t>+61 5 1573 1844</t>
  </si>
  <si>
    <t>23875 Elizabeth Street</t>
  </si>
  <si>
    <t>+61 5 2774 5791</t>
  </si>
  <si>
    <t>15337 Elizabeth Street</t>
  </si>
  <si>
    <t>+61 3 9180 5756</t>
  </si>
  <si>
    <t>21261 Elizabeth Street</t>
  </si>
  <si>
    <t>+61 2 2601 5037</t>
  </si>
  <si>
    <t>92297 Elizabeth Street</t>
  </si>
  <si>
    <t>+61 9 5347 3197</t>
  </si>
  <si>
    <t>68017 Main Street</t>
  </si>
  <si>
    <t>+61 4 4586 1728</t>
  </si>
  <si>
    <t>40096 George Street</t>
  </si>
  <si>
    <t>+61 4 3356 9902</t>
  </si>
  <si>
    <t>77866 Elizabeth Street</t>
  </si>
  <si>
    <t>+61 2 3917 9548</t>
  </si>
  <si>
    <t>50865 Park Avenue</t>
  </si>
  <si>
    <t>+61 8 2589 3473</t>
  </si>
  <si>
    <t>76983 Main Street</t>
  </si>
  <si>
    <t>+61 7 2265 7067</t>
  </si>
  <si>
    <t>79205 King Street</t>
  </si>
  <si>
    <t>+61 6 1192 5957</t>
  </si>
  <si>
    <t>95057 George Street</t>
  </si>
  <si>
    <t>+61 7 9133 7546</t>
  </si>
  <si>
    <t>91500 George Street</t>
  </si>
  <si>
    <t>+61 9 3571 6748</t>
  </si>
  <si>
    <t>60329 Main Street</t>
  </si>
  <si>
    <t>+61 2 4485 1979</t>
  </si>
  <si>
    <t>81659 King Street</t>
  </si>
  <si>
    <t>+61 3 3035 2375</t>
  </si>
  <si>
    <t>94708 Elizabeth Street</t>
  </si>
  <si>
    <t>+61 2 1570 2706</t>
  </si>
  <si>
    <t>75058 King Street</t>
  </si>
  <si>
    <t>+61 2 4909 4507</t>
  </si>
  <si>
    <t>9218 Elizabeth Street</t>
  </si>
  <si>
    <t>+61 9 3631 8970</t>
  </si>
  <si>
    <t>78520 Park Avenue</t>
  </si>
  <si>
    <t>+61 8 7579 9079</t>
  </si>
  <si>
    <t>21614 King Street</t>
  </si>
  <si>
    <t>+61 8 3186 1254</t>
  </si>
  <si>
    <t>9856 King Street</t>
  </si>
  <si>
    <t>+61 3 5206 7089</t>
  </si>
  <si>
    <t>27793 Park Avenue</t>
  </si>
  <si>
    <t>+61 6 4646 9808</t>
  </si>
  <si>
    <t>92479 George Street</t>
  </si>
  <si>
    <t>+61 4 8872 4964</t>
  </si>
  <si>
    <t>36128 Park Avenue</t>
  </si>
  <si>
    <t>+61 2 1213 2983</t>
  </si>
  <si>
    <t>55514 Main Street</t>
  </si>
  <si>
    <t>+61 8 6491 7251</t>
  </si>
  <si>
    <t>92328 George Street</t>
  </si>
  <si>
    <t>+61 3 7088 1359</t>
  </si>
  <si>
    <t>80522 King Street</t>
  </si>
  <si>
    <t>+61 3 4709 6126</t>
  </si>
  <si>
    <t>76884 Park Avenue</t>
  </si>
  <si>
    <t>+61 2 4964 6632</t>
  </si>
  <si>
    <t>77854 Elizabeth Street</t>
  </si>
  <si>
    <t>+61 9 5466 4896</t>
  </si>
  <si>
    <t>35500 King Street</t>
  </si>
  <si>
    <t>+61 7 5231 4873</t>
  </si>
  <si>
    <t>28331 Elizabeth Street</t>
  </si>
  <si>
    <t>+61 2 3936 4942</t>
  </si>
  <si>
    <t>87107 Main Street</t>
  </si>
  <si>
    <t>+61 7 7052 5237</t>
  </si>
  <si>
    <t>40071 King Street</t>
  </si>
  <si>
    <t>+61 2 3445 4248</t>
  </si>
  <si>
    <t>32850 Main Street</t>
  </si>
  <si>
    <t>+61 8 1649 5175</t>
  </si>
  <si>
    <t>44041 King Street</t>
  </si>
  <si>
    <t>+61 9 7606 1481</t>
  </si>
  <si>
    <t>84443 Elizabeth Street</t>
  </si>
  <si>
    <t>+61 6 9431 5985</t>
  </si>
  <si>
    <t>77843 Main Street</t>
  </si>
  <si>
    <t>+61 3 1576 2190</t>
  </si>
  <si>
    <t>70867 Elizabeth Street</t>
  </si>
  <si>
    <t>+61 8 3044 6852</t>
  </si>
  <si>
    <t>63867 Elizabeth Street</t>
  </si>
  <si>
    <t>+61 6 1636 2846</t>
  </si>
  <si>
    <t>18895 George Street</t>
  </si>
  <si>
    <t>+61 2 9735 4987</t>
  </si>
  <si>
    <t>25084 Park Avenue</t>
  </si>
  <si>
    <t>+61 6 3338 8997</t>
  </si>
  <si>
    <t>84382 King Street</t>
  </si>
  <si>
    <t>+61 9 3586 5040</t>
  </si>
  <si>
    <t>52326 King Street</t>
  </si>
  <si>
    <t>+61 8 8998 5233</t>
  </si>
  <si>
    <t>51229 Main Street</t>
  </si>
  <si>
    <t>+61 5 6036 7076</t>
  </si>
  <si>
    <t>92727 Elizabeth Street</t>
  </si>
  <si>
    <t>+61 7 2750 4125</t>
  </si>
  <si>
    <t>13468 Main Street</t>
  </si>
  <si>
    <t>+61 2 3057 4306</t>
  </si>
  <si>
    <t>97459 Main Street</t>
  </si>
  <si>
    <t>+61 9 8064 1833</t>
  </si>
  <si>
    <t>95804 Elizabeth Street</t>
  </si>
  <si>
    <t>+61 3 3184 8150</t>
  </si>
  <si>
    <t>87491 King Street</t>
  </si>
  <si>
    <t>+61 5 9754 2178</t>
  </si>
  <si>
    <t>58578 George Street</t>
  </si>
  <si>
    <t>+61 5 2771 9609</t>
  </si>
  <si>
    <t>82114 George Street</t>
  </si>
  <si>
    <t>+61 3 7197 9043</t>
  </si>
  <si>
    <t>31625 Park Avenue</t>
  </si>
  <si>
    <t>+61 4 5673 6955</t>
  </si>
  <si>
    <t>82683 King Street</t>
  </si>
  <si>
    <t>+61 6 7035 7589</t>
  </si>
  <si>
    <t>23809 Elizabeth Street</t>
  </si>
  <si>
    <t>+61 5 9949 9157</t>
  </si>
  <si>
    <t>6981 Main Street</t>
  </si>
  <si>
    <t>+61 3 6166 2541</t>
  </si>
  <si>
    <t>9746 Park Avenue</t>
  </si>
  <si>
    <t>+61 4 3317 6822</t>
  </si>
  <si>
    <t>60581 Park Avenue</t>
  </si>
  <si>
    <t>+61 6 6915 5646</t>
  </si>
  <si>
    <t>47246 Main Street</t>
  </si>
  <si>
    <t>+61 8 9955 9053</t>
  </si>
  <si>
    <t>84519 Park Avenue</t>
  </si>
  <si>
    <t>+61 6 9567 1027</t>
  </si>
  <si>
    <t>85362 George Street</t>
  </si>
  <si>
    <t>+61 2 7266 8180</t>
  </si>
  <si>
    <t>35625 Park Avenue</t>
  </si>
  <si>
    <t>+61 2 6714 7732</t>
  </si>
  <si>
    <t>95668 Main Street</t>
  </si>
  <si>
    <t>+61 3 4500 7676</t>
  </si>
  <si>
    <t>67626 Main Street</t>
  </si>
  <si>
    <t>+61 4 7423 5207</t>
  </si>
  <si>
    <t>81591 Main Street</t>
  </si>
  <si>
    <t>+61 6 2538 4144</t>
  </si>
  <si>
    <t>79103 Park Avenue</t>
  </si>
  <si>
    <t>+61 9 2504 5508</t>
  </si>
  <si>
    <t>24519 Main Street</t>
  </si>
  <si>
    <t>+61 3 8618 9130</t>
  </si>
  <si>
    <t>91971 Park Avenue</t>
  </si>
  <si>
    <t>+61 2 8190 1793</t>
  </si>
  <si>
    <t>84042 Park Avenue</t>
  </si>
  <si>
    <t>+61 6 3581 2528</t>
  </si>
  <si>
    <t>80596 Main Street</t>
  </si>
  <si>
    <t>+61 7 2994 9440</t>
  </si>
  <si>
    <t>61026 Park Avenue</t>
  </si>
  <si>
    <t>+61 4 3151 3154</t>
  </si>
  <si>
    <t>44704 Park Avenue</t>
  </si>
  <si>
    <t>+61 2 8240 3829</t>
  </si>
  <si>
    <t>93495 Elizabeth Street</t>
  </si>
  <si>
    <t>+61 5 6136 5152</t>
  </si>
  <si>
    <t>76917 Park Avenue</t>
  </si>
  <si>
    <t>+61 4 7131 2101</t>
  </si>
  <si>
    <t>79066 George Street</t>
  </si>
  <si>
    <t>+61 9 9505 4724</t>
  </si>
  <si>
    <t>92951 Elizabeth Street</t>
  </si>
  <si>
    <t>+61 2 3456 7586</t>
  </si>
  <si>
    <t>96865 Park Avenue</t>
  </si>
  <si>
    <t>+61 8 4883 7717</t>
  </si>
  <si>
    <t>31375 George Street</t>
  </si>
  <si>
    <t>+61 3 7387 1747</t>
  </si>
  <si>
    <t>62344 Main Street</t>
  </si>
  <si>
    <t>+61 4 1752 6729</t>
  </si>
  <si>
    <t>9535 Park Avenue</t>
  </si>
  <si>
    <t>+61 9 5577 2262</t>
  </si>
  <si>
    <t>4523 George Street</t>
  </si>
  <si>
    <t>+61 7 6539 2509</t>
  </si>
  <si>
    <t>21571 Main Street</t>
  </si>
  <si>
    <t>+61 4 3452 1800</t>
  </si>
  <si>
    <t>70998 Park Avenue</t>
  </si>
  <si>
    <t>+61 7 6237 2109</t>
  </si>
  <si>
    <t>8167 King Street</t>
  </si>
  <si>
    <t>+61 8 3965 4830</t>
  </si>
  <si>
    <t>15747 Park Avenue</t>
  </si>
  <si>
    <t>+61 7 7352 3406</t>
  </si>
  <si>
    <t>38796 King Street</t>
  </si>
  <si>
    <t>+61 5 8029 9708</t>
  </si>
  <si>
    <t>72046 George Street</t>
  </si>
  <si>
    <t>+61 3 3758 3336</t>
  </si>
  <si>
    <t>87002 Park Avenue</t>
  </si>
  <si>
    <t>+61 3 2969 3359</t>
  </si>
  <si>
    <t>67405 Main Street</t>
  </si>
  <si>
    <t>+61 2 7701 2644</t>
  </si>
  <si>
    <t>15747 Elizabeth Street</t>
  </si>
  <si>
    <t>+61 6 2915 6519</t>
  </si>
  <si>
    <t>72041 King Street</t>
  </si>
  <si>
    <t>+61 6 4634 7533</t>
  </si>
  <si>
    <t>71842 George Street</t>
  </si>
  <si>
    <t>+61 5 4174 9967</t>
  </si>
  <si>
    <t>58474 George Street</t>
  </si>
  <si>
    <t>+61 8 9010 3405</t>
  </si>
  <si>
    <t>19470 Park Avenue</t>
  </si>
  <si>
    <t>+61 7 7390 8269</t>
  </si>
  <si>
    <t>18703 George Street</t>
  </si>
  <si>
    <t>+61 7 7986 1424</t>
  </si>
  <si>
    <t>74782 King Street</t>
  </si>
  <si>
    <t>+61 6 9826 5838</t>
  </si>
  <si>
    <t>56662 King Street</t>
  </si>
  <si>
    <t>+61 2 7558 4740</t>
  </si>
  <si>
    <t>33800 George Street</t>
  </si>
  <si>
    <t>+61 3 7806 9582</t>
  </si>
  <si>
    <t>72622 King Street</t>
  </si>
  <si>
    <t>+61 8 6360 8797</t>
  </si>
  <si>
    <t>56698 George Street</t>
  </si>
  <si>
    <t>+61 2 9769 1187</t>
  </si>
  <si>
    <t>24900 Elizabeth Street</t>
  </si>
  <si>
    <t>+61 6 3126 8733</t>
  </si>
  <si>
    <t>68827 Main Street</t>
  </si>
  <si>
    <t>+61 3 4611 4540</t>
  </si>
  <si>
    <t>82476 King Street</t>
  </si>
  <si>
    <t>+61 2 1751 6920</t>
  </si>
  <si>
    <t>99364 Main Street</t>
  </si>
  <si>
    <t>+61 6 5457 9565</t>
  </si>
  <si>
    <t>70198 Elizabeth Street</t>
  </si>
  <si>
    <t>+61 7 5958 7903</t>
  </si>
  <si>
    <t>95350 Elizabeth Street</t>
  </si>
  <si>
    <t>+61 3 3946 1798</t>
  </si>
  <si>
    <t>87660 Elizabeth Street</t>
  </si>
  <si>
    <t>+61 3 8776 2770</t>
  </si>
  <si>
    <t>5589 Park Avenue</t>
  </si>
  <si>
    <t>+61 3 3845 6066</t>
  </si>
  <si>
    <t>52198 Elizabeth Street</t>
  </si>
  <si>
    <t>+61 2 5542 6542</t>
  </si>
  <si>
    <t>40604 King Street</t>
  </si>
  <si>
    <t>+61 4 1034 4670</t>
  </si>
  <si>
    <t>63957 King Street</t>
  </si>
  <si>
    <t>+61 4 8695 2168</t>
  </si>
  <si>
    <t>89320 King Street</t>
  </si>
  <si>
    <t>+61 2 3527 5145</t>
  </si>
  <si>
    <t>83005 Elizabeth Street</t>
  </si>
  <si>
    <t>+61 4 7413 3436</t>
  </si>
  <si>
    <t>14286 George Street</t>
  </si>
  <si>
    <t>+61 7 8920 6050</t>
  </si>
  <si>
    <t>36180 Park Avenue</t>
  </si>
  <si>
    <t>+61 9 9604 2224</t>
  </si>
  <si>
    <t>40342 Elizabeth Street</t>
  </si>
  <si>
    <t>+61 2 7351 2472</t>
  </si>
  <si>
    <t>6497 George Street</t>
  </si>
  <si>
    <t>+61 3 3445 1836</t>
  </si>
  <si>
    <t>70610 Main Street</t>
  </si>
  <si>
    <t>+61 9 9556 2575</t>
  </si>
  <si>
    <t>88071 Elizabeth Street</t>
  </si>
  <si>
    <t>+61 7 9920 4262</t>
  </si>
  <si>
    <t>23219 George Street</t>
  </si>
  <si>
    <t>+61 6 1213 4289</t>
  </si>
  <si>
    <t>66601 Park Avenue</t>
  </si>
  <si>
    <t>+61 3 4425 6625</t>
  </si>
  <si>
    <t>98545 Elizabeth Street</t>
  </si>
  <si>
    <t>+61 3 2472 9476</t>
  </si>
  <si>
    <t>16299 King Street</t>
  </si>
  <si>
    <t>+61 9 2905 3791</t>
  </si>
  <si>
    <t>84789 Main Street</t>
  </si>
  <si>
    <t>+61 3 1847 7499</t>
  </si>
  <si>
    <t>67667 Park Avenue</t>
  </si>
  <si>
    <t>+61 4 2886 2825</t>
  </si>
  <si>
    <t>43934 Park Avenue</t>
  </si>
  <si>
    <t>+61 3 4517 5236</t>
  </si>
  <si>
    <t>75213 Main Street</t>
  </si>
  <si>
    <t>+61 2 6518 4178</t>
  </si>
  <si>
    <t>29935 Main Street</t>
  </si>
  <si>
    <t>+61 3 4093 9473</t>
  </si>
  <si>
    <t>46175 Park Avenue</t>
  </si>
  <si>
    <t>+61 3 7293 1088</t>
  </si>
  <si>
    <t>14043 King Street</t>
  </si>
  <si>
    <t>+61 3 3373 3712</t>
  </si>
  <si>
    <t>19685 Park Avenue</t>
  </si>
  <si>
    <t>+61 7 9640 2971</t>
  </si>
  <si>
    <t>51799 King Street</t>
  </si>
  <si>
    <t>+61 6 4484 3145</t>
  </si>
  <si>
    <t>24866 George Street</t>
  </si>
  <si>
    <t>+61 8 4452 9285</t>
  </si>
  <si>
    <t>85866 Park Avenue</t>
  </si>
  <si>
    <t>+61 2 8619 1250</t>
  </si>
  <si>
    <t>4375 Park Avenue</t>
  </si>
  <si>
    <t>+61 7 4908 1904</t>
  </si>
  <si>
    <t>69165 King Street</t>
  </si>
  <si>
    <t>+61 5 3183 4910</t>
  </si>
  <si>
    <t>4566 King Street</t>
  </si>
  <si>
    <t>+61 4 4772 1999</t>
  </si>
  <si>
    <t>40063 Elizabeth Street</t>
  </si>
  <si>
    <t>+61 3 4926 7730</t>
  </si>
  <si>
    <t>78175 Main Street</t>
  </si>
  <si>
    <t>+61 4 6823 8737</t>
  </si>
  <si>
    <t>42868 George Street</t>
  </si>
  <si>
    <t>+61 7 7282 1265</t>
  </si>
  <si>
    <t>3101 Main Street</t>
  </si>
  <si>
    <t>+61 8 3270 4332</t>
  </si>
  <si>
    <t>10096 King Street</t>
  </si>
  <si>
    <t>+61 2 5022 1308</t>
  </si>
  <si>
    <t>25612 Park Avenue</t>
  </si>
  <si>
    <t>+61 6 5584 9269</t>
  </si>
  <si>
    <t>36982 George Street</t>
  </si>
  <si>
    <t>+61 6 2198 6361</t>
  </si>
  <si>
    <t>87817 Park Avenue</t>
  </si>
  <si>
    <t>+61 9 8099 5014</t>
  </si>
  <si>
    <t>21769 Park Avenue</t>
  </si>
  <si>
    <t>+61 9 4992 4841</t>
  </si>
  <si>
    <t>57226 Main Street</t>
  </si>
  <si>
    <t>+61 7 7758 6562</t>
  </si>
  <si>
    <t>67616 Elizabeth Street</t>
  </si>
  <si>
    <t>+61 7 3109 8008</t>
  </si>
  <si>
    <t>28702 George Street</t>
  </si>
  <si>
    <t>+61 4 6123 6348</t>
  </si>
  <si>
    <t>86465 King Street</t>
  </si>
  <si>
    <t>+61 9 4286 2796</t>
  </si>
  <si>
    <t>48526 Main Street</t>
  </si>
  <si>
    <t>+61 9 1722 1807</t>
  </si>
  <si>
    <t>2688 Park Avenue</t>
  </si>
  <si>
    <t>+61 5 3246 1038</t>
  </si>
  <si>
    <t>75054 Main Street</t>
  </si>
  <si>
    <t>+61 2 5840 5898</t>
  </si>
  <si>
    <t>37590 King Street</t>
  </si>
  <si>
    <t>+61 6 2498 5764</t>
  </si>
  <si>
    <t>88262 Park Avenue</t>
  </si>
  <si>
    <t>+61 2 9687 2093</t>
  </si>
  <si>
    <t>68505 Elizabeth Street</t>
  </si>
  <si>
    <t>+61 3 5307 5826</t>
  </si>
  <si>
    <t>60196 George Street</t>
  </si>
  <si>
    <t>+61 3 8566 6434</t>
  </si>
  <si>
    <t>59304 King Street</t>
  </si>
  <si>
    <t>+61 8 8003 5827</t>
  </si>
  <si>
    <t>15120 Park Avenue</t>
  </si>
  <si>
    <t>+61 6 6534 6776</t>
  </si>
  <si>
    <t>81105 Park Avenue</t>
  </si>
  <si>
    <t>+61 9 5020 1131</t>
  </si>
  <si>
    <t>93472 George Street</t>
  </si>
  <si>
    <t>+61 3 4212 3879</t>
  </si>
  <si>
    <t>88665 King Street</t>
  </si>
  <si>
    <t>+61 5 3952 8262</t>
  </si>
  <si>
    <t>99787 Main Street</t>
  </si>
  <si>
    <t>+61 5 1871 7938</t>
  </si>
  <si>
    <t>58173 George Street</t>
  </si>
  <si>
    <t>+61 9 5969 8091</t>
  </si>
  <si>
    <t>62421 Main Street</t>
  </si>
  <si>
    <t>+61 2 4143 8435</t>
  </si>
  <si>
    <t>66264 George Street</t>
  </si>
  <si>
    <t>+61 5 1327 8746</t>
  </si>
  <si>
    <t>19032 George Street</t>
  </si>
  <si>
    <t>+61 8 7906 3910</t>
  </si>
  <si>
    <t>112 Elizabeth Street</t>
  </si>
  <si>
    <t>+61 5 9799 7727</t>
  </si>
  <si>
    <t>10013 George Street</t>
  </si>
  <si>
    <t>+61 7 2362 2722</t>
  </si>
  <si>
    <t>15242 Park Avenue</t>
  </si>
  <si>
    <t>+61 6 8657 8263</t>
  </si>
  <si>
    <t>3562 George Street</t>
  </si>
  <si>
    <t>+61 4 9873 1337</t>
  </si>
  <si>
    <t>71615 Park Avenue</t>
  </si>
  <si>
    <t>+61 4 9990 4432</t>
  </si>
  <si>
    <t>80363 George Street</t>
  </si>
  <si>
    <t>+61 9 2100 9195</t>
  </si>
  <si>
    <t>4570 Elizabeth Street</t>
  </si>
  <si>
    <t>+61 5 1284 3216</t>
  </si>
  <si>
    <t>68190 George Street</t>
  </si>
  <si>
    <t>+61 8 5090 9019</t>
  </si>
  <si>
    <t>60423 George Street</t>
  </si>
  <si>
    <t>+61 9 7448 4994</t>
  </si>
  <si>
    <t>75747 Park Avenue</t>
  </si>
  <si>
    <t>+61 5 5903 9622</t>
  </si>
  <si>
    <t>36432 Main Street</t>
  </si>
  <si>
    <t>+61 5 1368 8804</t>
  </si>
  <si>
    <t>25255 Park Avenue</t>
  </si>
  <si>
    <t>+61 4 5490 8093</t>
  </si>
  <si>
    <t>25308 Park Avenue</t>
  </si>
  <si>
    <t>+61 3 8829 8274</t>
  </si>
  <si>
    <t>20758 Park Avenue</t>
  </si>
  <si>
    <t>+61 9 2280 7014</t>
  </si>
  <si>
    <t>97402 Main Street</t>
  </si>
  <si>
    <t>+61 2 5133 6518</t>
  </si>
  <si>
    <t>4083 Elizabeth Street</t>
  </si>
  <si>
    <t>+61 2 9313 3823</t>
  </si>
  <si>
    <t>28845 Elizabeth Street</t>
  </si>
  <si>
    <t>+61 3 1143 4289</t>
  </si>
  <si>
    <t>95411 Park Avenue</t>
  </si>
  <si>
    <t>+61 2 9649 9859</t>
  </si>
  <si>
    <t>42858 King Street</t>
  </si>
  <si>
    <t>+61 7 3522 1181</t>
  </si>
  <si>
    <t>9065 Park Avenue</t>
  </si>
  <si>
    <t>+61 7 7273 7374</t>
  </si>
  <si>
    <t>13464 George Street</t>
  </si>
  <si>
    <t>+61 9 4336 5417</t>
  </si>
  <si>
    <t>65163 King Street</t>
  </si>
  <si>
    <t>+61 5 3300 3302</t>
  </si>
  <si>
    <t>76403 George Street</t>
  </si>
  <si>
    <t>+61 6 2050 9134</t>
  </si>
  <si>
    <t>37713 Elizabeth Street</t>
  </si>
  <si>
    <t>+61 2 8634 4007</t>
  </si>
  <si>
    <t>6150 Park Avenue</t>
  </si>
  <si>
    <t>+61 7 6349 8069</t>
  </si>
  <si>
    <t>67041 Park Avenue</t>
  </si>
  <si>
    <t>+61 7 5196 7639</t>
  </si>
  <si>
    <t>63374 Main Street</t>
  </si>
  <si>
    <t>+61 3 1640 3321</t>
  </si>
  <si>
    <t>59341 Park Avenue</t>
  </si>
  <si>
    <t>+61 4 1023 5906</t>
  </si>
  <si>
    <t>22709 King Street</t>
  </si>
  <si>
    <t>+61 7 8557 1630</t>
  </si>
  <si>
    <t>40382 Elizabeth Street</t>
  </si>
  <si>
    <t>+61 6 3368 1313</t>
  </si>
  <si>
    <t>44738 Main Street</t>
  </si>
  <si>
    <t>+61 2 5234 8935</t>
  </si>
  <si>
    <t>11663 George Street</t>
  </si>
  <si>
    <t>+61 6 6411 2548</t>
  </si>
  <si>
    <t>14352 George Street</t>
  </si>
  <si>
    <t>+61 3 8840 7087</t>
  </si>
  <si>
    <t>96397 Park Avenue</t>
  </si>
  <si>
    <t>+61 9 4500 6422</t>
  </si>
  <si>
    <t>58819 George Street</t>
  </si>
  <si>
    <t>+61 7 1210 5446</t>
  </si>
  <si>
    <t>59043 Elizabeth Street</t>
  </si>
  <si>
    <t>+61 7 6719 8414</t>
  </si>
  <si>
    <t>69008 King Street</t>
  </si>
  <si>
    <t>+61 4 2106 2789</t>
  </si>
  <si>
    <t>34383 Park Avenue</t>
  </si>
  <si>
    <t>+61 3 6647 6581</t>
  </si>
  <si>
    <t>41795 George Street</t>
  </si>
  <si>
    <t>+61 3 4440 2950</t>
  </si>
  <si>
    <t>12482 King Street</t>
  </si>
  <si>
    <t>+61 2 8618 2977</t>
  </si>
  <si>
    <t>71340 Elizabeth Street</t>
  </si>
  <si>
    <t>+61 9 2412 8119</t>
  </si>
  <si>
    <t>94632 George Street</t>
  </si>
  <si>
    <t>+61 8 9300 6908</t>
  </si>
  <si>
    <t>95907 George Street</t>
  </si>
  <si>
    <t>+61 3 9458 1914</t>
  </si>
  <si>
    <t>59008 King Street</t>
  </si>
  <si>
    <t>+61 9 2119 4832</t>
  </si>
  <si>
    <t>99844 George Street</t>
  </si>
  <si>
    <t>+61 5 5371 2920</t>
  </si>
  <si>
    <t>79637 Elizabeth Street</t>
  </si>
  <si>
    <t>+61 9 7054 9665</t>
  </si>
  <si>
    <t>97480 Elizabeth Street</t>
  </si>
  <si>
    <t>+61 4 1065 9506</t>
  </si>
  <si>
    <t>55098 Elizabeth Street</t>
  </si>
  <si>
    <t>+61 2 1988 4731</t>
  </si>
  <si>
    <t>28167 Elizabeth Street</t>
  </si>
  <si>
    <t>+61 6 3150 6885</t>
  </si>
  <si>
    <t>20808 Elizabeth Street</t>
  </si>
  <si>
    <t>+61 3 7821 3974</t>
  </si>
  <si>
    <t>26056 King Street</t>
  </si>
  <si>
    <t>+61 7 6006 3452</t>
  </si>
  <si>
    <t>11867 King Street</t>
  </si>
  <si>
    <t>+61 6 5775 5635</t>
  </si>
  <si>
    <t>52533 George Street</t>
  </si>
  <si>
    <t>+61 8 5398 4545</t>
  </si>
  <si>
    <t>8187 Elizabeth Street</t>
  </si>
  <si>
    <t>+61 8 6692 5490</t>
  </si>
  <si>
    <t>92421 Elizabeth Street</t>
  </si>
  <si>
    <t>+61 2 9690 7644</t>
  </si>
  <si>
    <t>58287 George Street</t>
  </si>
  <si>
    <t>+61 7 5046 8274</t>
  </si>
  <si>
    <t>1150 Park Avenue</t>
  </si>
  <si>
    <t>+61 9 7457 6647</t>
  </si>
  <si>
    <t>70834 George Street</t>
  </si>
  <si>
    <t>+61 3 9120 2817</t>
  </si>
  <si>
    <t>49586 Elizabeth Street</t>
  </si>
  <si>
    <t>+61 5 5286 2417</t>
  </si>
  <si>
    <t>16532 George Street</t>
  </si>
  <si>
    <t>+61 3 3116 8053</t>
  </si>
  <si>
    <t>97108 King Street</t>
  </si>
  <si>
    <t>+61 3 4947 5283</t>
  </si>
  <si>
    <t>18723 George Street</t>
  </si>
  <si>
    <t>+61 6 6394 2679</t>
  </si>
  <si>
    <t>37481 Main Street</t>
  </si>
  <si>
    <t>+61 4 9070 8038</t>
  </si>
  <si>
    <t>36464 George Street</t>
  </si>
  <si>
    <t>+61 7 3030 3275</t>
  </si>
  <si>
    <t>56165 Park Avenue</t>
  </si>
  <si>
    <t>+61 8 7267 1640</t>
  </si>
  <si>
    <t>40799 Park Avenue</t>
  </si>
  <si>
    <t>+61 8 8094 2946</t>
  </si>
  <si>
    <t>46981 King Street</t>
  </si>
  <si>
    <t>+61 2 7006 2780</t>
  </si>
  <si>
    <t>77176 Elizabeth Street</t>
  </si>
  <si>
    <t>+61 9 2184 6402</t>
  </si>
  <si>
    <t>48102 Park Avenue</t>
  </si>
  <si>
    <t>+61 2 4745 3970</t>
  </si>
  <si>
    <t>52113 Elizabeth Street</t>
  </si>
  <si>
    <t>+61 3 6601 4019</t>
  </si>
  <si>
    <t>70174 King Street</t>
  </si>
  <si>
    <t>+61 5 7953 3343</t>
  </si>
  <si>
    <t>74413 Park Avenue</t>
  </si>
  <si>
    <t>+61 3 4860 1426</t>
  </si>
  <si>
    <t>27216 King Street</t>
  </si>
  <si>
    <t>+61 9 1519 7172</t>
  </si>
  <si>
    <t>59012 King Street</t>
  </si>
  <si>
    <t>+61 8 6499 4080</t>
  </si>
  <si>
    <t>85293 King Street</t>
  </si>
  <si>
    <t>+61 5 6428 2775</t>
  </si>
  <si>
    <t>4594 Park Avenue</t>
  </si>
  <si>
    <t>+61 7 4679 4753</t>
  </si>
  <si>
    <t>36000 Elizabeth Street</t>
  </si>
  <si>
    <t>+61 8 9620 5173</t>
  </si>
  <si>
    <t>68985 King Street</t>
  </si>
  <si>
    <t>+61 8 1111 9888</t>
  </si>
  <si>
    <t>50011 Main Street</t>
  </si>
  <si>
    <t>+61 2 4908 9219</t>
  </si>
  <si>
    <t>85432 George Street</t>
  </si>
  <si>
    <t>+61 4 4511 7994</t>
  </si>
  <si>
    <t>35139 Park Avenue</t>
  </si>
  <si>
    <t>+61 2 6796 8985</t>
  </si>
  <si>
    <t>63743 King Street</t>
  </si>
  <si>
    <t>+61 9 9300 4147</t>
  </si>
  <si>
    <t>95347 Park Avenue</t>
  </si>
  <si>
    <t>+61 3 8784 3604</t>
  </si>
  <si>
    <t>44917 Elizabeth Street</t>
  </si>
  <si>
    <t>+61 9 2445 2988</t>
  </si>
  <si>
    <t>74581 George Street</t>
  </si>
  <si>
    <t>+61 3 1130 2035</t>
  </si>
  <si>
    <t>41826 King Street</t>
  </si>
  <si>
    <t>+61 9 3174 1558</t>
  </si>
  <si>
    <t>88447 George Street</t>
  </si>
  <si>
    <t>+61 5 6075 8503</t>
  </si>
  <si>
    <t>10856 George Street</t>
  </si>
  <si>
    <t>+61 2 5819 9002</t>
  </si>
  <si>
    <t>75889 Park Avenue</t>
  </si>
  <si>
    <t>+61 8 5290 8659</t>
  </si>
  <si>
    <t>98743 Main Street</t>
  </si>
  <si>
    <t>+61 2 9924 8192</t>
  </si>
  <si>
    <t>80263 George Street</t>
  </si>
  <si>
    <t>+61 8 7711 5584</t>
  </si>
  <si>
    <t>55667 George Street</t>
  </si>
  <si>
    <t>+61 2 2252 8358</t>
  </si>
  <si>
    <t>12797 George Street</t>
  </si>
  <si>
    <t>+61 4 5636 4220</t>
  </si>
  <si>
    <t>2471 George Street</t>
  </si>
  <si>
    <t>+61 7 7463 1415</t>
  </si>
  <si>
    <t>23847 Park Avenue</t>
  </si>
  <si>
    <t>+61 7 5239 9452</t>
  </si>
  <si>
    <t>57972 Main Street</t>
  </si>
  <si>
    <t>+61 5 4500 9667</t>
  </si>
  <si>
    <t>3322 King Street</t>
  </si>
  <si>
    <t>+61 7 7693 6077</t>
  </si>
  <si>
    <t>29797 George Street</t>
  </si>
  <si>
    <t>+61 4 3669 2278</t>
  </si>
  <si>
    <t>81022 George Street</t>
  </si>
  <si>
    <t>+61 8 7884 9125</t>
  </si>
  <si>
    <t>13624 Main Street</t>
  </si>
  <si>
    <t>+61 9 3338 2639</t>
  </si>
  <si>
    <t>14632 Main Street</t>
  </si>
  <si>
    <t>+61 7 2857 1484</t>
  </si>
  <si>
    <t>65657 George Street</t>
  </si>
  <si>
    <t>+61 9 1378 2610</t>
  </si>
  <si>
    <t>43867 Main Street</t>
  </si>
  <si>
    <t>+61 8 6101 4143</t>
  </si>
  <si>
    <t>93460 Park Avenue</t>
  </si>
  <si>
    <t>+61 3 4000 7625</t>
  </si>
  <si>
    <t>59281 Elizabeth Street</t>
  </si>
  <si>
    <t>+61 8 3890 2127</t>
  </si>
  <si>
    <t>82129 George Street</t>
  </si>
  <si>
    <t>+61 2 4507 2353</t>
  </si>
  <si>
    <t>96385 Main Street</t>
  </si>
  <si>
    <t>+61 2 7077 8588</t>
  </si>
  <si>
    <t>55447 King Street</t>
  </si>
  <si>
    <t>+61 7 5660 3870</t>
  </si>
  <si>
    <t>72009 Park Avenue</t>
  </si>
  <si>
    <t>+61 9 1644 6395</t>
  </si>
  <si>
    <t>99293 King Street</t>
  </si>
  <si>
    <t>+61 3 2486 9758</t>
  </si>
  <si>
    <t>30012 George Street</t>
  </si>
  <si>
    <t>+61 7 3020 9401</t>
  </si>
  <si>
    <t>36909 George Street</t>
  </si>
  <si>
    <t>+61 7 9192 1766</t>
  </si>
  <si>
    <t>32308 King Street</t>
  </si>
  <si>
    <t>+61 7 1106 4272</t>
  </si>
  <si>
    <t>55994 Elizabeth Street</t>
  </si>
  <si>
    <t>+61 5 9106 3119</t>
  </si>
  <si>
    <t>82175 Main Street</t>
  </si>
  <si>
    <t>+61 9 5269 3329</t>
  </si>
  <si>
    <t>17570 Elizabeth Street</t>
  </si>
  <si>
    <t>+61 5 2157 8545</t>
  </si>
  <si>
    <t>44466 Main Street</t>
  </si>
  <si>
    <t>+61 7 3763 6131</t>
  </si>
  <si>
    <t>86013 Park Avenue</t>
  </si>
  <si>
    <t>+61 2 5122 7278</t>
  </si>
  <si>
    <t>43628 Main Street</t>
  </si>
  <si>
    <t>+61 4 2305 3310</t>
  </si>
  <si>
    <t>44421 George Street</t>
  </si>
  <si>
    <t>+61 8 7024 2977</t>
  </si>
  <si>
    <t>46257 King Street</t>
  </si>
  <si>
    <t>+61 8 7876 3764</t>
  </si>
  <si>
    <t>57829 George Street</t>
  </si>
  <si>
    <t>+61 5 3170 3024</t>
  </si>
  <si>
    <t>2961 Main Street</t>
  </si>
  <si>
    <t>+61 2 6331 7379</t>
  </si>
  <si>
    <t>40529 Park Avenue</t>
  </si>
  <si>
    <t>+61 7 9287 3004</t>
  </si>
  <si>
    <t>19736 Main Street</t>
  </si>
  <si>
    <t>+61 6 2512 5782</t>
  </si>
  <si>
    <t>44251 Park Avenue</t>
  </si>
  <si>
    <t>+61 7 5781 4076</t>
  </si>
  <si>
    <t>24225 George Street</t>
  </si>
  <si>
    <t>+61 2 2652 6129</t>
  </si>
  <si>
    <t>42347 Main Street</t>
  </si>
  <si>
    <t>+61 9 8278 7118</t>
  </si>
  <si>
    <t>88807 Main Street</t>
  </si>
  <si>
    <t>+61 4 2555 9635</t>
  </si>
  <si>
    <t>95919 King Street</t>
  </si>
  <si>
    <t>+61 3 8089 5868</t>
  </si>
  <si>
    <t>80513 George Street</t>
  </si>
  <si>
    <t>+61 7 7918 3121</t>
  </si>
  <si>
    <t>81710 George Street</t>
  </si>
  <si>
    <t>+61 8 1062 8209</t>
  </si>
  <si>
    <t>52732 Elizabeth Street</t>
  </si>
  <si>
    <t>+61 9 2693 6370</t>
  </si>
  <si>
    <t>58174 King Street</t>
  </si>
  <si>
    <t>+61 7 2887 1005</t>
  </si>
  <si>
    <t>91954 King Street</t>
  </si>
  <si>
    <t>+61 3 5949 1538</t>
  </si>
  <si>
    <t>31282 King Street</t>
  </si>
  <si>
    <t>+61 2 3884 6784</t>
  </si>
  <si>
    <t>77163 Elizabeth Street</t>
  </si>
  <si>
    <t>+61 7 2588 8358</t>
  </si>
  <si>
    <t>61986 Park Avenue</t>
  </si>
  <si>
    <t>+61 3 2685 2177</t>
  </si>
  <si>
    <t>68516 George Street</t>
  </si>
  <si>
    <t>+61 6 3975 3891</t>
  </si>
  <si>
    <t>70586 Elizabeth Street</t>
  </si>
  <si>
    <t>+61 9 8047 1129</t>
  </si>
  <si>
    <t>10304 Elizabeth Street</t>
  </si>
  <si>
    <t>+61 4 6190 4393</t>
  </si>
  <si>
    <t>51257 Park Avenue</t>
  </si>
  <si>
    <t>+61 6 1177 8268</t>
  </si>
  <si>
    <t>41151 Main Street</t>
  </si>
  <si>
    <t>+61 6 9030 8977</t>
  </si>
  <si>
    <t>67310 Main Street</t>
  </si>
  <si>
    <t>+61 4 8544 1955</t>
  </si>
  <si>
    <t>32118 Main Street</t>
  </si>
  <si>
    <t>+61 7 3240 9913</t>
  </si>
  <si>
    <t>51055 Main Street</t>
  </si>
  <si>
    <t>+61 2 2850 7800</t>
  </si>
  <si>
    <t>93183 George Street</t>
  </si>
  <si>
    <t>+61 2 5851 5693</t>
  </si>
  <si>
    <t>63475 Park Avenue</t>
  </si>
  <si>
    <t>+61 3 7098 2584</t>
  </si>
  <si>
    <t>24384 George Street</t>
  </si>
  <si>
    <t>+61 2 4201 8207</t>
  </si>
  <si>
    <t>9672 Elizabeth Street</t>
  </si>
  <si>
    <t>+61 8 9061 8391</t>
  </si>
  <si>
    <t>23102 George Street</t>
  </si>
  <si>
    <t>+61 2 4069 7830</t>
  </si>
  <si>
    <t>6340 Main Street</t>
  </si>
  <si>
    <t>+61 6 4768 8889</t>
  </si>
  <si>
    <t>82249 Park Avenue</t>
  </si>
  <si>
    <t>+61 2 6408 5571</t>
  </si>
  <si>
    <t>45460 Park Avenue</t>
  </si>
  <si>
    <t>+61 7 9853 6186</t>
  </si>
  <si>
    <t>16558 King Street</t>
  </si>
  <si>
    <t>+61 5 7977 3185</t>
  </si>
  <si>
    <t>64399 Elizabeth Street</t>
  </si>
  <si>
    <t>+61 7 4099 5063</t>
  </si>
  <si>
    <t>75067 Main Street</t>
  </si>
  <si>
    <t>+61 8 7866 7637</t>
  </si>
  <si>
    <t>84197 George Street</t>
  </si>
  <si>
    <t>+61 3 1626 7924</t>
  </si>
  <si>
    <t>15952 George Street</t>
  </si>
  <si>
    <t>+61 9 5293 5625</t>
  </si>
  <si>
    <t>18405 King Street</t>
  </si>
  <si>
    <t>+61 7 7635 8631</t>
  </si>
  <si>
    <t>37317 Main Street</t>
  </si>
  <si>
    <t>+61 3 2556 7203</t>
  </si>
  <si>
    <t>12063 Main Street</t>
  </si>
  <si>
    <t>+61 7 9486 1321</t>
  </si>
  <si>
    <t>76258 George Street</t>
  </si>
  <si>
    <t>+61 3 1895 9485</t>
  </si>
  <si>
    <t>15597 Main Street</t>
  </si>
  <si>
    <t>+61 5 7109 6316</t>
  </si>
  <si>
    <t>62184 Park Avenue</t>
  </si>
  <si>
    <t>+61 2 2886 6912</t>
  </si>
  <si>
    <t>6856 Main Street</t>
  </si>
  <si>
    <t>+61 3 8530 6068</t>
  </si>
  <si>
    <t>30763 Main Street</t>
  </si>
  <si>
    <t>+61 7 9371 4432</t>
  </si>
  <si>
    <t>99429 George Street</t>
  </si>
  <si>
    <t>+61 2 8216 7125</t>
  </si>
  <si>
    <t>79017 Main Street</t>
  </si>
  <si>
    <t>+61 6 9400 6376</t>
  </si>
  <si>
    <t>83816 George Street</t>
  </si>
  <si>
    <t>+61 3 5897 6313</t>
  </si>
  <si>
    <t>29457 George Street</t>
  </si>
  <si>
    <t>+61 8 9364 7186</t>
  </si>
  <si>
    <t>6116 King Street</t>
  </si>
  <si>
    <t>+61 5 4993 3912</t>
  </si>
  <si>
    <t>30446 Park Avenue</t>
  </si>
  <si>
    <t>+61 7 4333 1195</t>
  </si>
  <si>
    <t>42498 George Street</t>
  </si>
  <si>
    <t>+61 7 6731 2160</t>
  </si>
  <si>
    <t>93355 Elizabeth Street</t>
  </si>
  <si>
    <t>+61 9 7705 8878</t>
  </si>
  <si>
    <t>59104 Park Avenue</t>
  </si>
  <si>
    <t>+61 5 2779 4599</t>
  </si>
  <si>
    <t>25905 King Street</t>
  </si>
  <si>
    <t>+61 5 7072 6820</t>
  </si>
  <si>
    <t>23259 Park Avenue</t>
  </si>
  <si>
    <t>+61 9 6186 6315</t>
  </si>
  <si>
    <t>93441 Main Street</t>
  </si>
  <si>
    <t>+61 2 8781 5658</t>
  </si>
  <si>
    <t>4970 Main Street</t>
  </si>
  <si>
    <t>+61 2 4369 6515</t>
  </si>
  <si>
    <t>73260 George Street</t>
  </si>
  <si>
    <t>+61 3 4111 7949</t>
  </si>
  <si>
    <t>99373 Main Street</t>
  </si>
  <si>
    <t>+61 8 4776 5283</t>
  </si>
  <si>
    <t>40214 George Street</t>
  </si>
  <si>
    <t>+61 4 2225 8852</t>
  </si>
  <si>
    <t>59994 Elizabeth Street</t>
  </si>
  <si>
    <t>+61 6 4383 6678</t>
  </si>
  <si>
    <t>37577 Main Street</t>
  </si>
  <si>
    <t>+61 5 8906 3212</t>
  </si>
  <si>
    <t>11820 Park Avenue</t>
  </si>
  <si>
    <t>+61 2 1610 5076</t>
  </si>
  <si>
    <t>62768 Park Avenue</t>
  </si>
  <si>
    <t>+61 5 6212 2478</t>
  </si>
  <si>
    <t>35033 Main Street</t>
  </si>
  <si>
    <t>+61 7 1934 4269</t>
  </si>
  <si>
    <t>68218 King Street</t>
  </si>
  <si>
    <t>+61 2 2138 4725</t>
  </si>
  <si>
    <t>27137 Elizabeth Street</t>
  </si>
  <si>
    <t>+61 3 4321 5989</t>
  </si>
  <si>
    <t>46944 King Street</t>
  </si>
  <si>
    <t>+61 9 9576 2316</t>
  </si>
  <si>
    <t>75427 Elizabeth Street</t>
  </si>
  <si>
    <t>+61 2 8187 6860</t>
  </si>
  <si>
    <t>51599 Main Street</t>
  </si>
  <si>
    <t>+61 8 8903 3304</t>
  </si>
  <si>
    <t>71402 King Street</t>
  </si>
  <si>
    <t>+61 2 4503 2718</t>
  </si>
  <si>
    <t>6183 King Street</t>
  </si>
  <si>
    <t>+61 8 9020 3126</t>
  </si>
  <si>
    <t>36514 King Street</t>
  </si>
  <si>
    <t>+61 5 2081 9291</t>
  </si>
  <si>
    <t>45792 King Street</t>
  </si>
  <si>
    <t>+61 2 9874 5259</t>
  </si>
  <si>
    <t>43757 Elizabeth Street</t>
  </si>
  <si>
    <t>+61 6 2479 5667</t>
  </si>
  <si>
    <t>56999 Park Avenue</t>
  </si>
  <si>
    <t>+61 6 2406 7397</t>
  </si>
  <si>
    <t>42214 George Street</t>
  </si>
  <si>
    <t>+61 3 4061 2397</t>
  </si>
  <si>
    <t>57395 George Street</t>
  </si>
  <si>
    <t>+61 9 5334 6624</t>
  </si>
  <si>
    <t>18409 King Street</t>
  </si>
  <si>
    <t>+61 5 3315 6760</t>
  </si>
  <si>
    <t>8939 Main Street</t>
  </si>
  <si>
    <t>+61 4 9764 6655</t>
  </si>
  <si>
    <t>5578 George Street</t>
  </si>
  <si>
    <t>+61 9 2738 4323</t>
  </si>
  <si>
    <t>44916 Park Avenue</t>
  </si>
  <si>
    <t>+61 6 4232 4353</t>
  </si>
  <si>
    <t>68214 King Street</t>
  </si>
  <si>
    <t>+61 6 8811 4196</t>
  </si>
  <si>
    <t>48257 Park Avenue</t>
  </si>
  <si>
    <t>+61 6 6392 9189</t>
  </si>
  <si>
    <t>85022 Elizabeth Street</t>
  </si>
  <si>
    <t>+61 7 9163 6449</t>
  </si>
  <si>
    <t>36175 Main Street</t>
  </si>
  <si>
    <t>+61 5 4244 6477</t>
  </si>
  <si>
    <t>58309 Park Avenue</t>
  </si>
  <si>
    <t>+61 6 5755 2649</t>
  </si>
  <si>
    <t>19848 King Street</t>
  </si>
  <si>
    <t>+61 5 1204 8250</t>
  </si>
  <si>
    <t>25681 King Street</t>
  </si>
  <si>
    <t>+61 8 6077 7154</t>
  </si>
  <si>
    <t>66685 King Street</t>
  </si>
  <si>
    <t>+61 4 7311 5651</t>
  </si>
  <si>
    <t>67821 King Street</t>
  </si>
  <si>
    <t>+61 3 3631 3459</t>
  </si>
  <si>
    <t>28797 George Street</t>
  </si>
  <si>
    <t>+61 7 5206 3556</t>
  </si>
  <si>
    <t>56997 Main Street</t>
  </si>
  <si>
    <t>+61 3 3078 6417</t>
  </si>
  <si>
    <t>61104 King Street</t>
  </si>
  <si>
    <t>+61 9 8497 4998</t>
  </si>
  <si>
    <t>62647 King Street</t>
  </si>
  <si>
    <t>+61 9 3441 3482</t>
  </si>
  <si>
    <t>92618 King Street</t>
  </si>
  <si>
    <t>+61 8 6529 9607</t>
  </si>
  <si>
    <t>79236 George Street</t>
  </si>
  <si>
    <t>+61 9 5456 3626</t>
  </si>
  <si>
    <t>77149 Main Street</t>
  </si>
  <si>
    <t>+61 5 6825 2558</t>
  </si>
  <si>
    <t>78647 Elizabeth Street</t>
  </si>
  <si>
    <t>+61 8 1392 1348</t>
  </si>
  <si>
    <t>76047 Main Street</t>
  </si>
  <si>
    <t>+61 4 5667 8109</t>
  </si>
  <si>
    <t>60138 Main Street</t>
  </si>
  <si>
    <t>+61 5 6124 4407</t>
  </si>
  <si>
    <t>12310 Elizabeth Street</t>
  </si>
  <si>
    <t>+61 4 6730 4657</t>
  </si>
  <si>
    <t>53267 Main Street</t>
  </si>
  <si>
    <t>+61 5 2819 4127</t>
  </si>
  <si>
    <t>98012 Park Avenue</t>
  </si>
  <si>
    <t>+61 9 1690 5814</t>
  </si>
  <si>
    <t>69741 King Street</t>
  </si>
  <si>
    <t>+61 8 6422 3707</t>
  </si>
  <si>
    <t>12758 Main Street</t>
  </si>
  <si>
    <t>+61 5 4200 6467</t>
  </si>
  <si>
    <t>29470 Elizabeth Street</t>
  </si>
  <si>
    <t>+61 6 5270 6885</t>
  </si>
  <si>
    <t>50650 Elizabeth Street</t>
  </si>
  <si>
    <t>+61 6 7813 7359</t>
  </si>
  <si>
    <t>21340 Main Street</t>
  </si>
  <si>
    <t>+61 4 4639 8605</t>
  </si>
  <si>
    <t>66801 Main Street</t>
  </si>
  <si>
    <t>+61 2 3706 8467</t>
  </si>
  <si>
    <t>55336 Main Street</t>
  </si>
  <si>
    <t>+61 5 9007 1338</t>
  </si>
  <si>
    <t>50723 Park Avenue</t>
  </si>
  <si>
    <t>+61 4 5375 5168</t>
  </si>
  <si>
    <t>40623 Elizabeth Street</t>
  </si>
  <si>
    <t>+61 8 1041 4290</t>
  </si>
  <si>
    <t>98309 George Street</t>
  </si>
  <si>
    <t>+61 2 3426 5126</t>
  </si>
  <si>
    <t>96483 Park Avenue</t>
  </si>
  <si>
    <t>+61 2 3463 1198</t>
  </si>
  <si>
    <t>96072 Park Avenue</t>
  </si>
  <si>
    <t>+61 8 9078 7417</t>
  </si>
  <si>
    <t>12901 Park Avenue</t>
  </si>
  <si>
    <t>+61 7 1150 2105</t>
  </si>
  <si>
    <t>39844 Park Avenue</t>
  </si>
  <si>
    <t>+61 3 1295 4323</t>
  </si>
  <si>
    <t>22869 George Street</t>
  </si>
  <si>
    <t>+61 3 4146 1838</t>
  </si>
  <si>
    <t>9090 Main Street</t>
  </si>
  <si>
    <t>+61 9 8241 7773</t>
  </si>
  <si>
    <t>84542 George Street</t>
  </si>
  <si>
    <t>+61 8 1095 9989</t>
  </si>
  <si>
    <t>14754 George Street</t>
  </si>
  <si>
    <t>+61 7 4245 5379</t>
  </si>
  <si>
    <t>16418 Park Avenue</t>
  </si>
  <si>
    <t>+61 3 2943 2215</t>
  </si>
  <si>
    <t>5205 Main Street</t>
  </si>
  <si>
    <t>+61 8 6445 1057</t>
  </si>
  <si>
    <t>92230 Elizabeth Street</t>
  </si>
  <si>
    <t>+61 5 6045 2889</t>
  </si>
  <si>
    <t>4389 Main Street</t>
  </si>
  <si>
    <t>+61 7 6762 5320</t>
  </si>
  <si>
    <t>86925 Elizabeth Street</t>
  </si>
  <si>
    <t>+61 8 5559 7932</t>
  </si>
  <si>
    <t>97324 King Street</t>
  </si>
  <si>
    <t>+61 8 7802 4536</t>
  </si>
  <si>
    <t>76267 Main Street</t>
  </si>
  <si>
    <t>+61 6 6114 9971</t>
  </si>
  <si>
    <t>62196 Main Street</t>
  </si>
  <si>
    <t>+61 7 5785 7892</t>
  </si>
  <si>
    <t>26641 Elizabeth Street</t>
  </si>
  <si>
    <t>+61 4 2597 9081</t>
  </si>
  <si>
    <t>15364 King Street</t>
  </si>
  <si>
    <t>+61 6 8697 3773</t>
  </si>
  <si>
    <t>50059 Park Avenue</t>
  </si>
  <si>
    <t>+61 7 6840 7098</t>
  </si>
  <si>
    <t>27919 Elizabeth Street</t>
  </si>
  <si>
    <t>+61 8 2343 4356</t>
  </si>
  <si>
    <t>66209 George Street</t>
  </si>
  <si>
    <t>+61 5 9558 8299</t>
  </si>
  <si>
    <t>70394 George Street</t>
  </si>
  <si>
    <t>+61 5 7489 1743</t>
  </si>
  <si>
    <t>16153 George Street</t>
  </si>
  <si>
    <t>+61 3 9666 8432</t>
  </si>
  <si>
    <t>16202 Elizabeth Street</t>
  </si>
  <si>
    <t>+61 5 6231 8063</t>
  </si>
  <si>
    <t>90513 George Street</t>
  </si>
  <si>
    <t>+61 7 9356 6381</t>
  </si>
  <si>
    <t>86651 George Street</t>
  </si>
  <si>
    <t>+61 2 5197 3330</t>
  </si>
  <si>
    <t>69667 Park Avenue</t>
  </si>
  <si>
    <t>+61 3 6565 8944</t>
  </si>
  <si>
    <t>81705 King Street</t>
  </si>
  <si>
    <t>+61 6 2007 5450</t>
  </si>
  <si>
    <t>20166 Park Avenue</t>
  </si>
  <si>
    <t>+61 7 4900 3276</t>
  </si>
  <si>
    <t>96315 Main Street</t>
  </si>
  <si>
    <t>+61 4 4517 3075</t>
  </si>
  <si>
    <t>52675 George Street</t>
  </si>
  <si>
    <t>+61 4 7249 6195</t>
  </si>
  <si>
    <t>14387 George Street</t>
  </si>
  <si>
    <t>+61 9 8525 7981</t>
  </si>
  <si>
    <t>34467 King Street</t>
  </si>
  <si>
    <t>+61 6 2983 8302</t>
  </si>
  <si>
    <t>59332 Park Avenue</t>
  </si>
  <si>
    <t>+61 7 2302 6702</t>
  </si>
  <si>
    <t>68575 Elizabeth Street</t>
  </si>
  <si>
    <t>+61 7 3314 8880</t>
  </si>
  <si>
    <t>2823 King Street</t>
  </si>
  <si>
    <t>+61 8 3461 2672</t>
  </si>
  <si>
    <t>42805 Elizabeth Street</t>
  </si>
  <si>
    <t>+61 2 7827 7190</t>
  </si>
  <si>
    <t>40519 Elizabeth Street</t>
  </si>
  <si>
    <t>+61 7 5334 9747</t>
  </si>
  <si>
    <t>48283 King Street</t>
  </si>
  <si>
    <t>+61 8 2524 3784</t>
  </si>
  <si>
    <t>96462 King Street</t>
  </si>
  <si>
    <t>+61 2 2049 7163</t>
  </si>
  <si>
    <t>14206 Park Avenue</t>
  </si>
  <si>
    <t>+61 2 9680 1909</t>
  </si>
  <si>
    <t>87439 King Street</t>
  </si>
  <si>
    <t>+61 6 4139 5719</t>
  </si>
  <si>
    <t>68775 Park Avenue</t>
  </si>
  <si>
    <t>+61 8 5045 2277</t>
  </si>
  <si>
    <t>48911 Park Avenue</t>
  </si>
  <si>
    <t>+61 4 9279 3090</t>
  </si>
  <si>
    <t>47173 Elizabeth Street</t>
  </si>
  <si>
    <t>+61 6 7328 6468</t>
  </si>
  <si>
    <t>88140 George Street</t>
  </si>
  <si>
    <t>+61 9 3326 1390</t>
  </si>
  <si>
    <t>56256 Park Avenue</t>
  </si>
  <si>
    <t>+61 6 7459 1858</t>
  </si>
  <si>
    <t>39697 Main Street</t>
  </si>
  <si>
    <t>+61 4 4940 4497</t>
  </si>
  <si>
    <t>89491 Main Street</t>
  </si>
  <si>
    <t>+61 8 1700 5517</t>
  </si>
  <si>
    <t>76344 Main Street</t>
  </si>
  <si>
    <t>+61 3 1855 9399</t>
  </si>
  <si>
    <t>82760 George Street</t>
  </si>
  <si>
    <t>+61 2 2756 5034</t>
  </si>
  <si>
    <t>39447 Park Avenue</t>
  </si>
  <si>
    <t>+61 2 3121 4194</t>
  </si>
  <si>
    <t>33952 King Street</t>
  </si>
  <si>
    <t>+61 4 2327 5154</t>
  </si>
  <si>
    <t>52887 Elizabeth Street</t>
  </si>
  <si>
    <t>+61 7 4934 5320</t>
  </si>
  <si>
    <t>78322 Elizabeth Street</t>
  </si>
  <si>
    <t>+61 9 5248 5166</t>
  </si>
  <si>
    <t>36870 King Street</t>
  </si>
  <si>
    <t>+61 9 8947 5077</t>
  </si>
  <si>
    <t>32220 Elizabeth Street</t>
  </si>
  <si>
    <t>+61 4 3808 7633</t>
  </si>
  <si>
    <t>48828 King Street</t>
  </si>
  <si>
    <t>+61 5 8150 2211</t>
  </si>
  <si>
    <t>84514 George Street</t>
  </si>
  <si>
    <t>+61 4 8767 9810</t>
  </si>
  <si>
    <t>60837 George Street</t>
  </si>
  <si>
    <t>+61 8 1586 9178</t>
  </si>
  <si>
    <t>85137 Main Street</t>
  </si>
  <si>
    <t>+61 6 3533 2192</t>
  </si>
  <si>
    <t>39135 King Street</t>
  </si>
  <si>
    <t>+61 2 2042 8464</t>
  </si>
  <si>
    <t>40161 Elizabeth Street</t>
  </si>
  <si>
    <t>+61 9 5576 4110</t>
  </si>
  <si>
    <t>34387 King Street</t>
  </si>
  <si>
    <t>+61 2 9990 8692</t>
  </si>
  <si>
    <t>27068 George Street</t>
  </si>
  <si>
    <t>+61 5 3885 7780</t>
  </si>
  <si>
    <t>92945 King Street</t>
  </si>
  <si>
    <t>+61 6 8219 7980</t>
  </si>
  <si>
    <t>59633 Main Street</t>
  </si>
  <si>
    <t>+61 4 3902 2757</t>
  </si>
  <si>
    <t>86008 George Street</t>
  </si>
  <si>
    <t>+61 9 5429 8138</t>
  </si>
  <si>
    <t>69096 George Street</t>
  </si>
  <si>
    <t>+61 5 5549 8954</t>
  </si>
  <si>
    <t>37898 King Street</t>
  </si>
  <si>
    <t>+61 9 8111 2735</t>
  </si>
  <si>
    <t>89659 Elizabeth Street</t>
  </si>
  <si>
    <t>+61 4 2922 9221</t>
  </si>
  <si>
    <t>15998 Elizabeth Street</t>
  </si>
  <si>
    <t>+61 7 3100 1232</t>
  </si>
  <si>
    <t>74168 Park Avenue</t>
  </si>
  <si>
    <t>+61 5 9316 8522</t>
  </si>
  <si>
    <t>22200 Park Avenue</t>
  </si>
  <si>
    <t>+61 9 8912 8414</t>
  </si>
  <si>
    <t>89273 Park Avenue</t>
  </si>
  <si>
    <t>+61 3 8691 8551</t>
  </si>
  <si>
    <t>96965 George Street</t>
  </si>
  <si>
    <t>+61 6 7242 1436</t>
  </si>
  <si>
    <t>38080 King Street</t>
  </si>
  <si>
    <t>+61 6 7803 5515</t>
  </si>
  <si>
    <t>82464 Elizabeth Street</t>
  </si>
  <si>
    <t>+61 3 9418 6024</t>
  </si>
  <si>
    <t>86279 Elizabeth Street</t>
  </si>
  <si>
    <t>+61 3 2734 3636</t>
  </si>
  <si>
    <t>78427 George Street</t>
  </si>
  <si>
    <t>+61 5 9319 6299</t>
  </si>
  <si>
    <t>95555 King Street</t>
  </si>
  <si>
    <t>+61 3 3308 6958</t>
  </si>
  <si>
    <t>63263 King Street</t>
  </si>
  <si>
    <t>+61 6 6628 5467</t>
  </si>
  <si>
    <t>70745 King Street</t>
  </si>
  <si>
    <t>+61 4 2453 9462</t>
  </si>
  <si>
    <t>30086 King Street</t>
  </si>
  <si>
    <t>+61 9 7896 4970</t>
  </si>
  <si>
    <t>22010 Main Street</t>
  </si>
  <si>
    <t>+61 8 6196 8859</t>
  </si>
  <si>
    <t>34157 George Street</t>
  </si>
  <si>
    <t>+61 9 6737 7941</t>
  </si>
  <si>
    <t>15086 Park Avenue</t>
  </si>
  <si>
    <t>+61 2 9292 5134</t>
  </si>
  <si>
    <t>27292 King Street</t>
  </si>
  <si>
    <t>+61 3 5647 3230</t>
  </si>
  <si>
    <t>73272 Main Street</t>
  </si>
  <si>
    <t>+61 7 8878 4867</t>
  </si>
  <si>
    <t>59717 King Street</t>
  </si>
  <si>
    <t>+61 8 3125 1232</t>
  </si>
  <si>
    <t>21011 Main Street</t>
  </si>
  <si>
    <t>+61 4 5763 9911</t>
  </si>
  <si>
    <t>31377 King Street</t>
  </si>
  <si>
    <t>+61 6 4003 4266</t>
  </si>
  <si>
    <t>48262 George Street</t>
  </si>
  <si>
    <t>+61 4 6580 6268</t>
  </si>
  <si>
    <t>90306 King Street</t>
  </si>
  <si>
    <t>+61 2 3429 9439</t>
  </si>
  <si>
    <t>60318 Main Street</t>
  </si>
  <si>
    <t>+61 9 2743 5533</t>
  </si>
  <si>
    <t>57382 Main Street</t>
  </si>
  <si>
    <t>+61 8 5352 1899</t>
  </si>
  <si>
    <t>15135 Park Avenue</t>
  </si>
  <si>
    <t>+61 8 8572 4847</t>
  </si>
  <si>
    <t>+61 6 5052 6806</t>
  </si>
  <si>
    <t>4363 Elizabeth Street</t>
  </si>
  <si>
    <t>+61 3 7577 5035</t>
  </si>
  <si>
    <t>59764 George Street</t>
  </si>
  <si>
    <t>+61 8 8712 3468</t>
  </si>
  <si>
    <t>88100 Park Avenue</t>
  </si>
  <si>
    <t>+61 7 2554 4619</t>
  </si>
  <si>
    <t>63847 Elizabeth Street</t>
  </si>
  <si>
    <t>+61 9 9758 9277</t>
  </si>
  <si>
    <t>94308 Main Street</t>
  </si>
  <si>
    <t>+61 3 4471 2585</t>
  </si>
  <si>
    <t>66392 George Street</t>
  </si>
  <si>
    <t>+61 3 4548 9939</t>
  </si>
  <si>
    <t>57998 George Street</t>
  </si>
  <si>
    <t>+61 4 2181 8430</t>
  </si>
  <si>
    <t>45182 Elizabeth Street</t>
  </si>
  <si>
    <t>+61 9 3214 5863</t>
  </si>
  <si>
    <t>82381 Main Street</t>
  </si>
  <si>
    <t>+61 3 8650 9016</t>
  </si>
  <si>
    <t>88383 George Street</t>
  </si>
  <si>
    <t>+61 2 5599 9574</t>
  </si>
  <si>
    <t>10702 King Street</t>
  </si>
  <si>
    <t>+61 7 9389 6402</t>
  </si>
  <si>
    <t>72471 King Street</t>
  </si>
  <si>
    <t>+61 9 9410 7462</t>
  </si>
  <si>
    <t>2385 Park Avenue</t>
  </si>
  <si>
    <t>+61 5 9679 4455</t>
  </si>
  <si>
    <t>43006 King Street</t>
  </si>
  <si>
    <t>+61 9 4595 1182</t>
  </si>
  <si>
    <t>85495 Elizabeth Street</t>
  </si>
  <si>
    <t>+61 5 1862 3850</t>
  </si>
  <si>
    <t>23455 Park Avenue</t>
  </si>
  <si>
    <t>+61 5 9589 6157</t>
  </si>
  <si>
    <t>76892 Elizabeth Street</t>
  </si>
  <si>
    <t>+61 9 2088 4579</t>
  </si>
  <si>
    <t>95315 Main Street</t>
  </si>
  <si>
    <t>+61 3 2820 1182</t>
  </si>
  <si>
    <t>3524 Main Street</t>
  </si>
  <si>
    <t>+61 8 1282 9452</t>
  </si>
  <si>
    <t>53905 King Street</t>
  </si>
  <si>
    <t>+61 8 5999 7305</t>
  </si>
  <si>
    <t>10471 George Street</t>
  </si>
  <si>
    <t>+61 8 9329 6404</t>
  </si>
  <si>
    <t>90527 King Street</t>
  </si>
  <si>
    <t>+61 9 7687 1598</t>
  </si>
  <si>
    <t>95312 Main Street</t>
  </si>
  <si>
    <t>+61 6 3529 8182</t>
  </si>
  <si>
    <t>43807 George Street</t>
  </si>
  <si>
    <t>+61 9 1649 5990</t>
  </si>
  <si>
    <t>40767 Park Avenue</t>
  </si>
  <si>
    <t>+61 2 9702 6218</t>
  </si>
  <si>
    <t>59782 Elizabeth Street</t>
  </si>
  <si>
    <t>+61 4 9697 5075</t>
  </si>
  <si>
    <t>39820 Main Street</t>
  </si>
  <si>
    <t>+61 5 8680 9754</t>
  </si>
  <si>
    <t>25306 Main Street</t>
  </si>
  <si>
    <t>+61 2 2000 4435</t>
  </si>
  <si>
    <t>7676 Elizabeth Street</t>
  </si>
  <si>
    <t>+61 9 4368 8288</t>
  </si>
  <si>
    <t>74881 Main Street</t>
  </si>
  <si>
    <t>+61 2 1240 4668</t>
  </si>
  <si>
    <t>23036 King Street</t>
  </si>
  <si>
    <t>+61 9 4874 1313</t>
  </si>
  <si>
    <t>94318 Main Street</t>
  </si>
  <si>
    <t>+61 3 7736 7839</t>
  </si>
  <si>
    <t>95924 King Street</t>
  </si>
  <si>
    <t>+61 8 8494 2214</t>
  </si>
  <si>
    <t>98853 Elizabeth Street</t>
  </si>
  <si>
    <t>+61 2 3597 7348</t>
  </si>
  <si>
    <t>99129 King Street</t>
  </si>
  <si>
    <t>+61 6 8212 8022</t>
  </si>
  <si>
    <t>86435 Park Avenue</t>
  </si>
  <si>
    <t>+61 3 6457 2981</t>
  </si>
  <si>
    <t>99075 Elizabeth Street</t>
  </si>
  <si>
    <t>+61 9 7562 5019</t>
  </si>
  <si>
    <t>80610 Park Avenue</t>
  </si>
  <si>
    <t>+61 7 8871 4504</t>
  </si>
  <si>
    <t>15053 George Street</t>
  </si>
  <si>
    <t>+61 8 6092 8073</t>
  </si>
  <si>
    <t>9406 George Street</t>
  </si>
  <si>
    <t>+61 5 1259 7152</t>
  </si>
  <si>
    <t>41533 George Street</t>
  </si>
  <si>
    <t>+61 2 1569 1905</t>
  </si>
  <si>
    <t>28060 Main Street</t>
  </si>
  <si>
    <t>+61 7 6292 6782</t>
  </si>
  <si>
    <t>64509 Main Street</t>
  </si>
  <si>
    <t>+61 7 7862 3307</t>
  </si>
  <si>
    <t>94366 Main Street</t>
  </si>
  <si>
    <t>+61 9 6484 4375</t>
  </si>
  <si>
    <t>37668 Park Avenue</t>
  </si>
  <si>
    <t>+61 9 1319 5639</t>
  </si>
  <si>
    <t>92896 George Street</t>
  </si>
  <si>
    <t>+61 7 8530 9220</t>
  </si>
  <si>
    <t>32490 Main Street</t>
  </si>
  <si>
    <t>+61 3 8705 4047</t>
  </si>
  <si>
    <t>49154 Main Street</t>
  </si>
  <si>
    <t>+61 7 7992 4290</t>
  </si>
  <si>
    <t>28524 Main Street</t>
  </si>
  <si>
    <t>+61 9 9996 1404</t>
  </si>
  <si>
    <t>93002 Park Avenue</t>
  </si>
  <si>
    <t>+61 3 7143 4027</t>
  </si>
  <si>
    <t>85197 Main Street</t>
  </si>
  <si>
    <t>+61 4 4117 1129</t>
  </si>
  <si>
    <t>23272 George Street</t>
  </si>
  <si>
    <t>+61 3 1701 3745</t>
  </si>
  <si>
    <t>40470 King Street</t>
  </si>
  <si>
    <t>+61 7 3802 4381</t>
  </si>
  <si>
    <t>37505 Main Street</t>
  </si>
  <si>
    <t>+61 2 3912 2411</t>
  </si>
  <si>
    <t>60573 Park Avenue</t>
  </si>
  <si>
    <t>+61 4 8595 6702</t>
  </si>
  <si>
    <t>79524 Elizabeth Street</t>
  </si>
  <si>
    <t>+61 2 7476 9141</t>
  </si>
  <si>
    <t>22491 Main Street</t>
  </si>
  <si>
    <t>+61 4 7682 7214</t>
  </si>
  <si>
    <t>68642 Park Avenue</t>
  </si>
  <si>
    <t>+61 4 9918 9128</t>
  </si>
  <si>
    <t>20837 George Street</t>
  </si>
  <si>
    <t>+61 3 1587 3450</t>
  </si>
  <si>
    <t>39758 Elizabeth Street</t>
  </si>
  <si>
    <t>+61 3 4552 2208</t>
  </si>
  <si>
    <t>94227 King Street</t>
  </si>
  <si>
    <t>+61 6 2516 9152</t>
  </si>
  <si>
    <t>95431 Main Street</t>
  </si>
  <si>
    <t>+61 3 4205 6450</t>
  </si>
  <si>
    <t>97310 Main Street</t>
  </si>
  <si>
    <t>+61 8 7792 5861</t>
  </si>
  <si>
    <t>11796 George Street</t>
  </si>
  <si>
    <t>+61 3 5177 1630</t>
  </si>
  <si>
    <t>99945 Elizabeth Street</t>
  </si>
  <si>
    <t>+61 5 5778 6082</t>
  </si>
  <si>
    <t>61286 Park Avenue</t>
  </si>
  <si>
    <t>+61 8 7073 8653</t>
  </si>
  <si>
    <t>17018 George Street</t>
  </si>
  <si>
    <t>+61 2 3899 5216</t>
  </si>
  <si>
    <t>91650 King Street</t>
  </si>
  <si>
    <t>+61 2 6947 1424</t>
  </si>
  <si>
    <t>74126 King Street</t>
  </si>
  <si>
    <t>+61 9 1923 5584</t>
  </si>
  <si>
    <t>61170 King Street</t>
  </si>
  <si>
    <t>+61 3 3918 1790</t>
  </si>
  <si>
    <t>97645 Main Street</t>
  </si>
  <si>
    <t>+61 4 6792 7639</t>
  </si>
  <si>
    <t>68048 Elizabeth Street</t>
  </si>
  <si>
    <t>+61 9 4238 1623</t>
  </si>
  <si>
    <t>63539 Main Street</t>
  </si>
  <si>
    <t>+61 8 1654 6783</t>
  </si>
  <si>
    <t>28242 Elizabeth Street</t>
  </si>
  <si>
    <t>+61 3 2819 5949</t>
  </si>
  <si>
    <t>54885 Main Street</t>
  </si>
  <si>
    <t>+61 5 2230 1972</t>
  </si>
  <si>
    <t>60192 Park Avenue</t>
  </si>
  <si>
    <t>+61 8 9008 7266</t>
  </si>
  <si>
    <t>86447 Elizabeth Street</t>
  </si>
  <si>
    <t>+61 8 7440 9387</t>
  </si>
  <si>
    <t>333 Elizabeth Street</t>
  </si>
  <si>
    <t>+61 5 1569 6495</t>
  </si>
  <si>
    <t>19981 Park Avenue</t>
  </si>
  <si>
    <t>+61 4 2577 2448</t>
  </si>
  <si>
    <t>51887 King Street</t>
  </si>
  <si>
    <t>+61 6 9816 1161</t>
  </si>
  <si>
    <t>71866 Main Street</t>
  </si>
  <si>
    <t>+61 3 9994 9586</t>
  </si>
  <si>
    <t>56209 King Street</t>
  </si>
  <si>
    <t>+61 6 8016 8509</t>
  </si>
  <si>
    <t>29705 Main Street</t>
  </si>
  <si>
    <t>+61 7 8842 8846</t>
  </si>
  <si>
    <t>18216 Park Avenue</t>
  </si>
  <si>
    <t>+61 8 4532 6701</t>
  </si>
  <si>
    <t>64581 Park Avenue</t>
  </si>
  <si>
    <t>+61 2 8445 8695</t>
  </si>
  <si>
    <t>76002 George Street</t>
  </si>
  <si>
    <t>+61 2 7664 9936</t>
  </si>
  <si>
    <t>15180 King Street</t>
  </si>
  <si>
    <t>+61 2 4148 3735</t>
  </si>
  <si>
    <t>82123 Elizabeth Street</t>
  </si>
  <si>
    <t>+61 9 1647 6146</t>
  </si>
  <si>
    <t>90013 George Street</t>
  </si>
  <si>
    <t>+61 7 9754 6928</t>
  </si>
  <si>
    <t>40065 King Street</t>
  </si>
  <si>
    <t>+61 8 2860 1495</t>
  </si>
  <si>
    <t>62965 George Street</t>
  </si>
  <si>
    <t>+61 5 9022 4189</t>
  </si>
  <si>
    <t>13000 Main Street</t>
  </si>
  <si>
    <t>+61 4 5278 7007</t>
  </si>
  <si>
    <t>34886 George Street</t>
  </si>
  <si>
    <t>+61 9 1623 2179</t>
  </si>
  <si>
    <t>14581 Park Avenue</t>
  </si>
  <si>
    <t>+61 9 7209 6188</t>
  </si>
  <si>
    <t>87461 King Street</t>
  </si>
  <si>
    <t>+61 4 8198 1974</t>
  </si>
  <si>
    <t>53570 George Street</t>
  </si>
  <si>
    <t>+61 8 5655 6160</t>
  </si>
  <si>
    <t>95441 Park Avenue</t>
  </si>
  <si>
    <t>+61 5 7878 5007</t>
  </si>
  <si>
    <t>43305 Main Street</t>
  </si>
  <si>
    <t>+61 6 5788 7897</t>
  </si>
  <si>
    <t>25421 Main Street</t>
  </si>
  <si>
    <t>+61 8 6851 5481</t>
  </si>
  <si>
    <t>6020 Main Street</t>
  </si>
  <si>
    <t>+61 2 5790 3825</t>
  </si>
  <si>
    <t>41808 George Street</t>
  </si>
  <si>
    <t>+61 3 1993 3133</t>
  </si>
  <si>
    <t>44156 George Street</t>
  </si>
  <si>
    <t>+61 2 8265 9367</t>
  </si>
  <si>
    <t>68676 Main Street</t>
  </si>
  <si>
    <t>+61 7 8607 7855</t>
  </si>
  <si>
    <t>99885 George Street</t>
  </si>
  <si>
    <t>+61 4 5458 7719</t>
  </si>
  <si>
    <t>29696 Park Avenue</t>
  </si>
  <si>
    <t>+61 9 2070 1866</t>
  </si>
  <si>
    <t>68948 George Street</t>
  </si>
  <si>
    <t>+61 2 4251 4528</t>
  </si>
  <si>
    <t>2296 Elizabeth Street</t>
  </si>
  <si>
    <t>+61 2 1388 4878</t>
  </si>
  <si>
    <t>31675 Park Avenue</t>
  </si>
  <si>
    <t>+61 9 4952 3851</t>
  </si>
  <si>
    <t>84056 George Street</t>
  </si>
  <si>
    <t>+61 2 4875 2517</t>
  </si>
  <si>
    <t>46659 George Street</t>
  </si>
  <si>
    <t>+61 9 6542 2924</t>
  </si>
  <si>
    <t>66610 Main Street</t>
  </si>
  <si>
    <t>+61 8 7988 9047</t>
  </si>
  <si>
    <t>15229 King Street</t>
  </si>
  <si>
    <t>+61 6 9128 8842</t>
  </si>
  <si>
    <t>4169 Elizabeth Street</t>
  </si>
  <si>
    <t>+61 7 6123 3820</t>
  </si>
  <si>
    <t>62550 George Street</t>
  </si>
  <si>
    <t>+61 9 9694 2757</t>
  </si>
  <si>
    <t>35501 King Street</t>
  </si>
  <si>
    <t>+61 5 8191 2980</t>
  </si>
  <si>
    <t>30149 Elizabeth Street</t>
  </si>
  <si>
    <t>+61 6 4128 7887</t>
  </si>
  <si>
    <t>80300 Elizabeth Street</t>
  </si>
  <si>
    <t>+61 8 3507 3369</t>
  </si>
  <si>
    <t>17340 Elizabeth Street</t>
  </si>
  <si>
    <t>+61 8 2790 5877</t>
  </si>
  <si>
    <t>79497 King Street</t>
  </si>
  <si>
    <t>+61 4 3865 4071</t>
  </si>
  <si>
    <t>10147 George Street</t>
  </si>
  <si>
    <t>+61 3 3104 6815</t>
  </si>
  <si>
    <t>81266 King Street</t>
  </si>
  <si>
    <t>+61 2 6319 1578</t>
  </si>
  <si>
    <t>62106 Main Street</t>
  </si>
  <si>
    <t>+61 2 8636 6568</t>
  </si>
  <si>
    <t>14817 Main Street</t>
  </si>
  <si>
    <t>+61 6 1005 3426</t>
  </si>
  <si>
    <t>97383 George Street</t>
  </si>
  <si>
    <t>+61 5 4101 4003</t>
  </si>
  <si>
    <t>55442 King Street</t>
  </si>
  <si>
    <t>+61 2 2837 7029</t>
  </si>
  <si>
    <t>59327 King Street</t>
  </si>
  <si>
    <t>+61 8 1195 1422</t>
  </si>
  <si>
    <t>53822 George Street</t>
  </si>
  <si>
    <t>+61 4 5476 9238</t>
  </si>
  <si>
    <t>46735 Main Street</t>
  </si>
  <si>
    <t>+61 3 7949 9681</t>
  </si>
  <si>
    <t>7522 Park Avenue</t>
  </si>
  <si>
    <t>+61 3 9429 7892</t>
  </si>
  <si>
    <t>6350 Main Street</t>
  </si>
  <si>
    <t>+61 6 7064 6818</t>
  </si>
  <si>
    <t>96678 Park Avenue</t>
  </si>
  <si>
    <t>+61 9 1631 1192</t>
  </si>
  <si>
    <t>43350 George Street</t>
  </si>
  <si>
    <t>+61 4 8840 2470</t>
  </si>
  <si>
    <t>11845 Main Street</t>
  </si>
  <si>
    <t>+61 7 8222 4251</t>
  </si>
  <si>
    <t>98000 Park Avenue</t>
  </si>
  <si>
    <t>+61 2 5979 6159</t>
  </si>
  <si>
    <t>11938 Elizabeth Street</t>
  </si>
  <si>
    <t>+61 8 5401 7010</t>
  </si>
  <si>
    <t>63763 Park Avenue</t>
  </si>
  <si>
    <t>+61 6 5930 5424</t>
  </si>
  <si>
    <t>48740 George Street</t>
  </si>
  <si>
    <t>+61 7 5851 4195</t>
  </si>
  <si>
    <t>57883 Elizabeth Street</t>
  </si>
  <si>
    <t>+61 6 7078 6555</t>
  </si>
  <si>
    <t>55153 Park Avenue</t>
  </si>
  <si>
    <t>+61 5 2670 2417</t>
  </si>
  <si>
    <t>95328 King Street</t>
  </si>
  <si>
    <t>+61 3 5038 4277</t>
  </si>
  <si>
    <t>25991 Main Street</t>
  </si>
  <si>
    <t>+61 2 6933 8167</t>
  </si>
  <si>
    <t>66702 King Street</t>
  </si>
  <si>
    <t>+61 6 1194 6947</t>
  </si>
  <si>
    <t>57574 Elizabeth Street</t>
  </si>
  <si>
    <t>+61 4 4080 8755</t>
  </si>
  <si>
    <t>84314 Elizabeth Street</t>
  </si>
  <si>
    <t>+61 9 2519 8063</t>
  </si>
  <si>
    <t>59813 Main Street</t>
  </si>
  <si>
    <t>+61 2 9506 7848</t>
  </si>
  <si>
    <t>36301 Elizabeth Street</t>
  </si>
  <si>
    <t>+61 9 3806 1672</t>
  </si>
  <si>
    <t>12825 King Street</t>
  </si>
  <si>
    <t>+61 9 3284 7956</t>
  </si>
  <si>
    <t>7339 Park Avenue</t>
  </si>
  <si>
    <t>+61 6 3437 4535</t>
  </si>
  <si>
    <t>16697 Elizabeth Street</t>
  </si>
  <si>
    <t>+61 3 5364 2657</t>
  </si>
  <si>
    <t>45150 Park Avenue</t>
  </si>
  <si>
    <t>+61 4 4720 2050</t>
  </si>
  <si>
    <t>4051 Park Avenue</t>
  </si>
  <si>
    <t>+61 8 6430 8522</t>
  </si>
  <si>
    <t>10329 George Street</t>
  </si>
  <si>
    <t>+61 6 1775 2410</t>
  </si>
  <si>
    <t>55731 Elizabeth Street</t>
  </si>
  <si>
    <t>+61 7 2518 4066</t>
  </si>
  <si>
    <t>68278 George Street</t>
  </si>
  <si>
    <t>+61 3 2040 4771</t>
  </si>
  <si>
    <t>63513 King Street</t>
  </si>
  <si>
    <t>+61 5 6972 3559</t>
  </si>
  <si>
    <t>27804 Park Avenue</t>
  </si>
  <si>
    <t>+61 2 7525 1981</t>
  </si>
  <si>
    <t>39163 Elizabeth Street</t>
  </si>
  <si>
    <t>+61 8 3398 2588</t>
  </si>
  <si>
    <t>75501 King Street</t>
  </si>
  <si>
    <t>+61 7 3535 3127</t>
  </si>
  <si>
    <t>42244 George Street</t>
  </si>
  <si>
    <t>+61 9 5705 5775</t>
  </si>
  <si>
    <t>92251 George Street</t>
  </si>
  <si>
    <t>+61 3 1237 2978</t>
  </si>
  <si>
    <t>37200 George Street</t>
  </si>
  <si>
    <t>+61 4 3437 8874</t>
  </si>
  <si>
    <t>94598 Main Street</t>
  </si>
  <si>
    <t>+61 6 4593 6853</t>
  </si>
  <si>
    <t>38322 Park Avenue</t>
  </si>
  <si>
    <t>+61 2 3441 7354</t>
  </si>
  <si>
    <t>82155 King Street</t>
  </si>
  <si>
    <t>+61 6 4037 4803</t>
  </si>
  <si>
    <t>70552 Elizabeth Street</t>
  </si>
  <si>
    <t>+61 4 8831 6729</t>
  </si>
  <si>
    <t>12655 George Street</t>
  </si>
  <si>
    <t>+61 3 7451 4831</t>
  </si>
  <si>
    <t>39827 Main Street</t>
  </si>
  <si>
    <t>+61 2 9143 7230</t>
  </si>
  <si>
    <t>32733 George Street</t>
  </si>
  <si>
    <t>+61 9 7040 2875</t>
  </si>
  <si>
    <t>83943 George Street</t>
  </si>
  <si>
    <t>+61 3 7636 5229</t>
  </si>
  <si>
    <t>75362 George Street</t>
  </si>
  <si>
    <t>+61 5 2868 8079</t>
  </si>
  <si>
    <t>63674 George Street</t>
  </si>
  <si>
    <t>+61 9 7419 5680</t>
  </si>
  <si>
    <t>30357 Elizabeth Street</t>
  </si>
  <si>
    <t>+61 4 2766 8754</t>
  </si>
  <si>
    <t>27719 Elizabeth Street</t>
  </si>
  <si>
    <t>+61 3 2527 3906</t>
  </si>
  <si>
    <t>12106 Main Street</t>
  </si>
  <si>
    <t>+61 7 3190 2793</t>
  </si>
  <si>
    <t>32220 Main Street</t>
  </si>
  <si>
    <t>+61 8 6304 8751</t>
  </si>
  <si>
    <t>8237 Park Avenue</t>
  </si>
  <si>
    <t>+61 7 9424 1990</t>
  </si>
  <si>
    <t>11369 Elizabeth Street</t>
  </si>
  <si>
    <t>+61 9 6112 9448</t>
  </si>
  <si>
    <t>76521 George Street</t>
  </si>
  <si>
    <t>+61 7 5941 8155</t>
  </si>
  <si>
    <t>78249 Main Street</t>
  </si>
  <si>
    <t>+61 8 4643 1598</t>
  </si>
  <si>
    <t>44477 Park Avenue</t>
  </si>
  <si>
    <t>+61 2 1934 6340</t>
  </si>
  <si>
    <t>32757 Main Street</t>
  </si>
  <si>
    <t>+61 8 8831 5776</t>
  </si>
  <si>
    <t>68207 Park Avenue</t>
  </si>
  <si>
    <t>+61 6 3754 9829</t>
  </si>
  <si>
    <t>91393 Park Avenue</t>
  </si>
  <si>
    <t>+61 6 5469 1697</t>
  </si>
  <si>
    <t>9389 Park Avenue</t>
  </si>
  <si>
    <t>+61 6 1752 6221</t>
  </si>
  <si>
    <t>79737 Park Avenue</t>
  </si>
  <si>
    <t>+61 3 5985 2269</t>
  </si>
  <si>
    <t>11248 Elizabeth Street</t>
  </si>
  <si>
    <t>+61 9 9344 2012</t>
  </si>
  <si>
    <t>95351 George Street</t>
  </si>
  <si>
    <t>+61 4 8085 2603</t>
  </si>
  <si>
    <t>883 Park Avenue</t>
  </si>
  <si>
    <t>+61 8 9043 7802</t>
  </si>
  <si>
    <t>23764 King Street</t>
  </si>
  <si>
    <t>+61 5 3834 1345</t>
  </si>
  <si>
    <t>75092 King Street</t>
  </si>
  <si>
    <t>+61 2 6414 7362</t>
  </si>
  <si>
    <t>77835 Park Avenue</t>
  </si>
  <si>
    <t>+61 4 3038 4060</t>
  </si>
  <si>
    <t>8746 Elizabeth Street</t>
  </si>
  <si>
    <t>+61 7 4156 8778</t>
  </si>
  <si>
    <t>57959 Elizabeth Street</t>
  </si>
  <si>
    <t>+61 8 1558 8894</t>
  </si>
  <si>
    <t>24147 Elizabeth Street</t>
  </si>
  <si>
    <t>+61 4 5134 5801</t>
  </si>
  <si>
    <t>54417 Elizabeth Street</t>
  </si>
  <si>
    <t>+61 7 8412 6413</t>
  </si>
  <si>
    <t>79862 Elizabeth Street</t>
  </si>
  <si>
    <t>+61 7 1573 4823</t>
  </si>
  <si>
    <t>86889 King Street</t>
  </si>
  <si>
    <t>+61 8 4488 4502</t>
  </si>
  <si>
    <t>83346 King Street</t>
  </si>
  <si>
    <t>+61 2 9933 4155</t>
  </si>
  <si>
    <t>45307 Park Avenue</t>
  </si>
  <si>
    <t>+61 4 5456 7383</t>
  </si>
  <si>
    <t>24833 King Street</t>
  </si>
  <si>
    <t>+61 2 3110 9406</t>
  </si>
  <si>
    <t>20321 George Street</t>
  </si>
  <si>
    <t>+61 8 1793 9908</t>
  </si>
  <si>
    <t>11470 Park Avenue</t>
  </si>
  <si>
    <t>+61 6 5978 5212</t>
  </si>
  <si>
    <t>97748 Park Avenue</t>
  </si>
  <si>
    <t>+61 3 7673 2590</t>
  </si>
  <si>
    <t>31112 Park Avenue</t>
  </si>
  <si>
    <t>+61 3 7858 1698</t>
  </si>
  <si>
    <t>48199 King Street</t>
  </si>
  <si>
    <t>+61 3 4518 4408</t>
  </si>
  <si>
    <t>43095 Elizabeth Street</t>
  </si>
  <si>
    <t>+61 4 9780 7495</t>
  </si>
  <si>
    <t>26830 Elizabeth Street</t>
  </si>
  <si>
    <t>+61 6 8916 7174</t>
  </si>
  <si>
    <t>43981 Park Avenue</t>
  </si>
  <si>
    <t>+61 5 5589 2886</t>
  </si>
  <si>
    <t>95026 George Street</t>
  </si>
  <si>
    <t>+61 9 1745 1713</t>
  </si>
  <si>
    <t>9470 King Street</t>
  </si>
  <si>
    <t>+61 2 8988 1637</t>
  </si>
  <si>
    <t>41334 George Street</t>
  </si>
  <si>
    <t>+61 2 1597 8892</t>
  </si>
  <si>
    <t>11180 Main Street</t>
  </si>
  <si>
    <t>+61 8 7714 4638</t>
  </si>
  <si>
    <t>50616 Main Street</t>
  </si>
  <si>
    <t>+61 4 3916 4791</t>
  </si>
  <si>
    <t>29419 George Street</t>
  </si>
  <si>
    <t>+61 2 8150 3701</t>
  </si>
  <si>
    <t>9647 Elizabeth Street</t>
  </si>
  <si>
    <t>+61 4 5131 9769</t>
  </si>
  <si>
    <t>43957 Main Street</t>
  </si>
  <si>
    <t>+61 3 2222 3737</t>
  </si>
  <si>
    <t>29031 George Street</t>
  </si>
  <si>
    <t>+61 7 8730 9484</t>
  </si>
  <si>
    <t>5057 Park Avenue</t>
  </si>
  <si>
    <t>+61 3 4844 2708</t>
  </si>
  <si>
    <t>30716 King Street</t>
  </si>
  <si>
    <t>+61 3 5471 9630</t>
  </si>
  <si>
    <t>99518 Elizabeth Street</t>
  </si>
  <si>
    <t>+61 5 2076 2548</t>
  </si>
  <si>
    <t>92379 Park Avenue</t>
  </si>
  <si>
    <t>+61 7 2454 8254</t>
  </si>
  <si>
    <t>28056 Elizabeth Street</t>
  </si>
  <si>
    <t>+61 4 7373 3760</t>
  </si>
  <si>
    <t>74397 Main Street</t>
  </si>
  <si>
    <t>+61 3 7065 6013</t>
  </si>
  <si>
    <t>82595 Main Street</t>
  </si>
  <si>
    <t>+61 2 2237 5702</t>
  </si>
  <si>
    <t>80327 Main Street</t>
  </si>
  <si>
    <t>+61 7 9848 1754</t>
  </si>
  <si>
    <t>86566 King Street</t>
  </si>
  <si>
    <t>+61 5 3191 2697</t>
  </si>
  <si>
    <t>62804 Park Avenue</t>
  </si>
  <si>
    <t>+61 5 3441 2297</t>
  </si>
  <si>
    <t>90569 Main Street</t>
  </si>
  <si>
    <t>+61 3 7114 1123</t>
  </si>
  <si>
    <t>93541 Park Avenue</t>
  </si>
  <si>
    <t>+61 2 4172 9162</t>
  </si>
  <si>
    <t>49736 Park Avenue</t>
  </si>
  <si>
    <t>+61 5 8202 9389</t>
  </si>
  <si>
    <t>91049 King Street</t>
  </si>
  <si>
    <t>+61 8 4046 7362</t>
  </si>
  <si>
    <t>42080 Elizabeth Street</t>
  </si>
  <si>
    <t>+61 6 9269 9267</t>
  </si>
  <si>
    <t>38755 Main Street</t>
  </si>
  <si>
    <t>+61 2 7694 5089</t>
  </si>
  <si>
    <t>65790 Elizabeth Street</t>
  </si>
  <si>
    <t>+61 2 7851 1671</t>
  </si>
  <si>
    <t>73823 Main Street</t>
  </si>
  <si>
    <t>+61 3 9040 1489</t>
  </si>
  <si>
    <t>88466 Park Avenue</t>
  </si>
  <si>
    <t>+61 2 2126 8323</t>
  </si>
  <si>
    <t>34956 Main Street</t>
  </si>
  <si>
    <t>+61 9 1687 9155</t>
  </si>
  <si>
    <t>10602 Park Avenue</t>
  </si>
  <si>
    <t>+61 9 4712 8943</t>
  </si>
  <si>
    <t>69103 Main Street</t>
  </si>
  <si>
    <t>+61 6 4370 9711</t>
  </si>
  <si>
    <t>98172 King Street</t>
  </si>
  <si>
    <t>+61 3 8764 9868</t>
  </si>
  <si>
    <t>26157 Elizabeth Street</t>
  </si>
  <si>
    <t>+61 8 7556 9184</t>
  </si>
  <si>
    <t>6441 Main Street</t>
  </si>
  <si>
    <t>+61 4 4875 7688</t>
  </si>
  <si>
    <t>98446 George Street</t>
  </si>
  <si>
    <t>+61 2 4260 2352</t>
  </si>
  <si>
    <t>49060 Elizabeth Street</t>
  </si>
  <si>
    <t>+61 4 6987 7057</t>
  </si>
  <si>
    <t>43394 Park Avenue</t>
  </si>
  <si>
    <t>+61 9 4206 6827</t>
  </si>
  <si>
    <t>12774 George Street</t>
  </si>
  <si>
    <t>+61 4 2501 5784</t>
  </si>
  <si>
    <t>10582 King Street</t>
  </si>
  <si>
    <t>+61 6 1149 1612</t>
  </si>
  <si>
    <t>20265 Main Street</t>
  </si>
  <si>
    <t>+61 3 3870 1467</t>
  </si>
  <si>
    <t>86175 Park Avenue</t>
  </si>
  <si>
    <t>+61 6 3470 5178</t>
  </si>
  <si>
    <t>38559 Park Avenue</t>
  </si>
  <si>
    <t>+61 4 6516 9335</t>
  </si>
  <si>
    <t>24047 Elizabeth Street</t>
  </si>
  <si>
    <t>+61 5 8849 1486</t>
  </si>
  <si>
    <t>41937 Main Street</t>
  </si>
  <si>
    <t>+61 2 2369 2495</t>
  </si>
  <si>
    <t>73258 Main Street</t>
  </si>
  <si>
    <t>+61 3 4213 2277</t>
  </si>
  <si>
    <t>12802 Elizabeth Street</t>
  </si>
  <si>
    <t>+61 9 6424 8596</t>
  </si>
  <si>
    <t>31474 Main Street</t>
  </si>
  <si>
    <t>+61 9 4249 8446</t>
  </si>
  <si>
    <t>41325 Main Street</t>
  </si>
  <si>
    <t>+61 5 1589 6261</t>
  </si>
  <si>
    <t>97965 King Street</t>
  </si>
  <si>
    <t>+61 9 7681 1146</t>
  </si>
  <si>
    <t>52512 Park Avenue</t>
  </si>
  <si>
    <t>+61 7 6601 3853</t>
  </si>
  <si>
    <t>1772 Park Avenue</t>
  </si>
  <si>
    <t>+61 4 7987 3390</t>
  </si>
  <si>
    <t>57145 Elizabeth Street</t>
  </si>
  <si>
    <t>+61 6 2131 5934</t>
  </si>
  <si>
    <t>29374 Park Avenue</t>
  </si>
  <si>
    <t>+61 5 5612 7005</t>
  </si>
  <si>
    <t>41634 Elizabeth Street</t>
  </si>
  <si>
    <t>+61 7 2472 7638</t>
  </si>
  <si>
    <t>95129 Main Street</t>
  </si>
  <si>
    <t>+61 9 9580 4342</t>
  </si>
  <si>
    <t>82047 King Street</t>
  </si>
  <si>
    <t>+61 4 9972 2543</t>
  </si>
  <si>
    <t>72623 King Street</t>
  </si>
  <si>
    <t>+61 9 9752 3166</t>
  </si>
  <si>
    <t>18905 King Street</t>
  </si>
  <si>
    <t>+61 6 8793 2531</t>
  </si>
  <si>
    <t>31139 King Street</t>
  </si>
  <si>
    <t>+61 7 5330 8702</t>
  </si>
  <si>
    <t>99266 George Street</t>
  </si>
  <si>
    <t>+61 8 3368 6261</t>
  </si>
  <si>
    <t>83006 Elizabeth Street</t>
  </si>
  <si>
    <t>+61 6 1534 6522</t>
  </si>
  <si>
    <t>37369 George Street</t>
  </si>
  <si>
    <t>+61 6 3573 9723</t>
  </si>
  <si>
    <t>4447 George Street</t>
  </si>
  <si>
    <t>+61 8 2553 2421</t>
  </si>
  <si>
    <t>24277 Elizabeth Street</t>
  </si>
  <si>
    <t>+61 9 8720 1659</t>
  </si>
  <si>
    <t>22479 Main Street</t>
  </si>
  <si>
    <t>+61 4 4786 6051</t>
  </si>
  <si>
    <t>35329 Elizabeth Street</t>
  </si>
  <si>
    <t>+61 4 1098 2552</t>
  </si>
  <si>
    <t>31117 King Street</t>
  </si>
  <si>
    <t>+61 4 9140 7079</t>
  </si>
  <si>
    <t>18201 Elizabeth Street</t>
  </si>
  <si>
    <t>+61 6 4204 1257</t>
  </si>
  <si>
    <t>51227 George Street</t>
  </si>
  <si>
    <t>+61 8 9465 2211</t>
  </si>
  <si>
    <t>39992 Elizabeth Street</t>
  </si>
  <si>
    <t>+61 7 2486 2244</t>
  </si>
  <si>
    <t>3725 Main Street</t>
  </si>
  <si>
    <t>+61 8 1957 2694</t>
  </si>
  <si>
    <t>77203 King Street</t>
  </si>
  <si>
    <t>+61 2 7016 1161</t>
  </si>
  <si>
    <t>46847 George Street</t>
  </si>
  <si>
    <t>+61 8 6245 1660</t>
  </si>
  <si>
    <t>61770 George Street</t>
  </si>
  <si>
    <t>+61 6 8214 9657</t>
  </si>
  <si>
    <t>30338 Elizabeth Street</t>
  </si>
  <si>
    <t>+61 9 3905 3692</t>
  </si>
  <si>
    <t>33555 Park Avenue</t>
  </si>
  <si>
    <t>+61 8 4556 9126</t>
  </si>
  <si>
    <t>17812 King Street</t>
  </si>
  <si>
    <t>+61 9 7251 1132</t>
  </si>
  <si>
    <t>80427 Elizabeth Street</t>
  </si>
  <si>
    <t>+61 2 9938 7426</t>
  </si>
  <si>
    <t>18009 Park Avenue</t>
  </si>
  <si>
    <t>+61 3 8124 4969</t>
  </si>
  <si>
    <t>50662 Elizabeth Street</t>
  </si>
  <si>
    <t>+61 6 9102 1179</t>
  </si>
  <si>
    <t>90489 Elizabeth Street</t>
  </si>
  <si>
    <t>+61 4 9457 9775</t>
  </si>
  <si>
    <t>65499 George Street</t>
  </si>
  <si>
    <t>+61 9 6345 5487</t>
  </si>
  <si>
    <t>17645 Park Avenue</t>
  </si>
  <si>
    <t>+61 2 2551 6310</t>
  </si>
  <si>
    <t>82462 King Street</t>
  </si>
  <si>
    <t>+61 8 9576 4400</t>
  </si>
  <si>
    <t>42423 George Street</t>
  </si>
  <si>
    <t>+61 4 8456 7645</t>
  </si>
  <si>
    <t>2090 Elizabeth Street</t>
  </si>
  <si>
    <t>+61 4 4268 7371</t>
  </si>
  <si>
    <t>51748 George Street</t>
  </si>
  <si>
    <t>+61 5 6116 8150</t>
  </si>
  <si>
    <t>79152 King Street</t>
  </si>
  <si>
    <t>+61 8 8499 6554</t>
  </si>
  <si>
    <t>99259 Elizabeth Street</t>
  </si>
  <si>
    <t>+61 3 8916 7488</t>
  </si>
  <si>
    <t>37095 Elizabeth Street</t>
  </si>
  <si>
    <t>+61 8 7837 8020</t>
  </si>
  <si>
    <t>21531 Park Avenue</t>
  </si>
  <si>
    <t>+61 7 3660 9589</t>
  </si>
  <si>
    <t>77541 Elizabeth Street</t>
  </si>
  <si>
    <t>+61 7 1029 8957</t>
  </si>
  <si>
    <t>69964 George Street</t>
  </si>
  <si>
    <t>+61 5 2857 2489</t>
  </si>
  <si>
    <t>63608 George Street</t>
  </si>
  <si>
    <t>+61 6 1261 1472</t>
  </si>
  <si>
    <t>6491 Elizabeth Street</t>
  </si>
  <si>
    <t>+61 9 2370 1410</t>
  </si>
  <si>
    <t>22837 Park Avenue</t>
  </si>
  <si>
    <t>+61 5 6542 4896</t>
  </si>
  <si>
    <t>96730 George Street</t>
  </si>
  <si>
    <t>+61 2 1382 4652</t>
  </si>
  <si>
    <t>76873 George Street</t>
  </si>
  <si>
    <t>+61 8 1457 1376</t>
  </si>
  <si>
    <t>74288 Park Avenue</t>
  </si>
  <si>
    <t>+61 9 4300 9324</t>
  </si>
  <si>
    <t>66485 Elizabeth Street</t>
  </si>
  <si>
    <t>+61 6 7447 5150</t>
  </si>
  <si>
    <t>38273 Main Street</t>
  </si>
  <si>
    <t>+61 6 2685 5577</t>
  </si>
  <si>
    <t>33105 Elizabeth Street</t>
  </si>
  <si>
    <t>+61 7 8100 4537</t>
  </si>
  <si>
    <t>97891 Main Street</t>
  </si>
  <si>
    <t>+61 6 6625 6354</t>
  </si>
  <si>
    <t>14344 Elizabeth Street</t>
  </si>
  <si>
    <t>+61 7 6964 2128</t>
  </si>
  <si>
    <t>93051 Main Street</t>
  </si>
  <si>
    <t>+61 2 9772 2108</t>
  </si>
  <si>
    <t>8735 Elizabeth Street</t>
  </si>
  <si>
    <t>+61 7 6989 9907</t>
  </si>
  <si>
    <t>96040 Main Street</t>
  </si>
  <si>
    <t>+61 5 3704 2340</t>
  </si>
  <si>
    <t>87526 Elizabeth Street</t>
  </si>
  <si>
    <t>+61 8 2027 9658</t>
  </si>
  <si>
    <t>12472 Park Avenue</t>
  </si>
  <si>
    <t>+61 8 2544 7021</t>
  </si>
  <si>
    <t>66602 George Street</t>
  </si>
  <si>
    <t>+61 3 4076 1723</t>
  </si>
  <si>
    <t>24441 King Street</t>
  </si>
  <si>
    <t>+61 5 2716 1025</t>
  </si>
  <si>
    <t>62727 George Street</t>
  </si>
  <si>
    <t>+61 7 1678 2149</t>
  </si>
  <si>
    <t>80988 George Street</t>
  </si>
  <si>
    <t>+61 7 2525 5620</t>
  </si>
  <si>
    <t>35453 George Street</t>
  </si>
  <si>
    <t>+61 3 5001 2543</t>
  </si>
  <si>
    <t>41356 Main Street</t>
  </si>
  <si>
    <t>+61 9 1915 9558</t>
  </si>
  <si>
    <t>6696 George Street</t>
  </si>
  <si>
    <t>+61 7 6474 6743</t>
  </si>
  <si>
    <t>12924 King Street</t>
  </si>
  <si>
    <t>+61 5 8722 8622</t>
  </si>
  <si>
    <t>27753 George Street</t>
  </si>
  <si>
    <t>+61 3 9236 9224</t>
  </si>
  <si>
    <t>58734 George Street</t>
  </si>
  <si>
    <t>+61 4 5660 5602</t>
  </si>
  <si>
    <t>29627 Park Avenue</t>
  </si>
  <si>
    <t>+61 3 8458 9206</t>
  </si>
  <si>
    <t>23915 Main Street</t>
  </si>
  <si>
    <t>+61 9 7263 1554</t>
  </si>
  <si>
    <t>74187 Park Avenue</t>
  </si>
  <si>
    <t>+61 9 5313 7834</t>
  </si>
  <si>
    <t>60360 Elizabeth Street</t>
  </si>
  <si>
    <t>+61 7 6496 3019</t>
  </si>
  <si>
    <t>10042 Main Street</t>
  </si>
  <si>
    <t>+61 3 6435 5221</t>
  </si>
  <si>
    <t>55312 Elizabeth Street</t>
  </si>
  <si>
    <t>+61 3 6317 5400</t>
  </si>
  <si>
    <t>88725 Main Street</t>
  </si>
  <si>
    <t>+61 9 4614 9272</t>
  </si>
  <si>
    <t>65476 Elizabeth Street</t>
  </si>
  <si>
    <t>+61 8 7753 1063</t>
  </si>
  <si>
    <t>84763 Main Street</t>
  </si>
  <si>
    <t>+61 6 2285 4536</t>
  </si>
  <si>
    <t>97966 Park Avenue</t>
  </si>
  <si>
    <t>+61 6 3619 8646</t>
  </si>
  <si>
    <t>82748 Main Street</t>
  </si>
  <si>
    <t>+61 4 7926 6885</t>
  </si>
  <si>
    <t>80664 Main Street</t>
  </si>
  <si>
    <t>+61 8 5225 8136</t>
  </si>
  <si>
    <t>85585 King Street</t>
  </si>
  <si>
    <t>+61 8 1343 4176</t>
  </si>
  <si>
    <t>6792 Main Street</t>
  </si>
  <si>
    <t>+61 4 1099 4435</t>
  </si>
  <si>
    <t>61 Main Street</t>
  </si>
  <si>
    <t>+61 9 1320 6044</t>
  </si>
  <si>
    <t>64653 Main Street</t>
  </si>
  <si>
    <t>+61 7 4701 8525</t>
  </si>
  <si>
    <t>12837 Park Avenue</t>
  </si>
  <si>
    <t>+61 6 2990 2237</t>
  </si>
  <si>
    <t>60582 Main Street</t>
  </si>
  <si>
    <t>+61 7 4788 5724</t>
  </si>
  <si>
    <t>82639 King Street</t>
  </si>
  <si>
    <t>+61 3 1117 8287</t>
  </si>
  <si>
    <t>17374 Main Street</t>
  </si>
  <si>
    <t>+61 7 9795 2807</t>
  </si>
  <si>
    <t>90072 King Street</t>
  </si>
  <si>
    <t>+61 5 2900 1453</t>
  </si>
  <si>
    <t>50131 Park Avenue</t>
  </si>
  <si>
    <t>+61 5 9903 5751</t>
  </si>
  <si>
    <t>24948 Park Avenue</t>
  </si>
  <si>
    <t>+61 6 5580 9209</t>
  </si>
  <si>
    <t>21920 Main Street</t>
  </si>
  <si>
    <t>+61 7 3713 2712</t>
  </si>
  <si>
    <t>60295 Park Avenue</t>
  </si>
  <si>
    <t>+61 5 7778 4107</t>
  </si>
  <si>
    <t>7319 Elizabeth Street</t>
  </si>
  <si>
    <t>+61 6 2311 7542</t>
  </si>
  <si>
    <t>92135 Park Avenue</t>
  </si>
  <si>
    <t>+61 4 6394 1630</t>
  </si>
  <si>
    <t>45245 King Street</t>
  </si>
  <si>
    <t>+61 9 2131 1244</t>
  </si>
  <si>
    <t>97105 Park Avenue</t>
  </si>
  <si>
    <t>+61 4 4597 6472</t>
  </si>
  <si>
    <t>88585 Main Street</t>
  </si>
  <si>
    <t>+61 8 5453 8533</t>
  </si>
  <si>
    <t>42015 Main Street</t>
  </si>
  <si>
    <t>+61 6 9989 9472</t>
  </si>
  <si>
    <t>64060 Park Avenue</t>
  </si>
  <si>
    <t>+61 7 3737 7757</t>
  </si>
  <si>
    <t>55106 George Street</t>
  </si>
  <si>
    <t>+61 6 2788 7937</t>
  </si>
  <si>
    <t>81501 George Street</t>
  </si>
  <si>
    <t>+61 9 4399 2405</t>
  </si>
  <si>
    <t>91761 Main Street</t>
  </si>
  <si>
    <t>+61 3 2484 4174</t>
  </si>
  <si>
    <t>35914 Elizabeth Street</t>
  </si>
  <si>
    <t>+61 6 9053 9128</t>
  </si>
  <si>
    <t>53193 Park Avenue</t>
  </si>
  <si>
    <t>+61 4 3324 8517</t>
  </si>
  <si>
    <t>12522 Park Avenue</t>
  </si>
  <si>
    <t>+61 4 7253 6518</t>
  </si>
  <si>
    <t>36027 George Street</t>
  </si>
  <si>
    <t>+61 5 3204 3367</t>
  </si>
  <si>
    <t>81100 King Street</t>
  </si>
  <si>
    <t>+61 3 9151 1956</t>
  </si>
  <si>
    <t>89174 George Street</t>
  </si>
  <si>
    <t>+61 6 3844 8232</t>
  </si>
  <si>
    <t>74531 Main Street</t>
  </si>
  <si>
    <t>+61 6 8464 1720</t>
  </si>
  <si>
    <t>23943 Park Avenue</t>
  </si>
  <si>
    <t>+61 5 2454 7375</t>
  </si>
  <si>
    <t>24211 King Street</t>
  </si>
  <si>
    <t>+61 8 3726 3115</t>
  </si>
  <si>
    <t>12642 Elizabeth Street</t>
  </si>
  <si>
    <t>+61 2 4360 3933</t>
  </si>
  <si>
    <t>35284 Elizabeth Street</t>
  </si>
  <si>
    <t>+61 7 9552 2775</t>
  </si>
  <si>
    <t>53445 George Street</t>
  </si>
  <si>
    <t>+61 7 6139 7130</t>
  </si>
  <si>
    <t>59332 Main Street</t>
  </si>
  <si>
    <t>+61 2 2779 7465</t>
  </si>
  <si>
    <t>68826 King Street</t>
  </si>
  <si>
    <t>+61 4 9335 8082</t>
  </si>
  <si>
    <t>42213 Park Avenue</t>
  </si>
  <si>
    <t>+61 3 2507 8397</t>
  </si>
  <si>
    <t>42709 Main Street</t>
  </si>
  <si>
    <t>+61 8 7094 4903</t>
  </si>
  <si>
    <t>46201 Elizabeth Street</t>
  </si>
  <si>
    <t>+61 8 5129 7834</t>
  </si>
  <si>
    <t>97707 King Street</t>
  </si>
  <si>
    <t>+61 8 1903 8758</t>
  </si>
  <si>
    <t>41150 Main Street</t>
  </si>
  <si>
    <t>+61 7 7694 6913</t>
  </si>
  <si>
    <t>59307 King Street</t>
  </si>
  <si>
    <t>+61 3 1902 6560</t>
  </si>
  <si>
    <t>84856 Main Street</t>
  </si>
  <si>
    <t>+61 5 3178 5577</t>
  </si>
  <si>
    <t>49165 King Street</t>
  </si>
  <si>
    <t>+61 2 5468 5892</t>
  </si>
  <si>
    <t>1339 Elizabeth Street</t>
  </si>
  <si>
    <t>+61 8 8824 7418</t>
  </si>
  <si>
    <t>Service</t>
  </si>
  <si>
    <t>Price (USD)</t>
  </si>
  <si>
    <t>Margin (in %)</t>
  </si>
  <si>
    <t>$600</t>
  </si>
  <si>
    <t>$250</t>
  </si>
  <si>
    <t>$800</t>
  </si>
  <si>
    <t>LinkedIn Profile</t>
  </si>
  <si>
    <t>$300</t>
  </si>
  <si>
    <t>Mentoring Program</t>
  </si>
  <si>
    <t>$1200</t>
  </si>
  <si>
    <t xml:space="preserve">Details for Sum of Sale Price </t>
  </si>
  <si>
    <t>Row Labels</t>
  </si>
  <si>
    <t>Details for Count of Quantity Ordered</t>
  </si>
  <si>
    <t>Customer ID.1</t>
  </si>
  <si>
    <t>Service Category.1</t>
  </si>
  <si>
    <t>Order Date.1</t>
  </si>
  <si>
    <t>Quantity Ordered.1</t>
  </si>
  <si>
    <t>Order Status.1</t>
  </si>
  <si>
    <t>State.1</t>
  </si>
  <si>
    <t>Sale Price .1</t>
  </si>
  <si>
    <t>Customer Name</t>
  </si>
  <si>
    <t>Callan Ellis</t>
  </si>
  <si>
    <t>Cole Molina</t>
  </si>
  <si>
    <t>Crew Robbins</t>
  </si>
  <si>
    <t>Declan Escobar</t>
  </si>
  <si>
    <t>Emerson Waller</t>
  </si>
  <si>
    <t>Franklin Walters</t>
  </si>
  <si>
    <t>Joshua Gutierrez</t>
  </si>
  <si>
    <t>Killian Flowers</t>
  </si>
  <si>
    <t>Lucille Ponce</t>
  </si>
  <si>
    <t>Norah Hancock</t>
  </si>
  <si>
    <t>Raya Quintana</t>
  </si>
  <si>
    <t>Ronin Ali</t>
  </si>
  <si>
    <t>Willa Sweeney</t>
  </si>
  <si>
    <t xml:space="preserve">Sum of Sale Price </t>
  </si>
  <si>
    <t>Sum of Total Profit (GMROI)</t>
  </si>
  <si>
    <t>Details for Count of Order ID - Service Category: Interview Prep</t>
  </si>
  <si>
    <t>1. KPIs drafting</t>
  </si>
  <si>
    <t>2. Graphs construct</t>
  </si>
  <si>
    <t>3. Approximate Coloring</t>
  </si>
  <si>
    <t>IP</t>
  </si>
  <si>
    <t>fEB</t>
  </si>
  <si>
    <t>ns</t>
  </si>
  <si>
    <t>RL</t>
  </si>
  <si>
    <t>m</t>
  </si>
  <si>
    <t>MP</t>
  </si>
  <si>
    <t>NS</t>
  </si>
  <si>
    <t>LP</t>
  </si>
  <si>
    <t>LP, MP(2nd)</t>
  </si>
  <si>
    <t>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</si>
</sst>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2" fontId="0" fillId="0" borderId="0" xfId="0" applyNumberFormat="1"/>
    <xf numFmtId="0" fontId="0" fillId="0" borderId="0" xfId="0" applyAlignment="1">
      <alignment horizontal="left" vertical="top"/>
    </xf>
    <xf numFmtId="0" fontId="1" fillId="0" borderId="0" xfId="0" applyFont="1" applyAlignment="1">
      <alignment horizontal="center" vertical="center" wrapText="1"/>
    </xf>
    <xf numFmtId="0" fontId="0" fillId="0" borderId="0" xfId="0" applyAlignment="1">
      <alignment vertical="center" wrapText="1"/>
    </xf>
    <xf numFmtId="1" fontId="0" fillId="0" borderId="0" xfId="0" applyNumberFormat="1"/>
    <xf numFmtId="0" fontId="0" fillId="0" borderId="0" xfId="0" pivotButton="1"/>
    <xf numFmtId="164" fontId="0" fillId="0" borderId="0" xfId="0" applyNumberFormat="1"/>
    <xf numFmtId="0" fontId="1" fillId="0" borderId="0" xfId="0" applyFont="1"/>
    <xf numFmtId="0" fontId="0" fillId="0" borderId="0" xfId="0" applyAlignment="1">
      <alignment horizontal="left"/>
    </xf>
    <xf numFmtId="0" fontId="0" fillId="0" borderId="0" xfId="0" quotePrefix="1"/>
    <xf numFmtId="0" fontId="0" fillId="0" borderId="0" xfId="0" applyNumberFormat="1"/>
    <xf numFmtId="0" fontId="0" fillId="2" borderId="0" xfId="0" applyFill="1"/>
  </cellXfs>
  <cellStyles count="1">
    <cellStyle name="Normal" xfId="0" builtinId="0"/>
  </cellStyles>
  <dxfs count="56">
    <dxf>
      <font>
        <color rgb="FF9C0006"/>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 formatCode="0"/>
    </dxf>
    <dxf>
      <numFmt numFmtId="1" formatCode="0"/>
    </dxf>
    <dxf>
      <numFmt numFmtId="164" formatCode="m/d/yyyy"/>
    </dxf>
    <dxf>
      <numFmt numFmtId="164" formatCode="m/d/yyyy"/>
    </dxf>
    <dxf>
      <numFmt numFmtId="0" formatCode="General"/>
    </dxf>
    <dxf>
      <numFmt numFmtId="0" formatCode="General"/>
    </dxf>
    <dxf>
      <alignment horizontal="left" vertical="top" textRotation="0" wrapText="0" indent="0" justifyLastLine="0" shrinkToFit="0" readingOrder="0"/>
    </dxf>
    <dxf>
      <alignment horizontal="left"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s>
  <tableStyles count="0" defaultTableStyle="TableStyleMedium2" defaultPivotStyle="PivotStyleLight16"/>
  <colors>
    <mruColors>
      <color rgb="FF59A14F"/>
      <color rgb="FFF28E2B"/>
      <color rgb="FF4E79A7"/>
      <color rgb="FFFFF4E0"/>
      <color rgb="FF4472C4"/>
      <color rgb="FF1F2A44"/>
      <color rgb="FFE8F7EF"/>
      <color rgb="FFE8F1FB"/>
      <color rgb="FF2E4A78"/>
      <color rgb="FF52C7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[Sales_Dashboard.xlsx]Pivot_Tables!Service_Category</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a:solidFill>
                  <a:schemeClr val="tx2"/>
                </a:solidFill>
              </a:rPr>
              <a:t>Revenue by Service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Pivot_Tables!$H$3</c:f>
              <c:strCache>
                <c:ptCount val="1"/>
                <c:pt idx="0">
                  <c:v>Total</c:v>
                </c:pt>
              </c:strCache>
            </c:strRef>
          </c:tx>
          <c:invertIfNegative val="0"/>
          <c:cat>
            <c:strRef>
              <c:f>Pivot_Tables!$G$4:$G$10</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Pivot_Tables!$H$4:$H$10</c:f>
              <c:numCache>
                <c:formatCode>General</c:formatCode>
                <c:ptCount val="6"/>
                <c:pt idx="0">
                  <c:v>143772</c:v>
                </c:pt>
                <c:pt idx="1">
                  <c:v>136949</c:v>
                </c:pt>
                <c:pt idx="2">
                  <c:v>225217</c:v>
                </c:pt>
                <c:pt idx="3">
                  <c:v>139566</c:v>
                </c:pt>
                <c:pt idx="4">
                  <c:v>127318</c:v>
                </c:pt>
                <c:pt idx="5">
                  <c:v>119318</c:v>
                </c:pt>
              </c:numCache>
            </c:numRef>
          </c:val>
          <c:extLst>
            <c:ext xmlns:c16="http://schemas.microsoft.com/office/drawing/2014/chart" uri="{C3380CC4-5D6E-409C-BE32-E72D297353CC}">
              <c16:uniqueId val="{00000005-ABA2-A14B-AD60-329D214B6CDC}"/>
            </c:ext>
          </c:extLst>
        </c:ser>
        <c:dLbls>
          <c:showLegendKey val="0"/>
          <c:showVal val="0"/>
          <c:showCatName val="0"/>
          <c:showSerName val="0"/>
          <c:showPercent val="0"/>
          <c:showBubbleSize val="0"/>
        </c:dLbls>
        <c:gapWidth val="219"/>
        <c:overlap val="-27"/>
        <c:axId val="2073428624"/>
        <c:axId val="2073358080"/>
      </c:barChart>
      <c:catAx>
        <c:axId val="20734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2073358080"/>
        <c:crosses val="autoZero"/>
        <c:auto val="1"/>
        <c:lblAlgn val="ctr"/>
        <c:lblOffset val="100"/>
        <c:noMultiLvlLbl val="0"/>
      </c:catAx>
      <c:valAx>
        <c:axId val="207335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7342862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[Sales_Dashboard.xlsx]Pivot_Tables!Orders_Count</c:name>
    <c:fmtId val="5"/>
  </c:pivotSource>
  <c:chart>
    <c:title>
      <c:tx>
        <c:rich>
          <a:bodyPr rot="0" spcFirstLastPara="1" vertOverflow="ellipsis" vert="horz" wrap="square" anchor="ctr" anchorCtr="1"/>
          <a:lstStyle/>
          <a:p>
            <a:pPr>
              <a:defRPr sz="1600" b="0" i="0" u="none" strike="noStrike" kern="1200" spc="0" baseline="0">
                <a:solidFill>
                  <a:schemeClr val="tx2"/>
                </a:solidFill>
                <a:latin typeface="+mn-lt"/>
                <a:ea typeface="+mn-ea"/>
                <a:cs typeface="+mn-cs"/>
              </a:defRPr>
            </a:pPr>
            <a:r>
              <a:rPr lang="en-US" sz="1600" b="1">
                <a:solidFill>
                  <a:schemeClr val="tx2"/>
                </a:solidFill>
              </a:rPr>
              <a:t>Number of Orders </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5400" cap="sq"/>
        </c:spPr>
        <c:dLbl>
          <c:idx val="0"/>
          <c:delete val="1"/>
          <c:extLst>
            <c:ext xmlns:c15="http://schemas.microsoft.com/office/drawing/2012/chart" uri="{CE6537A1-D6FC-4f65-9D91-7224C49458BB}"/>
          </c:extLst>
        </c:dLbl>
      </c:pivotFmt>
      <c:pivotFmt>
        <c:idx val="4"/>
      </c:pivotFmt>
    </c:pivotFmts>
    <c:plotArea>
      <c:layout/>
      <c:lineChart>
        <c:grouping val="standard"/>
        <c:varyColors val="0"/>
        <c:ser>
          <c:idx val="1"/>
          <c:order val="0"/>
          <c:tx>
            <c:strRef>
              <c:f>Pivot_Tables!$B$1</c:f>
              <c:strCache>
                <c:ptCount val="1"/>
                <c:pt idx="0">
                  <c:v>Total</c:v>
                </c:pt>
              </c:strCache>
            </c:strRef>
          </c:tx>
          <c:spPr>
            <a:ln w="25400" cap="sq"/>
          </c:spPr>
          <c:cat>
            <c:strRef>
              <c:f>Pivot_Tables!$A$2:$A$14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Pivot_Tables!$B$2:$B$14</c:f>
              <c:numCache>
                <c:formatCode>General</c:formatCode>
                <c:ptCount val="12"/>
                <c:pt idx="0">
                  <c:v>74</c:v>
                </c:pt>
                <c:pt idx="1">
                  <c:v>79</c:v>
                </c:pt>
                <c:pt idx="2">
                  <c:v>95</c:v>
                </c:pt>
                <c:pt idx="3">
                  <c:v>73</c:v>
                </c:pt>
                <c:pt idx="4">
                  <c:v>77</c:v>
                </c:pt>
                <c:pt idx="5">
                  <c:v>82</c:v>
                </c:pt>
                <c:pt idx="6">
                  <c:v>87</c:v>
                </c:pt>
                <c:pt idx="7">
                  <c:v>97</c:v>
                </c:pt>
                <c:pt idx="8">
                  <c:v>84</c:v>
                </c:pt>
                <c:pt idx="9">
                  <c:v>80</c:v>
                </c:pt>
                <c:pt idx="10">
                  <c:v>94</c:v>
                </c:pt>
                <c:pt idx="11">
                  <c:v>82</c:v>
                </c:pt>
              </c:numCache>
            </c:numRef>
          </c:val>
          <c:smooth val="0"/>
          <c:extLst>
            <c:ext xmlns:c16="http://schemas.microsoft.com/office/drawing/2014/chart" uri="{C3380CC4-5D6E-409C-BE32-E72D297353CC}">
              <c16:uniqueId val="{00000003-0EA9-D748-BDA8-C1E35763F350}"/>
            </c:ext>
          </c:extLst>
        </c:ser>
        <c:dLbls>
          <c:showLegendKey val="0"/>
          <c:showVal val="0"/>
          <c:showCatName val="0"/>
          <c:showSerName val="0"/>
          <c:showPercent val="0"/>
          <c:showBubbleSize val="0"/>
        </c:dLbls>
        <c:marker val="1"/>
        <c:smooth val="0"/>
        <c:axId val="2073272944"/>
        <c:axId val="1324737903"/>
      </c:lineChart>
      <c:catAx>
        <c:axId val="20732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24737903"/>
        <c:crosses val="autoZero"/>
        <c:auto val="1"/>
        <c:lblAlgn val="ctr"/>
        <c:lblOffset val="100"/>
        <c:noMultiLvlLbl val="0"/>
      </c:catAx>
      <c:valAx>
        <c:axId val="132473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207327294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[Sales_Dashboard.xlsx]Pivot_Tables!Top_Category</c:name>
    <c:fmtId val="3"/>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GB" sz="1600" b="1">
                <a:solidFill>
                  <a:schemeClr val="tx2"/>
                </a:solidFill>
              </a:rPr>
              <a:t>Orders by Service Category</a:t>
            </a:r>
          </a:p>
        </c:rich>
      </c:tx>
      <c:overlay val="0"/>
      <c:spPr>
        <a:solidFill>
          <a:schemeClr val="bg1"/>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Pivot_Tables!$E$3</c:f>
              <c:strCache>
                <c:ptCount val="1"/>
                <c:pt idx="0">
                  <c:v>Total</c:v>
                </c:pt>
              </c:strCache>
            </c:strRef>
          </c:tx>
          <c:invertIfNegative val="0"/>
          <c:cat>
            <c:strRef>
              <c:f>Pivot_Tables!$D$4:$D$10</c:f>
              <c:strCache>
                <c:ptCount val="6"/>
                <c:pt idx="0">
                  <c:v>Mentoring program</c:v>
                </c:pt>
                <c:pt idx="1">
                  <c:v>Networking Strategy</c:v>
                </c:pt>
                <c:pt idx="2">
                  <c:v>Interview Prep</c:v>
                </c:pt>
                <c:pt idx="3">
                  <c:v>LinkedIn profile</c:v>
                </c:pt>
                <c:pt idx="4">
                  <c:v>Resume + LinkedIn Profile</c:v>
                </c:pt>
                <c:pt idx="5">
                  <c:v>Resume (service fee)</c:v>
                </c:pt>
              </c:strCache>
            </c:strRef>
          </c:cat>
          <c:val>
            <c:numRef>
              <c:f>Pivot_Tables!$E$4:$E$10</c:f>
              <c:numCache>
                <c:formatCode>General</c:formatCode>
                <c:ptCount val="6"/>
                <c:pt idx="0">
                  <c:v>266</c:v>
                </c:pt>
                <c:pt idx="1">
                  <c:v>158</c:v>
                </c:pt>
                <c:pt idx="2">
                  <c:v>153</c:v>
                </c:pt>
                <c:pt idx="3">
                  <c:v>151</c:v>
                </c:pt>
                <c:pt idx="4">
                  <c:v>140</c:v>
                </c:pt>
                <c:pt idx="5">
                  <c:v>136</c:v>
                </c:pt>
              </c:numCache>
            </c:numRef>
          </c:val>
          <c:extLst>
            <c:ext xmlns:c16="http://schemas.microsoft.com/office/drawing/2014/chart" uri="{C3380CC4-5D6E-409C-BE32-E72D297353CC}">
              <c16:uniqueId val="{00000003-ADB0-C444-BA8E-5A6AB3EA9D01}"/>
            </c:ext>
          </c:extLst>
        </c:ser>
        <c:dLbls>
          <c:showLegendKey val="0"/>
          <c:showVal val="0"/>
          <c:showCatName val="0"/>
          <c:showSerName val="0"/>
          <c:showPercent val="0"/>
          <c:showBubbleSize val="0"/>
        </c:dLbls>
        <c:gapWidth val="219"/>
        <c:overlap val="-27"/>
        <c:axId val="582155071"/>
        <c:axId val="744368799"/>
      </c:barChart>
      <c:catAx>
        <c:axId val="5821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744368799"/>
        <c:crosses val="autoZero"/>
        <c:auto val="1"/>
        <c:lblAlgn val="ctr"/>
        <c:lblOffset val="100"/>
        <c:noMultiLvlLbl val="0"/>
      </c:catAx>
      <c:valAx>
        <c:axId val="74436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58215507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[Sales_Dashboard.xlsx]Pivot_Tables!Orders_Status</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Order by Status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rgbClr val="4E79A7"/>
          </a:solidFill>
        </c:spPr>
      </c:pivotFmt>
      <c:pivotFmt>
        <c:idx val="13"/>
        <c:spPr>
          <a:solidFill>
            <a:srgbClr val="F28E2B"/>
          </a:solidFill>
        </c:spPr>
      </c:pivotFmt>
      <c:pivotFmt>
        <c:idx val="14"/>
        <c:spPr>
          <a:solidFill>
            <a:srgbClr val="59A14F"/>
          </a:solidFill>
        </c:spPr>
      </c:pivotFmt>
    </c:pivotFmts>
    <c:plotArea>
      <c:layout>
        <c:manualLayout>
          <c:layoutTarget val="inner"/>
          <c:xMode val="edge"/>
          <c:yMode val="edge"/>
          <c:x val="0.29152410743177648"/>
          <c:y val="0.17283270625654551"/>
          <c:w val="0.38880811131485277"/>
          <c:h val="0.69908847600946433"/>
        </c:manualLayout>
      </c:layout>
      <c:doughnutChart>
        <c:varyColors val="1"/>
        <c:ser>
          <c:idx val="1"/>
          <c:order val="0"/>
          <c:tx>
            <c:strRef>
              <c:f>Pivot_Tables!$K$3</c:f>
              <c:strCache>
                <c:ptCount val="1"/>
                <c:pt idx="0">
                  <c:v>Total</c:v>
                </c:pt>
              </c:strCache>
            </c:strRef>
          </c:tx>
          <c:dPt>
            <c:idx val="1"/>
            <c:bubble3D val="0"/>
            <c:spPr>
              <a:solidFill>
                <a:srgbClr val="4E79A7"/>
              </a:solidFill>
            </c:spPr>
            <c:extLst>
              <c:ext xmlns:c16="http://schemas.microsoft.com/office/drawing/2014/chart" uri="{C3380CC4-5D6E-409C-BE32-E72D297353CC}">
                <c16:uniqueId val="{00000015-1666-CD42-85C5-DA53D513FEB2}"/>
              </c:ext>
            </c:extLst>
          </c:dPt>
          <c:dPt>
            <c:idx val="2"/>
            <c:bubble3D val="0"/>
            <c:spPr>
              <a:solidFill>
                <a:srgbClr val="F28E2B"/>
              </a:solidFill>
            </c:spPr>
            <c:extLst>
              <c:ext xmlns:c16="http://schemas.microsoft.com/office/drawing/2014/chart" uri="{C3380CC4-5D6E-409C-BE32-E72D297353CC}">
                <c16:uniqueId val="{00000016-1666-CD42-85C5-DA53D513FEB2}"/>
              </c:ext>
            </c:extLst>
          </c:dPt>
          <c:dPt>
            <c:idx val="3"/>
            <c:bubble3D val="0"/>
            <c:spPr>
              <a:solidFill>
                <a:srgbClr val="59A14F"/>
              </a:solidFill>
            </c:spPr>
            <c:extLst>
              <c:ext xmlns:c16="http://schemas.microsoft.com/office/drawing/2014/chart" uri="{C3380CC4-5D6E-409C-BE32-E72D297353CC}">
                <c16:uniqueId val="{00000017-1666-CD42-85C5-DA53D513FEB2}"/>
              </c:ext>
            </c:extLst>
          </c:dPt>
          <c:cat>
            <c:strRef>
              <c:f>Pivot_Tables!$J$4:$J$8</c:f>
              <c:strCache>
                <c:ptCount val="4"/>
                <c:pt idx="0">
                  <c:v>Cancelled</c:v>
                </c:pt>
                <c:pt idx="1">
                  <c:v>Delivered</c:v>
                </c:pt>
                <c:pt idx="2">
                  <c:v>In Progress</c:v>
                </c:pt>
                <c:pt idx="3">
                  <c:v>Service Booked</c:v>
                </c:pt>
              </c:strCache>
            </c:strRef>
          </c:cat>
          <c:val>
            <c:numRef>
              <c:f>Pivot_Tables!$K$4:$K$8</c:f>
              <c:numCache>
                <c:formatCode>General</c:formatCode>
                <c:ptCount val="4"/>
                <c:pt idx="0">
                  <c:v>103</c:v>
                </c:pt>
                <c:pt idx="1">
                  <c:v>401</c:v>
                </c:pt>
                <c:pt idx="2">
                  <c:v>111</c:v>
                </c:pt>
                <c:pt idx="3">
                  <c:v>389</c:v>
                </c:pt>
              </c:numCache>
            </c:numRef>
          </c:val>
          <c:extLst>
            <c:ext xmlns:c16="http://schemas.microsoft.com/office/drawing/2014/chart" uri="{C3380CC4-5D6E-409C-BE32-E72D297353CC}">
              <c16:uniqueId val="{00000013-1666-CD42-85C5-DA53D513FEB2}"/>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0.70441570488620431"/>
          <c:y val="0.29467243318723091"/>
          <c:w val="0.2791459389494122"/>
          <c:h val="0.506862030177262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266700</xdr:colOff>
      <xdr:row>44</xdr:row>
      <xdr:rowOff>12700</xdr:rowOff>
    </xdr:to>
    <xdr:sp macro="" textlink="">
      <xdr:nvSpPr>
        <xdr:cNvPr id="2" name="Rectangle 1">
          <a:extLst>
            <a:ext uri="{FF2B5EF4-FFF2-40B4-BE49-F238E27FC236}">
              <a16:creationId xmlns:a16="http://schemas.microsoft.com/office/drawing/2014/main" id="{FE0AF292-A5DE-E593-5D97-C436FC599771}"/>
            </a:ext>
          </a:extLst>
        </xdr:cNvPr>
        <xdr:cNvSpPr/>
      </xdr:nvSpPr>
      <xdr:spPr>
        <a:xfrm>
          <a:off x="0" y="0"/>
          <a:ext cx="15125700" cy="8394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12700</xdr:rowOff>
    </xdr:from>
    <xdr:to>
      <xdr:col>18</xdr:col>
      <xdr:colOff>330200</xdr:colOff>
      <xdr:row>44</xdr:row>
      <xdr:rowOff>101600</xdr:rowOff>
    </xdr:to>
    <xdr:sp macro="" textlink="">
      <xdr:nvSpPr>
        <xdr:cNvPr id="3" name="Rectangle 2">
          <a:extLst>
            <a:ext uri="{FF2B5EF4-FFF2-40B4-BE49-F238E27FC236}">
              <a16:creationId xmlns:a16="http://schemas.microsoft.com/office/drawing/2014/main" id="{BF18F0A5-2117-427D-9D05-19F18B082DED}"/>
            </a:ext>
          </a:extLst>
        </xdr:cNvPr>
        <xdr:cNvSpPr/>
      </xdr:nvSpPr>
      <xdr:spPr>
        <a:xfrm>
          <a:off x="0" y="12700"/>
          <a:ext cx="15189200" cy="8470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406400</xdr:colOff>
      <xdr:row>5</xdr:row>
      <xdr:rowOff>150682</xdr:rowOff>
    </xdr:from>
    <xdr:to>
      <xdr:col>10</xdr:col>
      <xdr:colOff>292100</xdr:colOff>
      <xdr:row>11</xdr:row>
      <xdr:rowOff>177800</xdr:rowOff>
    </xdr:to>
    <xdr:sp macro="" textlink="">
      <xdr:nvSpPr>
        <xdr:cNvPr id="6" name="Rounded Rectangle 5">
          <a:extLst>
            <a:ext uri="{FF2B5EF4-FFF2-40B4-BE49-F238E27FC236}">
              <a16:creationId xmlns:a16="http://schemas.microsoft.com/office/drawing/2014/main" id="{65669AF6-931B-FB94-156A-AA93C3AF1BD7}"/>
            </a:ext>
          </a:extLst>
        </xdr:cNvPr>
        <xdr:cNvSpPr/>
      </xdr:nvSpPr>
      <xdr:spPr>
        <a:xfrm>
          <a:off x="3708400" y="1103182"/>
          <a:ext cx="4838700" cy="1170118"/>
        </a:xfrm>
        <a:prstGeom prst="roundRect">
          <a:avLst/>
        </a:prstGeom>
        <a:solidFill>
          <a:srgbClr val="E8F7E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a:p>
      </xdr:txBody>
    </xdr:sp>
    <xdr:clientData/>
  </xdr:twoCellAnchor>
  <xdr:twoCellAnchor>
    <xdr:from>
      <xdr:col>0</xdr:col>
      <xdr:colOff>101600</xdr:colOff>
      <xdr:row>5</xdr:row>
      <xdr:rowOff>150682</xdr:rowOff>
    </xdr:from>
    <xdr:to>
      <xdr:col>4</xdr:col>
      <xdr:colOff>190500</xdr:colOff>
      <xdr:row>12</xdr:row>
      <xdr:rowOff>0</xdr:rowOff>
    </xdr:to>
    <xdr:sp macro="" textlink="">
      <xdr:nvSpPr>
        <xdr:cNvPr id="7" name="Rounded Rectangle 6">
          <a:extLst>
            <a:ext uri="{FF2B5EF4-FFF2-40B4-BE49-F238E27FC236}">
              <a16:creationId xmlns:a16="http://schemas.microsoft.com/office/drawing/2014/main" id="{C82F5FA3-910E-0BCB-CAFF-FE9021472AC1}"/>
            </a:ext>
          </a:extLst>
        </xdr:cNvPr>
        <xdr:cNvSpPr/>
      </xdr:nvSpPr>
      <xdr:spPr>
        <a:xfrm>
          <a:off x="101600" y="1103182"/>
          <a:ext cx="3390900" cy="1182818"/>
        </a:xfrm>
        <a:prstGeom prst="roundRect">
          <a:avLst/>
        </a:prstGeom>
        <a:solidFill>
          <a:srgbClr val="E8F1FB"/>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a:solidFill>
                <a:schemeClr val="accent6"/>
              </a:solidFill>
            </a:rPr>
            <a:t> </a:t>
          </a:r>
        </a:p>
      </xdr:txBody>
    </xdr:sp>
    <xdr:clientData/>
  </xdr:twoCellAnchor>
  <xdr:twoCellAnchor>
    <xdr:from>
      <xdr:col>10</xdr:col>
      <xdr:colOff>495300</xdr:colOff>
      <xdr:row>5</xdr:row>
      <xdr:rowOff>188782</xdr:rowOff>
    </xdr:from>
    <xdr:to>
      <xdr:col>17</xdr:col>
      <xdr:colOff>635000</xdr:colOff>
      <xdr:row>11</xdr:row>
      <xdr:rowOff>165100</xdr:rowOff>
    </xdr:to>
    <xdr:sp macro="" textlink="">
      <xdr:nvSpPr>
        <xdr:cNvPr id="9" name="Rounded Rectangle 8">
          <a:extLst>
            <a:ext uri="{FF2B5EF4-FFF2-40B4-BE49-F238E27FC236}">
              <a16:creationId xmlns:a16="http://schemas.microsoft.com/office/drawing/2014/main" id="{3D26F8AC-FFE1-AAE1-1D94-50F8E7AFE8B3}"/>
            </a:ext>
          </a:extLst>
        </xdr:cNvPr>
        <xdr:cNvSpPr/>
      </xdr:nvSpPr>
      <xdr:spPr>
        <a:xfrm>
          <a:off x="8750300" y="1141282"/>
          <a:ext cx="5918200" cy="1119318"/>
        </a:xfrm>
        <a:prstGeom prst="roundRect">
          <a:avLst/>
        </a:prstGeom>
        <a:solidFill>
          <a:srgbClr val="FFF4E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algn="ctr"/>
          <a:endParaRPr lang="en-US">
            <a:solidFill>
              <a:srgbClr val="FFC000"/>
            </a:solidFill>
          </a:endParaRPr>
        </a:p>
      </xdr:txBody>
    </xdr:sp>
    <xdr:clientData/>
  </xdr:twoCellAnchor>
  <xdr:twoCellAnchor>
    <xdr:from>
      <xdr:col>1</xdr:col>
      <xdr:colOff>638930</xdr:colOff>
      <xdr:row>13</xdr:row>
      <xdr:rowOff>38254</xdr:rowOff>
    </xdr:from>
    <xdr:to>
      <xdr:col>5</xdr:col>
      <xdr:colOff>724774</xdr:colOff>
      <xdr:row>23</xdr:row>
      <xdr:rowOff>141076</xdr:rowOff>
    </xdr:to>
    <xdr:sp macro="" textlink="">
      <xdr:nvSpPr>
        <xdr:cNvPr id="12" name="Rectangle 11">
          <a:extLst>
            <a:ext uri="{FF2B5EF4-FFF2-40B4-BE49-F238E27FC236}">
              <a16:creationId xmlns:a16="http://schemas.microsoft.com/office/drawing/2014/main" id="{1254EA2C-10A1-8E6E-C460-220A47B65422}"/>
            </a:ext>
          </a:extLst>
        </xdr:cNvPr>
        <xdr:cNvSpPr/>
      </xdr:nvSpPr>
      <xdr:spPr>
        <a:xfrm>
          <a:off x="1464430" y="2514754"/>
          <a:ext cx="3387844" cy="20078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162697</xdr:colOff>
      <xdr:row>13</xdr:row>
      <xdr:rowOff>38253</xdr:rowOff>
    </xdr:from>
    <xdr:to>
      <xdr:col>10</xdr:col>
      <xdr:colOff>178493</xdr:colOff>
      <xdr:row>23</xdr:row>
      <xdr:rowOff>141074</xdr:rowOff>
    </xdr:to>
    <xdr:sp macro="" textlink="">
      <xdr:nvSpPr>
        <xdr:cNvPr id="13" name="Rectangle 12">
          <a:extLst>
            <a:ext uri="{FF2B5EF4-FFF2-40B4-BE49-F238E27FC236}">
              <a16:creationId xmlns:a16="http://schemas.microsoft.com/office/drawing/2014/main" id="{D5AEA69A-6AEA-F409-2112-09F59562AFF9}"/>
            </a:ext>
          </a:extLst>
        </xdr:cNvPr>
        <xdr:cNvSpPr/>
      </xdr:nvSpPr>
      <xdr:spPr>
        <a:xfrm>
          <a:off x="5115697" y="2514753"/>
          <a:ext cx="3317796" cy="20078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768523</xdr:colOff>
      <xdr:row>28</xdr:row>
      <xdr:rowOff>177800</xdr:rowOff>
    </xdr:from>
    <xdr:to>
      <xdr:col>9</xdr:col>
      <xdr:colOff>609600</xdr:colOff>
      <xdr:row>41</xdr:row>
      <xdr:rowOff>177800</xdr:rowOff>
    </xdr:to>
    <xdr:sp macro="" textlink="">
      <xdr:nvSpPr>
        <xdr:cNvPr id="14" name="Rectangle 13">
          <a:extLst>
            <a:ext uri="{FF2B5EF4-FFF2-40B4-BE49-F238E27FC236}">
              <a16:creationId xmlns:a16="http://schemas.microsoft.com/office/drawing/2014/main" id="{3A4CD98E-D857-8029-9B2E-6316DA87E427}"/>
            </a:ext>
          </a:extLst>
        </xdr:cNvPr>
        <xdr:cNvSpPr/>
      </xdr:nvSpPr>
      <xdr:spPr>
        <a:xfrm>
          <a:off x="1594023" y="5511800"/>
          <a:ext cx="6445077" cy="2476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457200</xdr:colOff>
      <xdr:row>13</xdr:row>
      <xdr:rowOff>38253</xdr:rowOff>
    </xdr:from>
    <xdr:to>
      <xdr:col>15</xdr:col>
      <xdr:colOff>393700</xdr:colOff>
      <xdr:row>27</xdr:row>
      <xdr:rowOff>38100</xdr:rowOff>
    </xdr:to>
    <xdr:graphicFrame macro="">
      <xdr:nvGraphicFramePr>
        <xdr:cNvPr id="18" name="Chart 17">
          <a:extLst>
            <a:ext uri="{FF2B5EF4-FFF2-40B4-BE49-F238E27FC236}">
              <a16:creationId xmlns:a16="http://schemas.microsoft.com/office/drawing/2014/main" id="{C3A89821-6D88-254D-AC8B-8A2813CFA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28</xdr:row>
      <xdr:rowOff>50800</xdr:rowOff>
    </xdr:from>
    <xdr:to>
      <xdr:col>9</xdr:col>
      <xdr:colOff>533401</xdr:colOff>
      <xdr:row>41</xdr:row>
      <xdr:rowOff>127000</xdr:rowOff>
    </xdr:to>
    <xdr:graphicFrame macro="">
      <xdr:nvGraphicFramePr>
        <xdr:cNvPr id="23" name="Chart 22">
          <a:extLst>
            <a:ext uri="{FF2B5EF4-FFF2-40B4-BE49-F238E27FC236}">
              <a16:creationId xmlns:a16="http://schemas.microsoft.com/office/drawing/2014/main" id="{D9406466-92BA-F24F-8A5A-3B37466EA9A2}"/>
            </a:ext>
            <a:ext uri="{147F2762-F138-4A5C-976F-8EAC2B608ADB}">
              <a16:predDERef xmlns:a16="http://schemas.microsoft.com/office/drawing/2014/main" pred="{DAA50A56-D9F3-4F6B-B382-E8A463465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13</xdr:row>
      <xdr:rowOff>25554</xdr:rowOff>
    </xdr:from>
    <xdr:to>
      <xdr:col>6</xdr:col>
      <xdr:colOff>292100</xdr:colOff>
      <xdr:row>27</xdr:row>
      <xdr:rowOff>38100</xdr:rowOff>
    </xdr:to>
    <xdr:graphicFrame macro="">
      <xdr:nvGraphicFramePr>
        <xdr:cNvPr id="24" name="Chart 23">
          <a:extLst>
            <a:ext uri="{FF2B5EF4-FFF2-40B4-BE49-F238E27FC236}">
              <a16:creationId xmlns:a16="http://schemas.microsoft.com/office/drawing/2014/main" id="{A9AD3E7F-AC5A-494A-A092-6169C63587C4}"/>
            </a:ext>
            <a:ext uri="{147F2762-F138-4A5C-976F-8EAC2B608ADB}">
              <a16:predDERef xmlns:a16="http://schemas.microsoft.com/office/drawing/2014/main" pred="{1C326757-35C6-4918-85F9-E7B979BE2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127000</xdr:colOff>
      <xdr:row>28</xdr:row>
      <xdr:rowOff>114300</xdr:rowOff>
    </xdr:from>
    <xdr:to>
      <xdr:col>15</xdr:col>
      <xdr:colOff>508000</xdr:colOff>
      <xdr:row>42</xdr:row>
      <xdr:rowOff>12700</xdr:rowOff>
    </xdr:to>
    <xdr:sp macro="" textlink="">
      <xdr:nvSpPr>
        <xdr:cNvPr id="26" name="Rectangle 25">
          <a:extLst>
            <a:ext uri="{FF2B5EF4-FFF2-40B4-BE49-F238E27FC236}">
              <a16:creationId xmlns:a16="http://schemas.microsoft.com/office/drawing/2014/main" id="{766EB8D5-9423-C64F-8F65-1666EF02951A}"/>
            </a:ext>
          </a:extLst>
        </xdr:cNvPr>
        <xdr:cNvSpPr/>
      </xdr:nvSpPr>
      <xdr:spPr>
        <a:xfrm>
          <a:off x="8382000" y="5448300"/>
          <a:ext cx="4508500" cy="2565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749300</xdr:colOff>
      <xdr:row>28</xdr:row>
      <xdr:rowOff>63500</xdr:rowOff>
    </xdr:from>
    <xdr:to>
      <xdr:col>15</xdr:col>
      <xdr:colOff>431800</xdr:colOff>
      <xdr:row>41</xdr:row>
      <xdr:rowOff>165100</xdr:rowOff>
    </xdr:to>
    <xdr:graphicFrame macro="">
      <xdr:nvGraphicFramePr>
        <xdr:cNvPr id="27" name="Chart 26">
          <a:extLst>
            <a:ext uri="{FF2B5EF4-FFF2-40B4-BE49-F238E27FC236}">
              <a16:creationId xmlns:a16="http://schemas.microsoft.com/office/drawing/2014/main" id="{E6170E0C-115A-D940-B182-206E64EF4F6A}"/>
            </a:ext>
            <a:ext uri="{147F2762-F138-4A5C-976F-8EAC2B608ADB}">
              <a16:predDERef xmlns:a16="http://schemas.microsoft.com/office/drawing/2014/main" pred="{530D133A-F90D-46E3-B800-F1AF67DDC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558800</xdr:colOff>
      <xdr:row>6</xdr:row>
      <xdr:rowOff>63500</xdr:rowOff>
    </xdr:from>
    <xdr:to>
      <xdr:col>10</xdr:col>
      <xdr:colOff>165100</xdr:colOff>
      <xdr:row>8</xdr:row>
      <xdr:rowOff>127000</xdr:rowOff>
    </xdr:to>
    <xdr:sp macro="" textlink="">
      <xdr:nvSpPr>
        <xdr:cNvPr id="10" name="TextBox 9">
          <a:extLst>
            <a:ext uri="{FF2B5EF4-FFF2-40B4-BE49-F238E27FC236}">
              <a16:creationId xmlns:a16="http://schemas.microsoft.com/office/drawing/2014/main" id="{EBC6B6E5-6858-BF44-BC93-22036F872F41}"/>
            </a:ext>
          </a:extLst>
        </xdr:cNvPr>
        <xdr:cNvSpPr txBox="1"/>
      </xdr:nvSpPr>
      <xdr:spPr>
        <a:xfrm>
          <a:off x="3860800" y="1206500"/>
          <a:ext cx="4559300" cy="444500"/>
        </a:xfrm>
        <a:prstGeom prst="rect">
          <a:avLst/>
        </a:prstGeom>
        <a:solidFill>
          <a:srgbClr val="E8F7E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800" b="1">
              <a:solidFill>
                <a:schemeClr val="bg1"/>
              </a:solidFill>
            </a:rPr>
            <a:t>	</a:t>
          </a:r>
          <a:r>
            <a:rPr lang="en-GB" sz="1800" b="1" baseline="0">
              <a:solidFill>
                <a:schemeClr val="bg1"/>
              </a:solidFill>
            </a:rPr>
            <a:t>            </a:t>
          </a:r>
          <a:r>
            <a:rPr lang="en-GB" sz="1800" b="1">
              <a:solidFill>
                <a:srgbClr val="1F2A44"/>
              </a:solidFill>
            </a:rPr>
            <a:t>Total</a:t>
          </a:r>
          <a:r>
            <a:rPr lang="en-GB" sz="1800" b="1">
              <a:solidFill>
                <a:schemeClr val="bg1"/>
              </a:solidFill>
            </a:rPr>
            <a:t> </a:t>
          </a:r>
          <a:r>
            <a:rPr lang="en-GB" sz="1800" b="1">
              <a:solidFill>
                <a:srgbClr val="1F2A44"/>
              </a:solidFill>
            </a:rPr>
            <a:t>Revenue</a:t>
          </a:r>
        </a:p>
      </xdr:txBody>
    </xdr:sp>
    <xdr:clientData/>
  </xdr:twoCellAnchor>
  <xdr:twoCellAnchor>
    <xdr:from>
      <xdr:col>0</xdr:col>
      <xdr:colOff>190500</xdr:colOff>
      <xdr:row>6</xdr:row>
      <xdr:rowOff>101600</xdr:rowOff>
    </xdr:from>
    <xdr:to>
      <xdr:col>4</xdr:col>
      <xdr:colOff>0</xdr:colOff>
      <xdr:row>8</xdr:row>
      <xdr:rowOff>127000</xdr:rowOff>
    </xdr:to>
    <xdr:sp macro="" textlink="">
      <xdr:nvSpPr>
        <xdr:cNvPr id="11" name="TextBox 10">
          <a:extLst>
            <a:ext uri="{FF2B5EF4-FFF2-40B4-BE49-F238E27FC236}">
              <a16:creationId xmlns:a16="http://schemas.microsoft.com/office/drawing/2014/main" id="{DB150CCB-9CBB-7F4F-931C-4DFDB0BE950F}"/>
            </a:ext>
          </a:extLst>
        </xdr:cNvPr>
        <xdr:cNvSpPr txBox="1"/>
      </xdr:nvSpPr>
      <xdr:spPr>
        <a:xfrm>
          <a:off x="190500" y="1244600"/>
          <a:ext cx="3111500" cy="40640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baseline="0">
              <a:solidFill>
                <a:srgbClr val="1F2A44"/>
              </a:solidFill>
            </a:rPr>
            <a:t>             </a:t>
          </a:r>
          <a:r>
            <a:rPr lang="en-GB" sz="1600" b="1">
              <a:solidFill>
                <a:srgbClr val="1F2A44"/>
              </a:solidFill>
            </a:rPr>
            <a:t>Number of </a:t>
          </a:r>
          <a:r>
            <a:rPr lang="en-GB" sz="1800" b="1">
              <a:solidFill>
                <a:srgbClr val="1F2A44"/>
              </a:solidFill>
            </a:rPr>
            <a:t>Orders</a:t>
          </a:r>
        </a:p>
      </xdr:txBody>
    </xdr:sp>
    <xdr:clientData/>
  </xdr:twoCellAnchor>
  <xdr:twoCellAnchor>
    <xdr:from>
      <xdr:col>10</xdr:col>
      <xdr:colOff>685800</xdr:colOff>
      <xdr:row>6</xdr:row>
      <xdr:rowOff>76200</xdr:rowOff>
    </xdr:from>
    <xdr:to>
      <xdr:col>17</xdr:col>
      <xdr:colOff>571500</xdr:colOff>
      <xdr:row>8</xdr:row>
      <xdr:rowOff>114300</xdr:rowOff>
    </xdr:to>
    <xdr:sp macro="" textlink="">
      <xdr:nvSpPr>
        <xdr:cNvPr id="15" name="TextBox 14">
          <a:extLst>
            <a:ext uri="{FF2B5EF4-FFF2-40B4-BE49-F238E27FC236}">
              <a16:creationId xmlns:a16="http://schemas.microsoft.com/office/drawing/2014/main" id="{84E7EE91-2DC6-8342-A70F-263F8C7CE9EF}"/>
            </a:ext>
          </a:extLst>
        </xdr:cNvPr>
        <xdr:cNvSpPr txBox="1"/>
      </xdr:nvSpPr>
      <xdr:spPr>
        <a:xfrm>
          <a:off x="8940800" y="1219200"/>
          <a:ext cx="5664200" cy="419100"/>
        </a:xfrm>
        <a:prstGeom prst="rect">
          <a:avLst/>
        </a:prstGeom>
        <a:solidFill>
          <a:srgbClr val="FFF4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tx1"/>
              </a:solidFill>
            </a:rPr>
            <a:t>Total</a:t>
          </a:r>
          <a:r>
            <a:rPr lang="en-GB" sz="1800" b="1" baseline="0">
              <a:solidFill>
                <a:schemeClr val="tx1"/>
              </a:solidFill>
            </a:rPr>
            <a:t> Profit</a:t>
          </a:r>
          <a:endParaRPr lang="en-GB" sz="1800" b="1">
            <a:solidFill>
              <a:schemeClr val="tx1"/>
            </a:solidFill>
          </a:endParaRPr>
        </a:p>
      </xdr:txBody>
    </xdr:sp>
    <xdr:clientData/>
  </xdr:twoCellAnchor>
  <xdr:twoCellAnchor>
    <xdr:from>
      <xdr:col>0</xdr:col>
      <xdr:colOff>355600</xdr:colOff>
      <xdr:row>9</xdr:row>
      <xdr:rowOff>38100</xdr:rowOff>
    </xdr:from>
    <xdr:to>
      <xdr:col>3</xdr:col>
      <xdr:colOff>444500</xdr:colOff>
      <xdr:row>11</xdr:row>
      <xdr:rowOff>101600</xdr:rowOff>
    </xdr:to>
    <xdr:sp macro="" textlink="U18">
      <xdr:nvSpPr>
        <xdr:cNvPr id="29" name="TextBox 28">
          <a:extLst>
            <a:ext uri="{FF2B5EF4-FFF2-40B4-BE49-F238E27FC236}">
              <a16:creationId xmlns:a16="http://schemas.microsoft.com/office/drawing/2014/main" id="{E5407158-40AD-5AC1-965B-0A2897130E07}"/>
            </a:ext>
          </a:extLst>
        </xdr:cNvPr>
        <xdr:cNvSpPr txBox="1"/>
      </xdr:nvSpPr>
      <xdr:spPr>
        <a:xfrm>
          <a:off x="355600" y="1752600"/>
          <a:ext cx="2565400" cy="444500"/>
        </a:xfrm>
        <a:prstGeom prst="rect">
          <a:avLst/>
        </a:prstGeom>
        <a:solidFill>
          <a:srgbClr val="E8F1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E12C95-943E-684C-8FD0-EE9C3DF1D10E}" type="TxLink">
            <a:rPr lang="en-US" sz="1600" b="1" i="0" u="none" strike="noStrike">
              <a:solidFill>
                <a:srgbClr val="1F2A44"/>
              </a:solidFill>
              <a:latin typeface="Calibri"/>
              <a:cs typeface="Calibri"/>
            </a:rPr>
            <a:pPr algn="ctr"/>
            <a:t>1004</a:t>
          </a:fld>
          <a:endParaRPr lang="en-GB" sz="1600" b="1">
            <a:solidFill>
              <a:srgbClr val="1F2A44"/>
            </a:solidFill>
          </a:endParaRPr>
        </a:p>
      </xdr:txBody>
    </xdr:sp>
    <xdr:clientData/>
  </xdr:twoCellAnchor>
  <xdr:twoCellAnchor>
    <xdr:from>
      <xdr:col>4</xdr:col>
      <xdr:colOff>571500</xdr:colOff>
      <xdr:row>9</xdr:row>
      <xdr:rowOff>76200</xdr:rowOff>
    </xdr:from>
    <xdr:to>
      <xdr:col>9</xdr:col>
      <xdr:colOff>177800</xdr:colOff>
      <xdr:row>11</xdr:row>
      <xdr:rowOff>0</xdr:rowOff>
    </xdr:to>
    <xdr:sp macro="" textlink="U14">
      <xdr:nvSpPr>
        <xdr:cNvPr id="30" name="TextBox 29">
          <a:extLst>
            <a:ext uri="{FF2B5EF4-FFF2-40B4-BE49-F238E27FC236}">
              <a16:creationId xmlns:a16="http://schemas.microsoft.com/office/drawing/2014/main" id="{26290B17-884E-B648-9DC6-37E46C9164DB}"/>
            </a:ext>
          </a:extLst>
        </xdr:cNvPr>
        <xdr:cNvSpPr txBox="1"/>
      </xdr:nvSpPr>
      <xdr:spPr>
        <a:xfrm>
          <a:off x="3873500" y="1790700"/>
          <a:ext cx="3733800" cy="304800"/>
        </a:xfrm>
        <a:prstGeom prst="rect">
          <a:avLst/>
        </a:prstGeom>
        <a:solidFill>
          <a:srgbClr val="E8F7E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tx1"/>
              </a:solidFill>
              <a:latin typeface="Calibri"/>
              <a:cs typeface="Calibri"/>
            </a:rPr>
            <a:t>               </a:t>
          </a:r>
          <a:fld id="{E16C877E-DF40-AC4C-AA0C-9F0011A672AF}" type="TxLink">
            <a:rPr lang="en-US" sz="1600" b="1" i="0" u="none" strike="noStrike">
              <a:solidFill>
                <a:schemeClr val="tx1"/>
              </a:solidFill>
              <a:latin typeface="Calibri"/>
              <a:cs typeface="Calibri"/>
            </a:rPr>
            <a:pPr algn="ctr"/>
            <a:t>892140</a:t>
          </a:fld>
          <a:endParaRPr lang="en-GB" sz="1600" b="1">
            <a:solidFill>
              <a:schemeClr val="tx1"/>
            </a:solidFill>
          </a:endParaRPr>
        </a:p>
      </xdr:txBody>
    </xdr:sp>
    <xdr:clientData/>
  </xdr:twoCellAnchor>
  <xdr:twoCellAnchor>
    <xdr:from>
      <xdr:col>10</xdr:col>
      <xdr:colOff>673100</xdr:colOff>
      <xdr:row>9</xdr:row>
      <xdr:rowOff>63500</xdr:rowOff>
    </xdr:from>
    <xdr:to>
      <xdr:col>17</xdr:col>
      <xdr:colOff>584200</xdr:colOff>
      <xdr:row>11</xdr:row>
      <xdr:rowOff>38100</xdr:rowOff>
    </xdr:to>
    <xdr:sp macro="" textlink="U16">
      <xdr:nvSpPr>
        <xdr:cNvPr id="31" name="TextBox 30">
          <a:extLst>
            <a:ext uri="{FF2B5EF4-FFF2-40B4-BE49-F238E27FC236}">
              <a16:creationId xmlns:a16="http://schemas.microsoft.com/office/drawing/2014/main" id="{449EC999-D904-4C4D-8855-C386171DC50A}"/>
            </a:ext>
          </a:extLst>
        </xdr:cNvPr>
        <xdr:cNvSpPr txBox="1"/>
      </xdr:nvSpPr>
      <xdr:spPr>
        <a:xfrm>
          <a:off x="8928100" y="1778000"/>
          <a:ext cx="5689600" cy="355600"/>
        </a:xfrm>
        <a:prstGeom prst="rect">
          <a:avLst/>
        </a:prstGeom>
        <a:solidFill>
          <a:srgbClr val="FFF4E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979817-F13B-4C4F-8569-B3944F0A069A}" type="TxLink">
            <a:rPr lang="en-US" sz="1600" b="1" i="0" u="none" strike="noStrike">
              <a:solidFill>
                <a:schemeClr val="tx1"/>
              </a:solidFill>
              <a:latin typeface="Calibri"/>
              <a:cs typeface="Calibri"/>
            </a:rPr>
            <a:pPr algn="ctr"/>
            <a:t>685317.3</a:t>
          </a:fld>
          <a:endParaRPr lang="en-GB" sz="1600" b="1">
            <a:solidFill>
              <a:schemeClr val="tx1"/>
            </a:solidFill>
          </a:endParaRPr>
        </a:p>
      </xdr:txBody>
    </xdr:sp>
    <xdr:clientData/>
  </xdr:twoCellAnchor>
  <xdr:twoCellAnchor editAs="oneCell">
    <xdr:from>
      <xdr:col>15</xdr:col>
      <xdr:colOff>698500</xdr:colOff>
      <xdr:row>28</xdr:row>
      <xdr:rowOff>88900</xdr:rowOff>
    </xdr:from>
    <xdr:to>
      <xdr:col>17</xdr:col>
      <xdr:colOff>800100</xdr:colOff>
      <xdr:row>41</xdr:row>
      <xdr:rowOff>101600</xdr:rowOff>
    </xdr:to>
    <mc:AlternateContent xmlns:mc="http://schemas.openxmlformats.org/markup-compatibility/2006" xmlns:a14="http://schemas.microsoft.com/office/drawing/2010/main">
      <mc:Choice Requires="a14">
        <xdr:graphicFrame macro="">
          <xdr:nvGraphicFramePr>
            <xdr:cNvPr id="33" name="State 1">
              <a:extLst>
                <a:ext uri="{FF2B5EF4-FFF2-40B4-BE49-F238E27FC236}">
                  <a16:creationId xmlns:a16="http://schemas.microsoft.com/office/drawing/2014/main" id="{1C8C238D-54E2-D841-B3C8-922C14611EF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3081000" y="5422900"/>
              <a:ext cx="1879600" cy="248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660400</xdr:colOff>
      <xdr:row>13</xdr:row>
      <xdr:rowOff>50800</xdr:rowOff>
    </xdr:from>
    <xdr:to>
      <xdr:col>18</xdr:col>
      <xdr:colOff>25400</xdr:colOff>
      <xdr:row>27</xdr:row>
      <xdr:rowOff>50800</xdr:rowOff>
    </xdr:to>
    <mc:AlternateContent xmlns:mc="http://schemas.openxmlformats.org/markup-compatibility/2006" xmlns:a14="http://schemas.microsoft.com/office/drawing/2010/main">
      <mc:Choice Requires="a14">
        <xdr:graphicFrame macro="">
          <xdr:nvGraphicFramePr>
            <xdr:cNvPr id="34" name="Months">
              <a:extLst>
                <a:ext uri="{FF2B5EF4-FFF2-40B4-BE49-F238E27FC236}">
                  <a16:creationId xmlns:a16="http://schemas.microsoft.com/office/drawing/2014/main" id="{6EE33AA6-362F-B040-BC4F-C2275243E24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3042900" y="2527300"/>
              <a:ext cx="18415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165100</xdr:colOff>
      <xdr:row>1</xdr:row>
      <xdr:rowOff>76200</xdr:rowOff>
    </xdr:from>
    <xdr:to>
      <xdr:col>17</xdr:col>
      <xdr:colOff>533400</xdr:colOff>
      <xdr:row>4</xdr:row>
      <xdr:rowOff>122535</xdr:rowOff>
    </xdr:to>
    <xdr:sp macro="" textlink="">
      <xdr:nvSpPr>
        <xdr:cNvPr id="35" name="Rectangle 34">
          <a:extLst>
            <a:ext uri="{FF2B5EF4-FFF2-40B4-BE49-F238E27FC236}">
              <a16:creationId xmlns:a16="http://schemas.microsoft.com/office/drawing/2014/main" id="{E9867609-DC24-2B40-9316-B2D35E9641D9}"/>
            </a:ext>
          </a:extLst>
        </xdr:cNvPr>
        <xdr:cNvSpPr/>
      </xdr:nvSpPr>
      <xdr:spPr>
        <a:xfrm>
          <a:off x="165100" y="266700"/>
          <a:ext cx="14401800" cy="617835"/>
        </a:xfrm>
        <a:prstGeom prst="rect">
          <a:avLst/>
        </a:prstGeom>
        <a:solidFill>
          <a:srgbClr val="2E4A78"/>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400" b="1"/>
            <a:t>SALES INSIGHTS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Thota" refreshedDate="45999.473109953702" createdVersion="8" refreshedVersion="8" minRefreshableVersion="3" recordCount="1004" xr:uid="{333CEC2F-7C38-9B41-B095-A2183EAF9422}">
  <cacheSource type="worksheet">
    <worksheetSource name="Merge"/>
  </cacheSource>
  <cacheFields count="29">
    <cacheField name="Order ID" numFmtId="0">
      <sharedItems containsSemiMixedTypes="0" containsString="0" containsNumber="1" containsInteger="1" minValue="3001" maxValue="4000"/>
    </cacheField>
    <cacheField name="Customer Last Name" numFmtId="0">
      <sharedItems/>
    </cacheField>
    <cacheField name="Customer Name" numFmtId="0">
      <sharedItems/>
    </cacheField>
    <cacheField name="Customer First Name" numFmtId="0">
      <sharedItems/>
    </cacheField>
    <cacheField name="Customer ID" numFmtId="0">
      <sharedItems containsSemiMixedTypes="0" containsString="0" containsNumber="1" containsInteger="1" minValue="1234" maxValue="2231"/>
    </cacheField>
    <cacheField name="Service Category" numFmtId="0">
      <sharedItems count="6">
        <s v="Interview Prep"/>
        <s v="Resume + LinkedIn Profile"/>
        <s v="LinkedIn profile"/>
        <s v="Networking Strategy"/>
        <s v="Mentoring program"/>
        <s v="Resume (service fee)"/>
      </sharedItems>
    </cacheField>
    <cacheField name="Order Date" numFmtId="14">
      <sharedItems containsSemiMixedTypes="0" containsNonDate="0" containsDate="1" containsString="0" minDate="2024-01-01T00:00:00" maxDate="2025-01-01T00:00:00" count="344">
        <d v="2024-05-06T00:00:00"/>
        <d v="2024-07-18T00:00:00"/>
        <d v="2024-07-14T00:00:00"/>
        <d v="2024-06-26T00:00:00"/>
        <d v="2024-11-28T00:00:00"/>
        <d v="2024-06-06T00:00:00"/>
        <d v="2024-03-18T00:00:00"/>
        <d v="2024-10-26T00:00:00"/>
        <d v="2024-02-08T00:00:00"/>
        <d v="2024-12-09T00:00:00"/>
        <d v="2024-05-02T00:00:00"/>
        <d v="2024-01-25T00:00:00"/>
        <d v="2024-07-13T00:00:00"/>
        <d v="2024-01-26T00:00:00"/>
        <d v="2024-06-30T00:00:00"/>
        <d v="2024-08-13T00:00:00"/>
        <d v="2024-12-19T00:00:00"/>
        <d v="2024-08-20T00:00:00"/>
        <d v="2024-06-12T00:00:00"/>
        <d v="2024-01-17T00:00:00"/>
        <d v="2024-11-19T00:00:00"/>
        <d v="2024-06-15T00:00:00"/>
        <d v="2024-04-18T00:00:00"/>
        <d v="2024-01-28T00:00:00"/>
        <d v="2024-09-23T00:00:00"/>
        <d v="2024-08-12T00:00:00"/>
        <d v="2024-01-10T00:00:00"/>
        <d v="2024-02-26T00:00:00"/>
        <d v="2024-08-25T00:00:00"/>
        <d v="2024-03-09T00:00:00"/>
        <d v="2024-12-20T00:00:00"/>
        <d v="2024-10-23T00:00:00"/>
        <d v="2024-12-14T00:00:00"/>
        <d v="2024-08-26T00:00:00"/>
        <d v="2024-09-01T00:00:00"/>
        <d v="2024-12-07T00:00:00"/>
        <d v="2024-01-06T00:00:00"/>
        <d v="2024-06-07T00:00:00"/>
        <d v="2024-09-20T00:00:00"/>
        <d v="2024-05-19T00:00:00"/>
        <d v="2024-10-07T00:00:00"/>
        <d v="2024-09-15T00:00:00"/>
        <d v="2024-11-09T00:00:00"/>
        <d v="2024-12-22T00:00:00"/>
        <d v="2024-09-28T00:00:00"/>
        <d v="2024-02-09T00:00:00"/>
        <d v="2024-05-24T00:00:00"/>
        <d v="2024-08-01T00:00:00"/>
        <d v="2024-02-18T00:00:00"/>
        <d v="2024-03-17T00:00:00"/>
        <d v="2024-02-02T00:00:00"/>
        <d v="2024-01-30T00:00:00"/>
        <d v="2024-11-01T00:00:00"/>
        <d v="2024-08-27T00:00:00"/>
        <d v="2024-10-24T00:00:00"/>
        <d v="2024-02-04T00:00:00"/>
        <d v="2024-03-20T00:00:00"/>
        <d v="2024-11-16T00:00:00"/>
        <d v="2024-06-04T00:00:00"/>
        <d v="2024-04-22T00:00:00"/>
        <d v="2024-09-21T00:00:00"/>
        <d v="2024-09-05T00:00:00"/>
        <d v="2024-03-31T00:00:00"/>
        <d v="2024-01-22T00:00:00"/>
        <d v="2024-12-10T00:00:00"/>
        <d v="2024-05-28T00:00:00"/>
        <d v="2024-03-03T00:00:00"/>
        <d v="2024-07-02T00:00:00"/>
        <d v="2024-10-29T00:00:00"/>
        <d v="2024-12-31T00:00:00"/>
        <d v="2024-07-12T00:00:00"/>
        <d v="2024-09-07T00:00:00"/>
        <d v="2024-04-14T00:00:00"/>
        <d v="2024-08-29T00:00:00"/>
        <d v="2024-03-10T00:00:00"/>
        <d v="2024-09-26T00:00:00"/>
        <d v="2024-12-16T00:00:00"/>
        <d v="2024-08-23T00:00:00"/>
        <d v="2024-08-10T00:00:00"/>
        <d v="2024-08-14T00:00:00"/>
        <d v="2024-11-30T00:00:00"/>
        <d v="2024-12-04T00:00:00"/>
        <d v="2024-07-15T00:00:00"/>
        <d v="2024-04-29T00:00:00"/>
        <d v="2024-01-23T00:00:00"/>
        <d v="2024-04-16T00:00:00"/>
        <d v="2024-07-01T00:00:00"/>
        <d v="2024-09-25T00:00:00"/>
        <d v="2024-11-13T00:00:00"/>
        <d v="2024-03-08T00:00:00"/>
        <d v="2024-03-27T00:00:00"/>
        <d v="2024-08-15T00:00:00"/>
        <d v="2024-04-24T00:00:00"/>
        <d v="2024-05-18T00:00:00"/>
        <d v="2024-11-23T00:00:00"/>
        <d v="2024-05-26T00:00:00"/>
        <d v="2024-11-20T00:00:00"/>
        <d v="2024-04-25T00:00:00"/>
        <d v="2024-12-25T00:00:00"/>
        <d v="2024-07-20T00:00:00"/>
        <d v="2024-06-10T00:00:00"/>
        <d v="2024-07-17T00:00:00"/>
        <d v="2024-10-16T00:00:00"/>
        <d v="2024-04-30T00:00:00"/>
        <d v="2024-02-21T00:00:00"/>
        <d v="2024-07-16T00:00:00"/>
        <d v="2024-07-07T00:00:00"/>
        <d v="2024-12-27T00:00:00"/>
        <d v="2024-07-08T00:00:00"/>
        <d v="2024-01-14T00:00:00"/>
        <d v="2024-03-14T00:00:00"/>
        <d v="2024-11-25T00:00:00"/>
        <d v="2024-06-05T00:00:00"/>
        <d v="2024-04-17T00:00:00"/>
        <d v="2024-08-28T00:00:00"/>
        <d v="2024-02-10T00:00:00"/>
        <d v="2024-04-06T00:00:00"/>
        <d v="2024-12-13T00:00:00"/>
        <d v="2024-01-01T00:00:00"/>
        <d v="2024-01-19T00:00:00"/>
        <d v="2024-08-17T00:00:00"/>
        <d v="2024-09-11T00:00:00"/>
        <d v="2024-10-03T00:00:00"/>
        <d v="2024-05-17T00:00:00"/>
        <d v="2024-06-23T00:00:00"/>
        <d v="2024-02-22T00:00:00"/>
        <d v="2024-04-23T00:00:00"/>
        <d v="2024-07-27T00:00:00"/>
        <d v="2024-07-22T00:00:00"/>
        <d v="2024-12-24T00:00:00"/>
        <d v="2024-12-11T00:00:00"/>
        <d v="2024-02-23T00:00:00"/>
        <d v="2024-01-18T00:00:00"/>
        <d v="2024-11-18T00:00:00"/>
        <d v="2024-09-08T00:00:00"/>
        <d v="2024-08-16T00:00:00"/>
        <d v="2024-04-08T00:00:00"/>
        <d v="2024-12-03T00:00:00"/>
        <d v="2024-06-19T00:00:00"/>
        <d v="2024-10-12T00:00:00"/>
        <d v="2024-12-08T00:00:00"/>
        <d v="2024-10-05T00:00:00"/>
        <d v="2024-11-24T00:00:00"/>
        <d v="2024-06-28T00:00:00"/>
        <d v="2024-04-07T00:00:00"/>
        <d v="2024-04-21T00:00:00"/>
        <d v="2024-02-16T00:00:00"/>
        <d v="2024-09-17T00:00:00"/>
        <d v="2024-01-07T00:00:00"/>
        <d v="2024-10-06T00:00:00"/>
        <d v="2024-04-03T00:00:00"/>
        <d v="2024-03-21T00:00:00"/>
        <d v="2024-11-11T00:00:00"/>
        <d v="2024-11-02T00:00:00"/>
        <d v="2024-04-04T00:00:00"/>
        <d v="2024-11-03T00:00:00"/>
        <d v="2024-03-04T00:00:00"/>
        <d v="2024-04-09T00:00:00"/>
        <d v="2024-07-03T00:00:00"/>
        <d v="2024-03-12T00:00:00"/>
        <d v="2024-02-15T00:00:00"/>
        <d v="2024-12-18T00:00:00"/>
        <d v="2024-07-25T00:00:00"/>
        <d v="2024-03-23T00:00:00"/>
        <d v="2024-05-15T00:00:00"/>
        <d v="2024-09-10T00:00:00"/>
        <d v="2024-10-09T00:00:00"/>
        <d v="2024-05-13T00:00:00"/>
        <d v="2024-10-31T00:00:00"/>
        <d v="2024-10-10T00:00:00"/>
        <d v="2024-08-31T00:00:00"/>
        <d v="2024-03-06T00:00:00"/>
        <d v="2024-03-05T00:00:00"/>
        <d v="2024-09-18T00:00:00"/>
        <d v="2024-03-13T00:00:00"/>
        <d v="2024-08-06T00:00:00"/>
        <d v="2024-11-15T00:00:00"/>
        <d v="2024-09-19T00:00:00"/>
        <d v="2024-12-05T00:00:00"/>
        <d v="2024-04-28T00:00:00"/>
        <d v="2024-02-11T00:00:00"/>
        <d v="2024-09-06T00:00:00"/>
        <d v="2024-06-25T00:00:00"/>
        <d v="2024-05-05T00:00:00"/>
        <d v="2024-05-22T00:00:00"/>
        <d v="2024-05-16T00:00:00"/>
        <d v="2024-11-26T00:00:00"/>
        <d v="2024-06-14T00:00:00"/>
        <d v="2024-11-07T00:00:00"/>
        <d v="2024-02-28T00:00:00"/>
        <d v="2024-04-27T00:00:00"/>
        <d v="2024-09-02T00:00:00"/>
        <d v="2024-01-15T00:00:00"/>
        <d v="2024-06-24T00:00:00"/>
        <d v="2024-12-06T00:00:00"/>
        <d v="2024-04-13T00:00:00"/>
        <d v="2024-06-21T00:00:00"/>
        <d v="2024-11-10T00:00:00"/>
        <d v="2024-09-04T00:00:00"/>
        <d v="2024-01-16T00:00:00"/>
        <d v="2024-10-20T00:00:00"/>
        <d v="2024-04-05T00:00:00"/>
        <d v="2024-07-31T00:00:00"/>
        <d v="2024-02-12T00:00:00"/>
        <d v="2024-05-01T00:00:00"/>
        <d v="2024-02-03T00:00:00"/>
        <d v="2024-05-04T00:00:00"/>
        <d v="2024-03-11T00:00:00"/>
        <d v="2024-07-23T00:00:00"/>
        <d v="2024-11-17T00:00:00"/>
        <d v="2024-10-11T00:00:00"/>
        <d v="2024-06-16T00:00:00"/>
        <d v="2024-12-29T00:00:00"/>
        <d v="2024-09-27T00:00:00"/>
        <d v="2024-04-19T00:00:00"/>
        <d v="2024-08-21T00:00:00"/>
        <d v="2024-05-11T00:00:00"/>
        <d v="2024-05-09T00:00:00"/>
        <d v="2024-03-22T00:00:00"/>
        <d v="2024-07-11T00:00:00"/>
        <d v="2024-06-13T00:00:00"/>
        <d v="2024-05-30T00:00:00"/>
        <d v="2024-12-02T00:00:00"/>
        <d v="2024-12-23T00:00:00"/>
        <d v="2024-12-30T00:00:00"/>
        <d v="2024-02-24T00:00:00"/>
        <d v="2024-06-17T00:00:00"/>
        <d v="2024-03-28T00:00:00"/>
        <d v="2024-11-08T00:00:00"/>
        <d v="2024-09-29T00:00:00"/>
        <d v="2024-10-25T00:00:00"/>
        <d v="2024-07-10T00:00:00"/>
        <d v="2024-08-03T00:00:00"/>
        <d v="2024-11-22T00:00:00"/>
        <d v="2024-06-03T00:00:00"/>
        <d v="2024-08-02T00:00:00"/>
        <d v="2024-05-29T00:00:00"/>
        <d v="2024-10-17T00:00:00"/>
        <d v="2024-02-27T00:00:00"/>
        <d v="2024-03-02T00:00:00"/>
        <d v="2024-03-19T00:00:00"/>
        <d v="2024-07-28T00:00:00"/>
        <d v="2024-03-26T00:00:00"/>
        <d v="2024-08-22T00:00:00"/>
        <d v="2024-10-01T00:00:00"/>
        <d v="2024-08-11T00:00:00"/>
        <d v="2024-05-27T00:00:00"/>
        <d v="2024-05-03T00:00:00"/>
        <d v="2024-10-08T00:00:00"/>
        <d v="2024-11-12T00:00:00"/>
        <d v="2024-05-31T00:00:00"/>
        <d v="2024-11-06T00:00:00"/>
        <d v="2024-02-19T00:00:00"/>
        <d v="2024-09-03T00:00:00"/>
        <d v="2024-03-24T00:00:00"/>
        <d v="2024-03-01T00:00:00"/>
        <d v="2024-05-07T00:00:00"/>
        <d v="2024-07-30T00:00:00"/>
        <d v="2024-02-17T00:00:00"/>
        <d v="2024-08-07T00:00:00"/>
        <d v="2024-02-06T00:00:00"/>
        <d v="2024-08-24T00:00:00"/>
        <d v="2024-05-10T00:00:00"/>
        <d v="2024-02-13T00:00:00"/>
        <d v="2024-12-01T00:00:00"/>
        <d v="2024-02-29T00:00:00"/>
        <d v="2024-01-05T00:00:00"/>
        <d v="2024-01-31T00:00:00"/>
        <d v="2024-05-12T00:00:00"/>
        <d v="2024-07-24T00:00:00"/>
        <d v="2024-04-20T00:00:00"/>
        <d v="2024-01-09T00:00:00"/>
        <d v="2024-02-01T00:00:00"/>
        <d v="2024-10-14T00:00:00"/>
        <d v="2024-11-21T00:00:00"/>
        <d v="2024-10-28T00:00:00"/>
        <d v="2024-10-04T00:00:00"/>
        <d v="2024-07-26T00:00:00"/>
        <d v="2024-09-14T00:00:00"/>
        <d v="2024-10-02T00:00:00"/>
        <d v="2024-09-22T00:00:00"/>
        <d v="2024-09-13T00:00:00"/>
        <d v="2024-12-28T00:00:00"/>
        <d v="2024-09-16T00:00:00"/>
        <d v="2024-01-20T00:00:00"/>
        <d v="2024-06-09T00:00:00"/>
        <d v="2024-10-21T00:00:00"/>
        <d v="2024-10-27T00:00:00"/>
        <d v="2024-01-04T00:00:00"/>
        <d v="2024-01-03T00:00:00"/>
        <d v="2024-03-07T00:00:00"/>
        <d v="2024-06-20T00:00:00"/>
        <d v="2024-04-12T00:00:00"/>
        <d v="2024-01-24T00:00:00"/>
        <d v="2024-07-05T00:00:00"/>
        <d v="2024-05-21T00:00:00"/>
        <d v="2024-04-02T00:00:00"/>
        <d v="2024-02-25T00:00:00"/>
        <d v="2024-06-11T00:00:00"/>
        <d v="2024-10-30T00:00:00"/>
        <d v="2024-11-05T00:00:00"/>
        <d v="2024-11-29T00:00:00"/>
        <d v="2024-12-21T00:00:00"/>
        <d v="2024-10-15T00:00:00"/>
        <d v="2024-02-20T00:00:00"/>
        <d v="2024-05-25T00:00:00"/>
        <d v="2024-06-27T00:00:00"/>
        <d v="2024-11-14T00:00:00"/>
        <d v="2024-10-19T00:00:00"/>
        <d v="2024-07-29T00:00:00"/>
        <d v="2024-08-30T00:00:00"/>
        <d v="2024-01-08T00:00:00"/>
        <d v="2024-06-08T00:00:00"/>
        <d v="2024-08-19T00:00:00"/>
        <d v="2024-03-25T00:00:00"/>
        <d v="2024-04-01T00:00:00"/>
        <d v="2024-07-04T00:00:00"/>
        <d v="2024-08-09T00:00:00"/>
        <d v="2024-08-18T00:00:00"/>
        <d v="2024-11-04T00:00:00"/>
        <d v="2024-09-12T00:00:00"/>
        <d v="2024-01-12T00:00:00"/>
        <d v="2024-12-15T00:00:00"/>
        <d v="2024-02-05T00:00:00"/>
        <d v="2024-01-02T00:00:00"/>
        <d v="2024-05-14T00:00:00"/>
        <d v="2024-11-27T00:00:00"/>
        <d v="2024-07-19T00:00:00"/>
        <d v="2024-07-06T00:00:00"/>
        <d v="2024-04-11T00:00:00"/>
        <d v="2024-08-08T00:00:00"/>
        <d v="2024-06-01T00:00:00"/>
        <d v="2024-09-09T00:00:00"/>
        <d v="2024-01-21T00:00:00"/>
        <d v="2024-08-04T00:00:00"/>
        <d v="2024-06-22T00:00:00"/>
        <d v="2024-10-13T00:00:00"/>
        <d v="2024-06-29T00:00:00"/>
        <d v="2024-12-17T00:00:00"/>
        <d v="2024-12-26T00:00:00"/>
        <d v="2024-10-18T00:00:00"/>
        <d v="2024-06-18T00:00:00"/>
        <d v="2024-05-20T00:00:00"/>
        <d v="2024-04-10T00:00:00"/>
      </sharedItems>
      <fieldGroup par="28"/>
    </cacheField>
    <cacheField name="Quantity Ordered" numFmtId="0">
      <sharedItems containsSemiMixedTypes="0" containsString="0" containsNumber="1" containsInteger="1" minValue="1" maxValue="3"/>
    </cacheField>
    <cacheField name="Order Status" numFmtId="0">
      <sharedItems count="4">
        <s v="Delivered"/>
        <s v="In Progress"/>
        <s v="Service Booked"/>
        <s v="Cancelled"/>
      </sharedItems>
    </cacheField>
    <cacheField name="State" numFmtId="0">
      <sharedItems count="8">
        <s v="WA"/>
        <s v="ACT"/>
        <s v="NSW"/>
        <s v="VIC"/>
        <s v="QLD"/>
        <s v="SA"/>
        <s v="TAS"/>
        <s v="NT"/>
      </sharedItems>
    </cacheField>
    <cacheField name="Margins" numFmtId="0">
      <sharedItems containsSemiMixedTypes="0" containsString="0" containsNumber="1" minValue="0.1" maxValue="0.3"/>
    </cacheField>
    <cacheField name="Service Provider Expense" numFmtId="0">
      <sharedItems containsSemiMixedTypes="0" containsString="0" containsNumber="1" minValue="1.1000000000000001" maxValue="571.19999999999993"/>
    </cacheField>
    <cacheField name="Sale Price " numFmtId="0">
      <sharedItems containsSemiMixedTypes="0" containsString="0" containsNumber="1" containsInteger="1" minValue="11" maxValue="1904"/>
    </cacheField>
    <cacheField name="Total Profit (GMROI)" numFmtId="0">
      <sharedItems containsSemiMixedTypes="0" containsString="0" containsNumber="1" minValue="7.7" maxValue="1660.5"/>
    </cacheField>
    <cacheField name="Sales Agent" numFmtId="0">
      <sharedItems/>
    </cacheField>
    <cacheField name="Customer ID.1" numFmtId="0">
      <sharedItems containsSemiMixedTypes="0" containsString="0" containsNumber="1" containsInteger="1" minValue="1234" maxValue="2231"/>
    </cacheField>
    <cacheField name="Service Category.1" numFmtId="0">
      <sharedItems/>
    </cacheField>
    <cacheField name="Order Date.1" numFmtId="14">
      <sharedItems containsSemiMixedTypes="0" containsNonDate="0" containsDate="1" containsString="0" minDate="2024-01-01T00:00:00" maxDate="2025-01-01T00:00:00"/>
    </cacheField>
    <cacheField name="Quantity Ordered.1" numFmtId="0">
      <sharedItems containsSemiMixedTypes="0" containsString="0" containsNumber="1" containsInteger="1" minValue="1" maxValue="3"/>
    </cacheField>
    <cacheField name="Order Status.1" numFmtId="0">
      <sharedItems/>
    </cacheField>
    <cacheField name="State.1" numFmtId="0">
      <sharedItems/>
    </cacheField>
    <cacheField name="Address " numFmtId="0">
      <sharedItems/>
    </cacheField>
    <cacheField name="City" numFmtId="0">
      <sharedItems/>
    </cacheField>
    <cacheField name="Postal Code" numFmtId="0">
      <sharedItems containsSemiMixedTypes="0" containsString="0" containsNumber="1" containsInteger="1" minValue="800" maxValue="7310"/>
    </cacheField>
    <cacheField name="Sales Price (Per unit)" numFmtId="0">
      <sharedItems containsSemiMixedTypes="0" containsString="0" containsNumber="1" containsInteger="1" minValue="250" maxValue="1200"/>
    </cacheField>
    <cacheField name="Sale Price .1" numFmtId="0">
      <sharedItems containsSemiMixedTypes="0" containsString="0" containsNumber="1" containsInteger="1" minValue="250" maxValue="3600"/>
    </cacheField>
    <cacheField name="Phone" numFmtId="0">
      <sharedItems/>
    </cacheField>
    <cacheField name="Days (Order Date)" numFmtId="0" databaseField="0">
      <fieldGroup base="6">
        <rangePr groupBy="days" startDate="2024-01-01T00:00:00" endDate="2025-01-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Order Date)" numFmtId="0" databaseField="0">
      <fieldGroup base="6">
        <rangePr groupBy="months" startDate="2024-01-01T00:00:00" endDate="2025-01-01T00:00:00"/>
        <groupItems count="14">
          <s v="&lt;1/1/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1802279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n v="3001"/>
    <s v="Hughes"/>
    <s v="Lewis Hughes"/>
    <s v="Lewis"/>
    <n v="1234"/>
    <x v="0"/>
    <x v="0"/>
    <n v="3"/>
    <x v="0"/>
    <x v="0"/>
    <n v="0.1"/>
    <n v="56.400000000000006"/>
    <n v="564"/>
    <n v="507.6"/>
    <s v="Kelly"/>
    <n v="1234"/>
    <s v="Interview Prep"/>
    <d v="2024-05-06T00:00:00"/>
    <n v="1"/>
    <s v="Delivered"/>
    <s v="WA"/>
    <s v="54113 Main Street"/>
    <s v="Broome"/>
    <n v="6725"/>
    <n v="250"/>
    <n v="250"/>
    <s v="+61 8 9929 7089"/>
  </r>
  <r>
    <n v="3002"/>
    <s v="Gomez"/>
    <s v="Ali Gomez"/>
    <s v="Ali"/>
    <n v="1235"/>
    <x v="1"/>
    <x v="1"/>
    <n v="3"/>
    <x v="1"/>
    <x v="1"/>
    <n v="0.3"/>
    <n v="233.1"/>
    <n v="777"/>
    <n v="543.9"/>
    <s v="Kelly"/>
    <n v="1235"/>
    <s v="Resume + LinkedIn Profile"/>
    <d v="2024-07-18T00:00:00"/>
    <n v="3"/>
    <s v="In Progress"/>
    <s v="ACT"/>
    <s v="31652 Main Street"/>
    <s v="Canberra"/>
    <n v="2600"/>
    <n v="800"/>
    <n v="2400"/>
    <s v="+61 2 2684 3193"/>
  </r>
  <r>
    <n v="3003"/>
    <s v="Beck"/>
    <s v="Mila Beck"/>
    <s v="Mila"/>
    <n v="1236"/>
    <x v="2"/>
    <x v="2"/>
    <n v="1"/>
    <x v="0"/>
    <x v="2"/>
    <n v="0.25"/>
    <n v="457.25"/>
    <n v="1829"/>
    <n v="1371.75"/>
    <s v="Priscilla"/>
    <n v="1236"/>
    <s v="LinkedIn profile"/>
    <d v="2024-07-14T00:00:00"/>
    <n v="2"/>
    <s v="Delivered"/>
    <s v="NSW"/>
    <s v="35446 King Street"/>
    <s v="Newcastle"/>
    <n v="2300"/>
    <n v="300"/>
    <n v="600"/>
    <s v="+61 6 6279 4893"/>
  </r>
  <r>
    <n v="3004"/>
    <s v="Juarez"/>
    <s v="Ryleigh Juarez"/>
    <s v="Ryleigh"/>
    <n v="1237"/>
    <x v="2"/>
    <x v="3"/>
    <n v="2"/>
    <x v="0"/>
    <x v="3"/>
    <n v="0.25"/>
    <n v="56.75"/>
    <n v="227"/>
    <n v="170.25"/>
    <s v="Daniel"/>
    <n v="1237"/>
    <s v="LinkedIn profile"/>
    <d v="2024-06-26T00:00:00"/>
    <n v="3"/>
    <s v="Delivered"/>
    <s v="VIC"/>
    <s v="67535 Park Avenue"/>
    <s v="Ballarat"/>
    <n v="3350"/>
    <n v="300"/>
    <n v="900"/>
    <s v="+61 9 6193 6662"/>
  </r>
  <r>
    <n v="3005"/>
    <s v="Preston"/>
    <s v="Leonidas Preston"/>
    <s v="Leonidas"/>
    <n v="1238"/>
    <x v="3"/>
    <x v="4"/>
    <n v="1"/>
    <x v="2"/>
    <x v="4"/>
    <n v="0.2"/>
    <n v="271"/>
    <n v="1355"/>
    <n v="1084"/>
    <s v="Brian"/>
    <n v="1238"/>
    <s v="Networking Strategy"/>
    <d v="2024-11-28T00:00:00"/>
    <n v="2"/>
    <s v="Service Booked"/>
    <s v="QLD"/>
    <s v="78361 Elizabeth Street"/>
    <s v="Gold Coast"/>
    <n v="4217"/>
    <n v="250"/>
    <n v="500"/>
    <s v="+61 8 2149 9223"/>
  </r>
  <r>
    <n v="3006"/>
    <s v="Jacobs"/>
    <s v="Hayden Jacobs"/>
    <s v="Hayden"/>
    <n v="1239"/>
    <x v="1"/>
    <x v="5"/>
    <n v="1"/>
    <x v="2"/>
    <x v="5"/>
    <n v="0.3"/>
    <n v="335.4"/>
    <n v="1118"/>
    <n v="782.6"/>
    <s v="Daniel"/>
    <n v="1239"/>
    <s v="Resume + LinkedIn Profile"/>
    <d v="2024-06-06T00:00:00"/>
    <n v="1"/>
    <s v="Service Booked"/>
    <s v="SA"/>
    <s v="12937 George Street"/>
    <s v="Mount Gambier"/>
    <n v="5290"/>
    <n v="800"/>
    <n v="800"/>
    <s v="+61 7 3754 9016"/>
  </r>
  <r>
    <n v="3007"/>
    <s v="Knox"/>
    <s v="Brooke Knox"/>
    <s v="Brooke"/>
    <n v="1240"/>
    <x v="3"/>
    <x v="6"/>
    <n v="2"/>
    <x v="2"/>
    <x v="3"/>
    <n v="0.2"/>
    <n v="223"/>
    <n v="1115"/>
    <n v="892"/>
    <s v="Kelly"/>
    <n v="1240"/>
    <s v="Networking Strategy"/>
    <d v="2024-03-18T00:00:00"/>
    <n v="1"/>
    <s v="Service Booked"/>
    <s v="VIC"/>
    <s v="55276 Main Street"/>
    <s v="Geelong"/>
    <n v="3220"/>
    <n v="250"/>
    <n v="250"/>
    <s v="+61 2 5999 8075"/>
  </r>
  <r>
    <n v="3008"/>
    <s v="Rice"/>
    <s v="Diana Rice"/>
    <s v="Diana"/>
    <n v="1241"/>
    <x v="1"/>
    <x v="7"/>
    <n v="2"/>
    <x v="0"/>
    <x v="0"/>
    <n v="0.3"/>
    <n v="357.9"/>
    <n v="1193"/>
    <n v="835.1"/>
    <s v="Brian"/>
    <n v="1241"/>
    <s v="Resume + LinkedIn Profile"/>
    <d v="2024-10-26T00:00:00"/>
    <n v="2"/>
    <s v="Delivered"/>
    <s v="WA"/>
    <s v="72499 Main Street"/>
    <s v="Fremantle"/>
    <n v="6160"/>
    <n v="800"/>
    <n v="1600"/>
    <s v="+61 8 5174 1777"/>
  </r>
  <r>
    <n v="3009"/>
    <s v="Valencia"/>
    <s v="Rosalie Valencia"/>
    <s v="Rosalie"/>
    <n v="1242"/>
    <x v="2"/>
    <x v="8"/>
    <n v="2"/>
    <x v="2"/>
    <x v="6"/>
    <n v="0.25"/>
    <n v="353.25"/>
    <n v="1413"/>
    <n v="1059.75"/>
    <s v="Daniel"/>
    <n v="1242"/>
    <s v="LinkedIn profile"/>
    <d v="2024-02-08T00:00:00"/>
    <n v="3"/>
    <s v="Service Booked"/>
    <s v="TAS"/>
    <s v="67620 Main Street"/>
    <s v="Launceston"/>
    <n v="7250"/>
    <n v="300"/>
    <n v="900"/>
    <s v="+61 2 3646 7756"/>
  </r>
  <r>
    <n v="3010"/>
    <s v="Pierce"/>
    <s v="Andre Pierce"/>
    <s v="Andre"/>
    <n v="1243"/>
    <x v="1"/>
    <x v="9"/>
    <n v="2"/>
    <x v="2"/>
    <x v="6"/>
    <n v="0.3"/>
    <n v="319.8"/>
    <n v="1066"/>
    <n v="746.2"/>
    <s v="Priscilla"/>
    <n v="1243"/>
    <s v="Resume + LinkedIn Profile"/>
    <d v="2024-12-09T00:00:00"/>
    <n v="2"/>
    <s v="Service Booked"/>
    <s v="TAS"/>
    <s v="36501 Main Street"/>
    <s v="Hobart"/>
    <n v="7000"/>
    <n v="800"/>
    <n v="1600"/>
    <s v="+61 7 5771 9670"/>
  </r>
  <r>
    <n v="3011"/>
    <s v="Olson"/>
    <s v="Walter Olson"/>
    <s v="Walter"/>
    <n v="1244"/>
    <x v="0"/>
    <x v="10"/>
    <n v="1"/>
    <x v="0"/>
    <x v="4"/>
    <n v="0.1"/>
    <n v="95.300000000000011"/>
    <n v="953"/>
    <n v="857.7"/>
    <s v="Brian"/>
    <n v="1244"/>
    <s v="Interview Prep"/>
    <d v="2024-05-02T00:00:00"/>
    <n v="1"/>
    <s v="Delivered"/>
    <s v="QLD"/>
    <s v="32742 Park Avenue"/>
    <s v="Cairns"/>
    <n v="4870"/>
    <n v="250"/>
    <n v="250"/>
    <s v="+61 4 3247 8562"/>
  </r>
  <r>
    <n v="3012"/>
    <s v="Malone"/>
    <s v="Nayeli Malone"/>
    <s v="Nayeli"/>
    <n v="1245"/>
    <x v="2"/>
    <x v="11"/>
    <n v="3"/>
    <x v="3"/>
    <x v="5"/>
    <n v="0.25"/>
    <n v="406.75"/>
    <n v="1627"/>
    <n v="1220.25"/>
    <s v="Priscilla"/>
    <n v="1245"/>
    <s v="LinkedIn profile"/>
    <d v="2024-01-25T00:00:00"/>
    <n v="1"/>
    <s v="Cancelled"/>
    <s v="SA"/>
    <s v="64128 Main Street"/>
    <s v="Adelaide"/>
    <n v="5000"/>
    <n v="300"/>
    <n v="300"/>
    <s v="+61 6 6035 7957"/>
  </r>
  <r>
    <n v="3013"/>
    <s v="Holt"/>
    <s v="Thea Holt"/>
    <s v="Thea"/>
    <n v="1246"/>
    <x v="2"/>
    <x v="12"/>
    <n v="3"/>
    <x v="2"/>
    <x v="5"/>
    <n v="0.25"/>
    <n v="143.25"/>
    <n v="573"/>
    <n v="429.75"/>
    <s v="Priscilla"/>
    <n v="1246"/>
    <s v="LinkedIn profile"/>
    <d v="2024-07-13T00:00:00"/>
    <n v="1"/>
    <s v="Service Booked"/>
    <s v="SA"/>
    <s v="74442 Park Avenue"/>
    <s v="Adelaide"/>
    <n v="5000"/>
    <n v="300"/>
    <n v="300"/>
    <s v="+61 5 4315 9069"/>
  </r>
  <r>
    <n v="3014"/>
    <s v="Briggs"/>
    <s v="Devin Briggs"/>
    <s v="Devin"/>
    <n v="1247"/>
    <x v="4"/>
    <x v="13"/>
    <n v="2"/>
    <x v="0"/>
    <x v="3"/>
    <n v="0.25"/>
    <n v="67"/>
    <n v="268"/>
    <n v="201"/>
    <s v="Kelly"/>
    <n v="1247"/>
    <s v="Mentoring program"/>
    <d v="2024-01-26T00:00:00"/>
    <n v="3"/>
    <s v="Delivered"/>
    <s v="VIC"/>
    <s v="27685 George Street"/>
    <s v="Melbourne"/>
    <n v="3000"/>
    <n v="1200"/>
    <n v="3600"/>
    <s v="+61 6 4872 6400"/>
  </r>
  <r>
    <n v="3015"/>
    <s v="Woodard"/>
    <s v="Destiny Woodard"/>
    <s v="Destiny"/>
    <n v="1248"/>
    <x v="0"/>
    <x v="14"/>
    <n v="1"/>
    <x v="2"/>
    <x v="2"/>
    <n v="0.1"/>
    <n v="36.9"/>
    <n v="369"/>
    <n v="332.1"/>
    <s v="Daniel"/>
    <n v="1248"/>
    <s v="Interview Prep"/>
    <d v="2024-06-30T00:00:00"/>
    <n v="2"/>
    <s v="Service Booked"/>
    <s v="NSW"/>
    <s v="52948 Elizabeth Street"/>
    <s v="Newcastle"/>
    <n v="2300"/>
    <n v="250"/>
    <n v="500"/>
    <s v="+61 6 3685 2382"/>
  </r>
  <r>
    <n v="3016"/>
    <s v="Fuentes"/>
    <s v="Rylee Fuentes"/>
    <s v="Rylee"/>
    <n v="1249"/>
    <x v="3"/>
    <x v="15"/>
    <n v="1"/>
    <x v="0"/>
    <x v="7"/>
    <n v="0.2"/>
    <n v="51.6"/>
    <n v="258"/>
    <n v="206.4"/>
    <s v="Kelly"/>
    <n v="1249"/>
    <s v="Networking Strategy"/>
    <d v="2024-08-13T00:00:00"/>
    <n v="3"/>
    <s v="Delivered"/>
    <s v="NT"/>
    <s v="65429 Park Avenue"/>
    <s v="Darwin"/>
    <n v="800"/>
    <n v="250"/>
    <n v="750"/>
    <s v="+61 3 1281 9764"/>
  </r>
  <r>
    <n v="3017"/>
    <s v="Shaffer"/>
    <s v="Luka Shaffer"/>
    <s v="Luka"/>
    <n v="1250"/>
    <x v="0"/>
    <x v="16"/>
    <n v="2"/>
    <x v="0"/>
    <x v="2"/>
    <n v="0.1"/>
    <n v="56.400000000000006"/>
    <n v="564"/>
    <n v="507.6"/>
    <s v="Daniel"/>
    <n v="1250"/>
    <s v="Interview Prep"/>
    <d v="2024-12-19T00:00:00"/>
    <n v="1"/>
    <s v="Delivered"/>
    <s v="NSW"/>
    <s v="69927 Elizabeth Street"/>
    <s v="Newcastle"/>
    <n v="2300"/>
    <n v="250"/>
    <n v="250"/>
    <s v="+61 2 8353 1443"/>
  </r>
  <r>
    <n v="3018"/>
    <s v="Berry"/>
    <s v="Colt Berry"/>
    <s v="Colt"/>
    <n v="1251"/>
    <x v="3"/>
    <x v="17"/>
    <n v="2"/>
    <x v="1"/>
    <x v="6"/>
    <n v="0.2"/>
    <n v="326"/>
    <n v="1630"/>
    <n v="1304"/>
    <s v="Priscilla"/>
    <n v="1251"/>
    <s v="Networking Strategy"/>
    <d v="2024-08-20T00:00:00"/>
    <n v="2"/>
    <s v="In Progress"/>
    <s v="TAS"/>
    <s v="20473 Elizabeth Street"/>
    <s v="Hobart"/>
    <n v="7000"/>
    <n v="250"/>
    <n v="500"/>
    <s v="+61 7 3818 3446"/>
  </r>
  <r>
    <n v="3019"/>
    <s v="Klein"/>
    <s v="Madelynn Klein"/>
    <s v="Madelynn"/>
    <n v="1252"/>
    <x v="4"/>
    <x v="18"/>
    <n v="2"/>
    <x v="2"/>
    <x v="1"/>
    <n v="0.25"/>
    <n v="79.5"/>
    <n v="318"/>
    <n v="238.5"/>
    <s v="Brian"/>
    <n v="1252"/>
    <s v="Mentoring program"/>
    <d v="2024-06-12T00:00:00"/>
    <n v="3"/>
    <s v="Service Booked"/>
    <s v="ACT"/>
    <s v="23352 Main Street"/>
    <s v="Canberra"/>
    <n v="2600"/>
    <n v="1200"/>
    <n v="3600"/>
    <s v="+61 9 3972 9212"/>
  </r>
  <r>
    <n v="3020"/>
    <s v="Landry"/>
    <s v="Edward Landry"/>
    <s v="Edward"/>
    <n v="1253"/>
    <x v="1"/>
    <x v="19"/>
    <n v="3"/>
    <x v="0"/>
    <x v="5"/>
    <n v="0.3"/>
    <n v="38.699999999999996"/>
    <n v="129"/>
    <n v="90.300000000000011"/>
    <s v="Daniel"/>
    <n v="1253"/>
    <s v="Resume + LinkedIn Profile"/>
    <d v="2024-01-17T00:00:00"/>
    <n v="3"/>
    <s v="Delivered"/>
    <s v="SA"/>
    <s v="50269 Elizabeth Street"/>
    <s v="Adelaide"/>
    <n v="5000"/>
    <n v="800"/>
    <n v="2400"/>
    <s v="+61 4 6693 3445"/>
  </r>
  <r>
    <n v="3021"/>
    <s v="Weaver"/>
    <s v="Cash Weaver"/>
    <s v="Cash"/>
    <n v="1254"/>
    <x v="5"/>
    <x v="20"/>
    <n v="2"/>
    <x v="2"/>
    <x v="1"/>
    <n v="0.3"/>
    <n v="291.89999999999998"/>
    <n v="973"/>
    <n v="681.1"/>
    <s v="Daniel"/>
    <n v="1254"/>
    <s v="Resume (service fee)"/>
    <d v="2024-11-19T00:00:00"/>
    <n v="3"/>
    <s v="Service Booked"/>
    <s v="ACT"/>
    <s v="2111 King Street"/>
    <s v="Canberra"/>
    <n v="2600"/>
    <n v="600"/>
    <n v="1800"/>
    <s v="+61 6 4641 4524"/>
  </r>
  <r>
    <n v="3022"/>
    <s v="Solomon"/>
    <s v="Ronin Solomon"/>
    <s v="Ronin"/>
    <n v="1255"/>
    <x v="1"/>
    <x v="21"/>
    <n v="2"/>
    <x v="2"/>
    <x v="1"/>
    <n v="0.3"/>
    <n v="464.7"/>
    <n v="1549"/>
    <n v="1084.3"/>
    <s v="Priscilla"/>
    <n v="1255"/>
    <s v="Resume + LinkedIn Profile"/>
    <d v="2024-06-15T00:00:00"/>
    <n v="2"/>
    <s v="Service Booked"/>
    <s v="ACT"/>
    <s v="49044 Main Street"/>
    <s v="Canberra"/>
    <n v="2600"/>
    <n v="800"/>
    <n v="1600"/>
    <s v="+61 4 4909 1170"/>
  </r>
  <r>
    <n v="3023"/>
    <s v="Benjamin"/>
    <s v="Frank Benjamin"/>
    <s v="Frank"/>
    <n v="1256"/>
    <x v="4"/>
    <x v="22"/>
    <n v="3"/>
    <x v="2"/>
    <x v="0"/>
    <n v="0.25"/>
    <n v="154.25"/>
    <n v="617"/>
    <n v="462.75"/>
    <s v="Brian"/>
    <n v="1256"/>
    <s v="Mentoring program"/>
    <d v="2024-04-18T00:00:00"/>
    <n v="1"/>
    <s v="Service Booked"/>
    <s v="WA"/>
    <s v="31985 Park Avenue"/>
    <s v="Broome"/>
    <n v="6725"/>
    <n v="1200"/>
    <n v="1200"/>
    <s v="+61 9 2069 3039"/>
  </r>
  <r>
    <n v="3024"/>
    <s v="Herrera"/>
    <s v="Olive Herrera"/>
    <s v="Olive"/>
    <n v="1257"/>
    <x v="0"/>
    <x v="23"/>
    <n v="2"/>
    <x v="3"/>
    <x v="1"/>
    <n v="0.1"/>
    <n v="66.600000000000009"/>
    <n v="666"/>
    <n v="599.4"/>
    <s v="Daniel"/>
    <n v="1257"/>
    <s v="Interview Prep"/>
    <d v="2024-01-28T00:00:00"/>
    <n v="3"/>
    <s v="Cancelled"/>
    <s v="ACT"/>
    <s v="79707 Elizabeth Street"/>
    <s v="Canberra"/>
    <n v="2600"/>
    <n v="250"/>
    <n v="750"/>
    <s v="+61 3 7245 8172"/>
  </r>
  <r>
    <n v="3025"/>
    <s v="Bryan"/>
    <s v="Noa Bryan"/>
    <s v="Noa"/>
    <n v="1258"/>
    <x v="0"/>
    <x v="24"/>
    <n v="2"/>
    <x v="1"/>
    <x v="2"/>
    <n v="0.1"/>
    <n v="72.7"/>
    <n v="727"/>
    <n v="654.29999999999995"/>
    <s v="Daniel"/>
    <n v="1258"/>
    <s v="Interview Prep"/>
    <d v="2024-09-23T00:00:00"/>
    <n v="1"/>
    <s v="In Progress"/>
    <s v="NSW"/>
    <s v="12506 Main Street"/>
    <s v="Wollongong"/>
    <n v="2500"/>
    <n v="250"/>
    <n v="250"/>
    <s v="+61 3 2697 1777"/>
  </r>
  <r>
    <n v="3026"/>
    <s v="Cook"/>
    <s v="Collin Cook"/>
    <s v="Collin"/>
    <n v="1259"/>
    <x v="3"/>
    <x v="25"/>
    <n v="2"/>
    <x v="3"/>
    <x v="0"/>
    <n v="0.2"/>
    <n v="237.8"/>
    <n v="1189"/>
    <n v="951.2"/>
    <s v="Kelly"/>
    <n v="1259"/>
    <s v="Networking Strategy"/>
    <d v="2024-08-12T00:00:00"/>
    <n v="2"/>
    <s v="Cancelled"/>
    <s v="WA"/>
    <s v="15349 Main Street"/>
    <s v="Perth"/>
    <n v="6000"/>
    <n v="250"/>
    <n v="500"/>
    <s v="+61 2 6247 7968"/>
  </r>
  <r>
    <n v="3027"/>
    <s v="Thompson"/>
    <s v="Kane Thompson"/>
    <s v="Kane"/>
    <n v="1260"/>
    <x v="4"/>
    <x v="26"/>
    <n v="2"/>
    <x v="0"/>
    <x v="4"/>
    <n v="0.25"/>
    <n v="385"/>
    <n v="1540"/>
    <n v="1155"/>
    <s v="Brian"/>
    <n v="1260"/>
    <s v="Mentoring program"/>
    <d v="2024-01-10T00:00:00"/>
    <n v="3"/>
    <s v="Delivered"/>
    <s v="QLD"/>
    <s v="91039 Park Avenue"/>
    <s v="Brisbane"/>
    <n v="4000"/>
    <n v="1200"/>
    <n v="3600"/>
    <s v="+61 2 3558 5728"/>
  </r>
  <r>
    <n v="3028"/>
    <s v="Kane"/>
    <s v="James Kane"/>
    <s v="James"/>
    <n v="1261"/>
    <x v="4"/>
    <x v="27"/>
    <n v="2"/>
    <x v="2"/>
    <x v="7"/>
    <n v="0.25"/>
    <n v="323.25"/>
    <n v="1293"/>
    <n v="969.75"/>
    <s v="Kelly"/>
    <n v="1261"/>
    <s v="Mentoring program"/>
    <d v="2024-02-26T00:00:00"/>
    <n v="1"/>
    <s v="Service Booked"/>
    <s v="NT"/>
    <s v="63839 Elizabeth Street"/>
    <s v="Darwin"/>
    <n v="800"/>
    <n v="1200"/>
    <n v="1200"/>
    <s v="+61 4 3819 3436"/>
  </r>
  <r>
    <n v="3029"/>
    <s v="Arias"/>
    <s v="Sawyer Arias"/>
    <s v="Sawyer"/>
    <n v="1262"/>
    <x v="4"/>
    <x v="28"/>
    <n v="3"/>
    <x v="2"/>
    <x v="2"/>
    <n v="0.25"/>
    <n v="90.75"/>
    <n v="363"/>
    <n v="272.25"/>
    <s v="Kelly"/>
    <n v="1262"/>
    <s v="Mentoring program"/>
    <d v="2024-08-25T00:00:00"/>
    <n v="2"/>
    <s v="Service Booked"/>
    <s v="NSW"/>
    <s v="75988 King Street"/>
    <s v="Sydney"/>
    <n v="2000"/>
    <n v="1200"/>
    <n v="2400"/>
    <s v="+61 8 6187 1974"/>
  </r>
  <r>
    <n v="3030"/>
    <s v="Vincent"/>
    <s v="Isabelle Vincent"/>
    <s v="Isabelle"/>
    <n v="1263"/>
    <x v="4"/>
    <x v="29"/>
    <n v="2"/>
    <x v="0"/>
    <x v="2"/>
    <n v="0.25"/>
    <n v="100.75"/>
    <n v="403"/>
    <n v="302.25"/>
    <s v="Kelly"/>
    <n v="1263"/>
    <s v="Mentoring program"/>
    <d v="2024-03-09T00:00:00"/>
    <n v="3"/>
    <s v="Delivered"/>
    <s v="NSW"/>
    <s v="7523 George Street"/>
    <s v="Wollongong"/>
    <n v="2500"/>
    <n v="1200"/>
    <n v="3600"/>
    <s v="+61 2 5223 7219"/>
  </r>
  <r>
    <n v="3031"/>
    <s v="Quintana"/>
    <s v="Raya Quintana"/>
    <s v="Raya"/>
    <n v="1264"/>
    <x v="1"/>
    <x v="30"/>
    <n v="3"/>
    <x v="2"/>
    <x v="4"/>
    <n v="0.3"/>
    <n v="280.5"/>
    <n v="935"/>
    <n v="654.5"/>
    <s v="Brian"/>
    <n v="1264"/>
    <s v="Resume + LinkedIn Profile"/>
    <d v="2024-12-20T00:00:00"/>
    <n v="2"/>
    <s v="Service Booked"/>
    <s v="QLD"/>
    <s v="79218 Park Avenue"/>
    <s v="Gold Coast"/>
    <n v="4217"/>
    <n v="800"/>
    <n v="1600"/>
    <s v="+61 4 7114 5580"/>
  </r>
  <r>
    <n v="3032"/>
    <s v="Anderson"/>
    <s v="Kaiden Anderson"/>
    <s v="Kaiden"/>
    <n v="1265"/>
    <x v="2"/>
    <x v="31"/>
    <n v="1"/>
    <x v="2"/>
    <x v="6"/>
    <n v="0.25"/>
    <n v="116.75"/>
    <n v="467"/>
    <n v="350.25"/>
    <s v="Terrence"/>
    <n v="1265"/>
    <s v="LinkedIn profile"/>
    <d v="2024-10-23T00:00:00"/>
    <n v="1"/>
    <s v="Service Booked"/>
    <s v="TAS"/>
    <s v="82168 King Street"/>
    <s v="Hobart"/>
    <n v="7000"/>
    <n v="300"/>
    <n v="300"/>
    <s v="+61 5 3648 6335"/>
  </r>
  <r>
    <n v="3033"/>
    <s v="Chan"/>
    <s v="Shiloh Chan"/>
    <s v="Shiloh"/>
    <n v="1266"/>
    <x v="2"/>
    <x v="32"/>
    <n v="1"/>
    <x v="1"/>
    <x v="3"/>
    <n v="0.25"/>
    <n v="19.5"/>
    <n v="78"/>
    <n v="58.5"/>
    <s v="Kelly"/>
    <n v="1266"/>
    <s v="LinkedIn profile"/>
    <d v="2024-12-14T00:00:00"/>
    <n v="2"/>
    <s v="In Progress"/>
    <s v="VIC"/>
    <s v="47390 George Street"/>
    <s v="Geelong"/>
    <n v="3220"/>
    <n v="300"/>
    <n v="600"/>
    <s v="+61 7 4459 6057"/>
  </r>
  <r>
    <n v="3034"/>
    <s v="Foster"/>
    <s v="Layla Foster"/>
    <s v="Layla"/>
    <n v="1267"/>
    <x v="4"/>
    <x v="33"/>
    <n v="3"/>
    <x v="3"/>
    <x v="7"/>
    <n v="0.25"/>
    <n v="62.75"/>
    <n v="251"/>
    <n v="188.25"/>
    <s v="Daniel"/>
    <n v="1267"/>
    <s v="Mentoring program"/>
    <d v="2024-08-26T00:00:00"/>
    <n v="2"/>
    <s v="Cancelled"/>
    <s v="NT"/>
    <s v="65566 Elizabeth Street"/>
    <s v="Darwin"/>
    <n v="800"/>
    <n v="1200"/>
    <n v="2400"/>
    <s v="+61 3 3537 4490"/>
  </r>
  <r>
    <n v="3035"/>
    <s v="Giles"/>
    <s v="Sarai Giles"/>
    <s v="Sarai"/>
    <n v="1268"/>
    <x v="3"/>
    <x v="34"/>
    <n v="1"/>
    <x v="0"/>
    <x v="5"/>
    <n v="0.2"/>
    <n v="50"/>
    <n v="250"/>
    <n v="200"/>
    <s v="Daniel"/>
    <n v="1268"/>
    <s v="Networking Strategy"/>
    <d v="2024-09-01T00:00:00"/>
    <n v="2"/>
    <s v="Delivered"/>
    <s v="SA"/>
    <s v="22831 Park Avenue"/>
    <s v="Adelaide"/>
    <n v="5000"/>
    <n v="250"/>
    <n v="500"/>
    <s v="+61 2 9478 4516"/>
  </r>
  <r>
    <n v="3036"/>
    <s v="Morris"/>
    <s v="Kason Morris"/>
    <s v="Kason"/>
    <n v="1269"/>
    <x v="5"/>
    <x v="35"/>
    <n v="3"/>
    <x v="0"/>
    <x v="3"/>
    <n v="0.3"/>
    <n v="456.3"/>
    <n v="1521"/>
    <n v="1064.7"/>
    <s v="Kelly"/>
    <n v="1269"/>
    <s v="Resume (service fee)"/>
    <d v="2024-12-07T00:00:00"/>
    <n v="1"/>
    <s v="Delivered"/>
    <s v="VIC"/>
    <s v="32286 Park Avenue"/>
    <s v="Ballarat"/>
    <n v="3350"/>
    <n v="600"/>
    <n v="600"/>
    <s v="+61 6 4136 2298"/>
  </r>
  <r>
    <n v="3037"/>
    <s v="Avery"/>
    <s v="Aspen Avery"/>
    <s v="Aspen"/>
    <n v="1270"/>
    <x v="4"/>
    <x v="36"/>
    <n v="2"/>
    <x v="2"/>
    <x v="2"/>
    <n v="0.25"/>
    <n v="6.75"/>
    <n v="27"/>
    <n v="20.25"/>
    <s v="Priscilla"/>
    <n v="1270"/>
    <s v="Mentoring program"/>
    <d v="2024-01-06T00:00:00"/>
    <n v="2"/>
    <s v="Service Booked"/>
    <s v="NSW"/>
    <s v="40586 Park Avenue"/>
    <s v="Wollongong"/>
    <n v="2500"/>
    <n v="1200"/>
    <n v="2400"/>
    <s v="+61 6 1603 7513"/>
  </r>
  <r>
    <n v="3038"/>
    <s v="Fitzgerald"/>
    <s v="Cade Fitzgerald"/>
    <s v="Cade"/>
    <n v="1271"/>
    <x v="3"/>
    <x v="37"/>
    <n v="1"/>
    <x v="3"/>
    <x v="0"/>
    <n v="0.2"/>
    <n v="287.8"/>
    <n v="1439"/>
    <n v="1151.2"/>
    <s v="Terrence"/>
    <n v="1271"/>
    <s v="Networking Strategy"/>
    <d v="2024-06-07T00:00:00"/>
    <n v="1"/>
    <s v="Cancelled"/>
    <s v="WA"/>
    <s v="33763 King Street"/>
    <s v="Broome"/>
    <n v="6725"/>
    <n v="250"/>
    <n v="250"/>
    <s v="+61 4 8640 6144"/>
  </r>
  <r>
    <n v="3039"/>
    <s v="Sharp"/>
    <s v="Collins Sharp"/>
    <s v="Collins"/>
    <n v="1272"/>
    <x v="0"/>
    <x v="38"/>
    <n v="2"/>
    <x v="2"/>
    <x v="3"/>
    <n v="0.1"/>
    <n v="63.800000000000004"/>
    <n v="638"/>
    <n v="574.20000000000005"/>
    <s v="Brian"/>
    <n v="1272"/>
    <s v="Interview Prep"/>
    <d v="2024-09-20T00:00:00"/>
    <n v="3"/>
    <s v="Service Booked"/>
    <s v="VIC"/>
    <s v="91716 Park Avenue"/>
    <s v="Geelong"/>
    <n v="3220"/>
    <n v="250"/>
    <n v="750"/>
    <s v="+61 7 7556 5559"/>
  </r>
  <r>
    <n v="3040"/>
    <s v="Richmond"/>
    <s v="Jayce Richmond"/>
    <s v="Jayce"/>
    <n v="1273"/>
    <x v="1"/>
    <x v="39"/>
    <n v="2"/>
    <x v="2"/>
    <x v="3"/>
    <n v="0.3"/>
    <n v="299.7"/>
    <n v="999"/>
    <n v="699.3"/>
    <s v="Brian"/>
    <n v="1273"/>
    <s v="Resume + LinkedIn Profile"/>
    <d v="2024-05-19T00:00:00"/>
    <n v="3"/>
    <s v="Service Booked"/>
    <s v="VIC"/>
    <s v="70325 King Street"/>
    <s v="Melbourne"/>
    <n v="3000"/>
    <n v="800"/>
    <n v="2400"/>
    <s v="+61 9 7387 7435"/>
  </r>
  <r>
    <n v="3041"/>
    <s v="Hinton"/>
    <s v="Josiah Hinton"/>
    <s v="Josiah"/>
    <n v="1274"/>
    <x v="4"/>
    <x v="40"/>
    <n v="3"/>
    <x v="2"/>
    <x v="4"/>
    <n v="0.25"/>
    <n v="38.25"/>
    <n v="153"/>
    <n v="114.75"/>
    <s v="Daniel"/>
    <n v="1274"/>
    <s v="Mentoring program"/>
    <d v="2024-10-07T00:00:00"/>
    <n v="1"/>
    <s v="Service Booked"/>
    <s v="QLD"/>
    <s v="15417 Elizabeth Street"/>
    <s v="Gold Coast"/>
    <n v="4217"/>
    <n v="1200"/>
    <n v="1200"/>
    <s v="+61 3 1125 8801"/>
  </r>
  <r>
    <n v="3042"/>
    <s v="Morales"/>
    <s v="Helen Morales"/>
    <s v="Helen"/>
    <n v="1275"/>
    <x v="2"/>
    <x v="41"/>
    <n v="3"/>
    <x v="2"/>
    <x v="6"/>
    <n v="0.25"/>
    <n v="248.75"/>
    <n v="995"/>
    <n v="746.25"/>
    <s v="Daniel"/>
    <n v="1275"/>
    <s v="LinkedIn profile"/>
    <d v="2024-09-15T00:00:00"/>
    <n v="2"/>
    <s v="Service Booked"/>
    <s v="TAS"/>
    <s v="20665 King Street"/>
    <s v="Launceston"/>
    <n v="7250"/>
    <n v="300"/>
    <n v="600"/>
    <s v="+61 2 8707 1256"/>
  </r>
  <r>
    <n v="3043"/>
    <s v="Mccormick"/>
    <s v="Alani Mccormick"/>
    <s v="Alani"/>
    <n v="1276"/>
    <x v="4"/>
    <x v="42"/>
    <n v="1"/>
    <x v="0"/>
    <x v="1"/>
    <n v="0.25"/>
    <n v="38.25"/>
    <n v="153"/>
    <n v="114.75"/>
    <s v="Brian"/>
    <n v="1276"/>
    <s v="Mentoring program"/>
    <d v="2024-11-09T00:00:00"/>
    <n v="1"/>
    <s v="Delivered"/>
    <s v="ACT"/>
    <s v="14702 George Street"/>
    <s v="Canberra"/>
    <n v="2600"/>
    <n v="1200"/>
    <n v="1200"/>
    <s v="+61 4 4894 3292"/>
  </r>
  <r>
    <n v="3044"/>
    <s v="Winters"/>
    <s v="Francis Winters"/>
    <s v="Francis"/>
    <n v="1277"/>
    <x v="4"/>
    <x v="43"/>
    <n v="3"/>
    <x v="1"/>
    <x v="5"/>
    <n v="0.25"/>
    <n v="195.25"/>
    <n v="781"/>
    <n v="585.75"/>
    <s v="Brian"/>
    <n v="1277"/>
    <s v="Mentoring program"/>
    <d v="2024-12-22T00:00:00"/>
    <n v="1"/>
    <s v="In Progress"/>
    <s v="SA"/>
    <s v="36211 George Street"/>
    <s v="Mount Gambier"/>
    <n v="5290"/>
    <n v="1200"/>
    <n v="1200"/>
    <s v="+61 4 4846 8091"/>
  </r>
  <r>
    <n v="3045"/>
    <s v="Ochoa"/>
    <s v="Wyatt Ochoa"/>
    <s v="Wyatt"/>
    <n v="1278"/>
    <x v="4"/>
    <x v="44"/>
    <n v="2"/>
    <x v="0"/>
    <x v="2"/>
    <n v="0.25"/>
    <n v="34.75"/>
    <n v="139"/>
    <n v="104.25"/>
    <s v="Priscilla"/>
    <n v="1278"/>
    <s v="Mentoring program"/>
    <d v="2024-09-28T00:00:00"/>
    <n v="2"/>
    <s v="Delivered"/>
    <s v="NSW"/>
    <s v="33911 Elizabeth Street"/>
    <s v="Wollongong"/>
    <n v="2500"/>
    <n v="1200"/>
    <n v="2400"/>
    <s v="+61 3 5429 9394"/>
  </r>
  <r>
    <n v="3046"/>
    <s v="Rollins"/>
    <s v="Leah Rollins"/>
    <s v="Leah"/>
    <n v="1279"/>
    <x v="0"/>
    <x v="45"/>
    <n v="3"/>
    <x v="0"/>
    <x v="3"/>
    <n v="0.1"/>
    <n v="159.60000000000002"/>
    <n v="1596"/>
    <n v="1436.4"/>
    <s v="Terrence"/>
    <n v="1279"/>
    <s v="Interview Prep"/>
    <d v="2024-02-09T00:00:00"/>
    <n v="1"/>
    <s v="Delivered"/>
    <s v="VIC"/>
    <s v="88519 Main Street"/>
    <s v="Ballarat"/>
    <n v="3350"/>
    <n v="250"/>
    <n v="250"/>
    <s v="+61 3 4274 6770"/>
  </r>
  <r>
    <n v="3047"/>
    <s v="Buck"/>
    <s v="Kane Buck"/>
    <s v="Kane"/>
    <n v="1280"/>
    <x v="4"/>
    <x v="46"/>
    <n v="1"/>
    <x v="0"/>
    <x v="4"/>
    <n v="0.25"/>
    <n v="79"/>
    <n v="316"/>
    <n v="237"/>
    <s v="Daniel"/>
    <n v="1280"/>
    <s v="Mentoring program"/>
    <d v="2024-05-24T00:00:00"/>
    <n v="2"/>
    <s v="Delivered"/>
    <s v="QLD"/>
    <s v="38317 Park Avenue"/>
    <s v="Brisbane"/>
    <n v="4000"/>
    <n v="1200"/>
    <n v="2400"/>
    <s v="+61 3 5456 4663"/>
  </r>
  <r>
    <n v="3048"/>
    <s v="Blevins"/>
    <s v="Madilyn Blevins"/>
    <s v="Madilyn"/>
    <n v="1281"/>
    <x v="3"/>
    <x v="47"/>
    <n v="3"/>
    <x v="0"/>
    <x v="5"/>
    <n v="0.2"/>
    <n v="295.2"/>
    <n v="1476"/>
    <n v="1180.8"/>
    <s v="Priscilla"/>
    <n v="1281"/>
    <s v="Networking Strategy"/>
    <d v="2024-08-01T00:00:00"/>
    <n v="2"/>
    <s v="Delivered"/>
    <s v="SA"/>
    <s v="67995 Park Avenue"/>
    <s v="Adelaide"/>
    <n v="5000"/>
    <n v="250"/>
    <n v="500"/>
    <s v="+61 2 3230 4597"/>
  </r>
  <r>
    <n v="3049"/>
    <s v="Parsons"/>
    <s v="Jared Parsons"/>
    <s v="Jared"/>
    <n v="1282"/>
    <x v="5"/>
    <x v="48"/>
    <n v="2"/>
    <x v="0"/>
    <x v="5"/>
    <n v="0.3"/>
    <n v="522.9"/>
    <n v="1743"/>
    <n v="1220.0999999999999"/>
    <s v="Daniel"/>
    <n v="1282"/>
    <s v="Resume (service fee)"/>
    <d v="2024-02-18T00:00:00"/>
    <n v="3"/>
    <s v="Delivered"/>
    <s v="SA"/>
    <s v="91009 Park Avenue"/>
    <s v="Whyalla"/>
    <n v="5600"/>
    <n v="600"/>
    <n v="1800"/>
    <s v="+61 4 5733 1690"/>
  </r>
  <r>
    <n v="3050"/>
    <s v="Flores"/>
    <s v="Jackson Flores"/>
    <s v="Jackson"/>
    <n v="1283"/>
    <x v="3"/>
    <x v="49"/>
    <n v="2"/>
    <x v="0"/>
    <x v="2"/>
    <n v="0.2"/>
    <n v="338.20000000000005"/>
    <n v="1691"/>
    <n v="1352.8"/>
    <s v="Terrence"/>
    <n v="1283"/>
    <s v="Networking Strategy"/>
    <d v="2024-03-17T00:00:00"/>
    <n v="1"/>
    <s v="Delivered"/>
    <s v="NSW"/>
    <s v="8270 Elizabeth Street"/>
    <s v="Wollongong"/>
    <n v="2500"/>
    <n v="250"/>
    <n v="250"/>
    <s v="+61 4 4793 3785"/>
  </r>
  <r>
    <n v="3051"/>
    <s v="Collier"/>
    <s v="Abigail Collier"/>
    <s v="Abigail"/>
    <n v="1284"/>
    <x v="1"/>
    <x v="50"/>
    <n v="3"/>
    <x v="0"/>
    <x v="3"/>
    <n v="0.3"/>
    <n v="5.0999999999999996"/>
    <n v="17"/>
    <n v="11.9"/>
    <s v="Kelly"/>
    <n v="1284"/>
    <s v="Resume + LinkedIn Profile"/>
    <d v="2024-02-02T00:00:00"/>
    <n v="2"/>
    <s v="Delivered"/>
    <s v="VIC"/>
    <s v="30245 Main Street"/>
    <s v="Ballarat"/>
    <n v="3350"/>
    <n v="800"/>
    <n v="1600"/>
    <s v="+61 5 9847 1946"/>
  </r>
  <r>
    <n v="3052"/>
    <s v="Harvey"/>
    <s v="Greyson Harvey"/>
    <s v="Greyson"/>
    <n v="1285"/>
    <x v="0"/>
    <x v="51"/>
    <n v="3"/>
    <x v="2"/>
    <x v="2"/>
    <n v="0.1"/>
    <n v="183.60000000000002"/>
    <n v="1836"/>
    <n v="1652.4"/>
    <s v="Kelly"/>
    <n v="1285"/>
    <s v="Interview Prep"/>
    <d v="2024-01-30T00:00:00"/>
    <n v="3"/>
    <s v="Service Booked"/>
    <s v="NSW"/>
    <s v="3616 Main Street"/>
    <s v="Newcastle"/>
    <n v="2300"/>
    <n v="250"/>
    <n v="750"/>
    <s v="+61 2 9438 9181"/>
  </r>
  <r>
    <n v="3053"/>
    <s v="Hunter"/>
    <s v="Luca Hunter"/>
    <s v="Luca"/>
    <n v="1286"/>
    <x v="5"/>
    <x v="52"/>
    <n v="1"/>
    <x v="2"/>
    <x v="2"/>
    <n v="0.3"/>
    <n v="125.39999999999999"/>
    <n v="418"/>
    <n v="292.60000000000002"/>
    <s v="Daniel"/>
    <n v="1286"/>
    <s v="Resume (service fee)"/>
    <d v="2024-11-01T00:00:00"/>
    <n v="2"/>
    <s v="Service Booked"/>
    <s v="NSW"/>
    <s v="37556 Park Avenue"/>
    <s v="Wollongong"/>
    <n v="2500"/>
    <n v="600"/>
    <n v="1200"/>
    <s v="+61 3 9100 4349"/>
  </r>
  <r>
    <n v="3054"/>
    <s v="Morris"/>
    <s v="Mariana Morris"/>
    <s v="Mariana"/>
    <n v="1287"/>
    <x v="1"/>
    <x v="53"/>
    <n v="3"/>
    <x v="2"/>
    <x v="7"/>
    <n v="0.3"/>
    <n v="248.1"/>
    <n v="827"/>
    <n v="578.9"/>
    <s v="Daniel"/>
    <n v="1287"/>
    <s v="Resume + LinkedIn Profile"/>
    <d v="2024-08-27T00:00:00"/>
    <n v="3"/>
    <s v="Service Booked"/>
    <s v="NT"/>
    <s v="64859 Park Avenue"/>
    <s v="Alice Springs"/>
    <n v="870"/>
    <n v="800"/>
    <n v="2400"/>
    <s v="+61 2 7743 5562"/>
  </r>
  <r>
    <n v="3055"/>
    <s v="Mcdaniel"/>
    <s v="Eliza Mcdaniel"/>
    <s v="Eliza"/>
    <n v="1288"/>
    <x v="0"/>
    <x v="54"/>
    <n v="2"/>
    <x v="2"/>
    <x v="3"/>
    <n v="0.1"/>
    <n v="32.300000000000004"/>
    <n v="323"/>
    <n v="290.7"/>
    <s v="Daniel"/>
    <n v="1288"/>
    <s v="Interview Prep"/>
    <d v="2024-10-24T00:00:00"/>
    <n v="2"/>
    <s v="Service Booked"/>
    <s v="VIC"/>
    <s v="51450 Park Avenue"/>
    <s v="Ballarat"/>
    <n v="3350"/>
    <n v="250"/>
    <n v="500"/>
    <s v="+61 6 1800 8105"/>
  </r>
  <r>
    <n v="3056"/>
    <s v="Atkins"/>
    <s v="Molly Atkins"/>
    <s v="Molly"/>
    <n v="1289"/>
    <x v="4"/>
    <x v="55"/>
    <n v="3"/>
    <x v="2"/>
    <x v="2"/>
    <n v="0.25"/>
    <n v="62.5"/>
    <n v="250"/>
    <n v="187.5"/>
    <s v="Brian"/>
    <n v="1289"/>
    <s v="Mentoring program"/>
    <d v="2024-02-04T00:00:00"/>
    <n v="2"/>
    <s v="Service Booked"/>
    <s v="NSW"/>
    <s v="98776 King Street"/>
    <s v="Wollongong"/>
    <n v="2500"/>
    <n v="1200"/>
    <n v="2400"/>
    <s v="+61 8 4482 1286"/>
  </r>
  <r>
    <n v="3057"/>
    <s v="Maldonado"/>
    <s v="Arielle Maldonado"/>
    <s v="Arielle"/>
    <n v="1290"/>
    <x v="2"/>
    <x v="56"/>
    <n v="1"/>
    <x v="1"/>
    <x v="5"/>
    <n v="0.25"/>
    <n v="376.25"/>
    <n v="1505"/>
    <n v="1128.75"/>
    <s v="Priscilla"/>
    <n v="1290"/>
    <s v="LinkedIn profile"/>
    <d v="2024-03-20T00:00:00"/>
    <n v="3"/>
    <s v="In Progress"/>
    <s v="SA"/>
    <s v="79405 George Street"/>
    <s v="Adelaide"/>
    <n v="5000"/>
    <n v="300"/>
    <n v="900"/>
    <s v="+61 3 2068 2596"/>
  </r>
  <r>
    <n v="3058"/>
    <s v="Trevino"/>
    <s v="Demi Trevino"/>
    <s v="Demi"/>
    <n v="1291"/>
    <x v="4"/>
    <x v="57"/>
    <n v="1"/>
    <x v="2"/>
    <x v="1"/>
    <n v="0.25"/>
    <n v="35.5"/>
    <n v="142"/>
    <n v="106.5"/>
    <s v="Daniel"/>
    <n v="1291"/>
    <s v="Mentoring program"/>
    <d v="2024-11-16T00:00:00"/>
    <n v="1"/>
    <s v="Service Booked"/>
    <s v="ACT"/>
    <s v="12747 Main Street"/>
    <s v="Canberra"/>
    <n v="2600"/>
    <n v="1200"/>
    <n v="1200"/>
    <s v="+61 8 7435 8384"/>
  </r>
  <r>
    <n v="3059"/>
    <s v="Collier"/>
    <s v="Mckenna Collier"/>
    <s v="Mckenna"/>
    <n v="1292"/>
    <x v="3"/>
    <x v="58"/>
    <n v="2"/>
    <x v="0"/>
    <x v="7"/>
    <n v="0.2"/>
    <n v="111"/>
    <n v="555"/>
    <n v="444"/>
    <s v="Daniel"/>
    <n v="1292"/>
    <s v="Networking Strategy"/>
    <d v="2024-06-04T00:00:00"/>
    <n v="3"/>
    <s v="Delivered"/>
    <s v="NT"/>
    <s v="62504 Main Street"/>
    <s v="Darwin"/>
    <n v="800"/>
    <n v="250"/>
    <n v="750"/>
    <s v="+61 6 8086 1334"/>
  </r>
  <r>
    <n v="3060"/>
    <s v="Baldwin"/>
    <s v="Adalynn Baldwin"/>
    <s v="Adalynn"/>
    <n v="1293"/>
    <x v="4"/>
    <x v="59"/>
    <n v="3"/>
    <x v="2"/>
    <x v="2"/>
    <n v="0.25"/>
    <n v="152.25"/>
    <n v="609"/>
    <n v="456.75"/>
    <s v="Daniel"/>
    <n v="1293"/>
    <s v="Mentoring program"/>
    <d v="2024-04-22T00:00:00"/>
    <n v="2"/>
    <s v="Service Booked"/>
    <s v="NSW"/>
    <s v="6714 King Street"/>
    <s v="Sydney"/>
    <n v="2000"/>
    <n v="1200"/>
    <n v="2400"/>
    <s v="+61 2 3492 5141"/>
  </r>
  <r>
    <n v="3061"/>
    <s v="Silva"/>
    <s v="Preston Silva"/>
    <s v="Preston"/>
    <n v="1294"/>
    <x v="4"/>
    <x v="60"/>
    <n v="2"/>
    <x v="2"/>
    <x v="0"/>
    <n v="0.25"/>
    <n v="281"/>
    <n v="1124"/>
    <n v="843"/>
    <s v="Kelly"/>
    <n v="1294"/>
    <s v="Mentoring program"/>
    <d v="2024-09-21T00:00:00"/>
    <n v="3"/>
    <s v="Service Booked"/>
    <s v="WA"/>
    <s v="40939 Elizabeth Street"/>
    <s v="Perth"/>
    <n v="6000"/>
    <n v="1200"/>
    <n v="3600"/>
    <s v="+61 6 6452 8362"/>
  </r>
  <r>
    <n v="3062"/>
    <s v="Watts"/>
    <s v="Bailey Watts"/>
    <s v="Bailey"/>
    <n v="1295"/>
    <x v="5"/>
    <x v="61"/>
    <n v="2"/>
    <x v="2"/>
    <x v="2"/>
    <n v="0.3"/>
    <n v="16.5"/>
    <n v="55"/>
    <n v="38.5"/>
    <s v="Kelly"/>
    <n v="1295"/>
    <s v="Resume (service fee)"/>
    <d v="2024-09-05T00:00:00"/>
    <n v="3"/>
    <s v="Service Booked"/>
    <s v="NSW"/>
    <s v="6565 King Street"/>
    <s v="Newcastle"/>
    <n v="2300"/>
    <n v="600"/>
    <n v="1800"/>
    <s v="+61 8 6113 5419"/>
  </r>
  <r>
    <n v="3063"/>
    <s v="Russell"/>
    <s v="Bentley Russell"/>
    <s v="Bentley"/>
    <n v="1296"/>
    <x v="3"/>
    <x v="61"/>
    <n v="3"/>
    <x v="0"/>
    <x v="4"/>
    <n v="0.2"/>
    <n v="206.4"/>
    <n v="1032"/>
    <n v="825.6"/>
    <s v="Daniel"/>
    <n v="1296"/>
    <s v="Networking Strategy"/>
    <d v="2024-09-05T00:00:00"/>
    <n v="1"/>
    <s v="Delivered"/>
    <s v="QLD"/>
    <s v="48408 Park Avenue"/>
    <s v="Gold Coast"/>
    <n v="4217"/>
    <n v="250"/>
    <n v="250"/>
    <s v="+61 9 4440 7340"/>
  </r>
  <r>
    <n v="3064"/>
    <s v="Harrington"/>
    <s v="Lillian Harrington"/>
    <s v="Lillian"/>
    <n v="1297"/>
    <x v="3"/>
    <x v="62"/>
    <n v="2"/>
    <x v="0"/>
    <x v="7"/>
    <n v="0.2"/>
    <n v="184"/>
    <n v="920"/>
    <n v="736"/>
    <s v="Daniel"/>
    <n v="1297"/>
    <s v="Networking Strategy"/>
    <d v="2024-03-31T00:00:00"/>
    <n v="3"/>
    <s v="Delivered"/>
    <s v="NT"/>
    <s v="83494 Main Street"/>
    <s v="Darwin"/>
    <n v="800"/>
    <n v="250"/>
    <n v="750"/>
    <s v="+61 7 1636 2524"/>
  </r>
  <r>
    <n v="3065"/>
    <s v="Fleming"/>
    <s v="Kayden Fleming"/>
    <s v="Kayden"/>
    <n v="1298"/>
    <x v="4"/>
    <x v="63"/>
    <n v="3"/>
    <x v="2"/>
    <x v="6"/>
    <n v="0.25"/>
    <n v="243.5"/>
    <n v="974"/>
    <n v="730.5"/>
    <s v="Brian"/>
    <n v="1298"/>
    <s v="Mentoring program"/>
    <d v="2024-01-22T00:00:00"/>
    <n v="3"/>
    <s v="Service Booked"/>
    <s v="TAS"/>
    <s v="23176 Park Avenue"/>
    <s v="Launceston"/>
    <n v="7250"/>
    <n v="1200"/>
    <n v="3600"/>
    <s v="+61 3 5550 3211"/>
  </r>
  <r>
    <n v="3066"/>
    <s v="Hayden"/>
    <s v="Manuel Hayden"/>
    <s v="Manuel"/>
    <n v="1299"/>
    <x v="4"/>
    <x v="64"/>
    <n v="3"/>
    <x v="2"/>
    <x v="7"/>
    <n v="0.25"/>
    <n v="276"/>
    <n v="1104"/>
    <n v="828"/>
    <s v="Daniel"/>
    <n v="1299"/>
    <s v="Mentoring program"/>
    <d v="2024-12-10T00:00:00"/>
    <n v="3"/>
    <s v="Service Booked"/>
    <s v="NT"/>
    <s v="9679 Elizabeth Street"/>
    <s v="Alice Springs"/>
    <n v="870"/>
    <n v="1200"/>
    <n v="3600"/>
    <s v="+61 2 4555 5372"/>
  </r>
  <r>
    <n v="3067"/>
    <s v="Nicholson"/>
    <s v="Hattie Nicholson"/>
    <s v="Hattie"/>
    <n v="1300"/>
    <x v="2"/>
    <x v="65"/>
    <n v="1"/>
    <x v="0"/>
    <x v="1"/>
    <n v="0.25"/>
    <n v="260.5"/>
    <n v="1042"/>
    <n v="781.5"/>
    <s v="Terrence"/>
    <n v="1300"/>
    <s v="LinkedIn profile"/>
    <d v="2024-05-28T00:00:00"/>
    <n v="1"/>
    <s v="Delivered"/>
    <s v="ACT"/>
    <s v="4179 Elizabeth Street"/>
    <s v="Canberra"/>
    <n v="2600"/>
    <n v="300"/>
    <n v="300"/>
    <s v="+61 7 1631 2802"/>
  </r>
  <r>
    <n v="3068"/>
    <s v="Guerra"/>
    <s v="Legacy Guerra"/>
    <s v="Legacy"/>
    <n v="1301"/>
    <x v="5"/>
    <x v="66"/>
    <n v="3"/>
    <x v="0"/>
    <x v="0"/>
    <n v="0.3"/>
    <n v="110.7"/>
    <n v="369"/>
    <n v="258.3"/>
    <s v="Daniel"/>
    <n v="1301"/>
    <s v="Resume (service fee)"/>
    <d v="2024-03-03T00:00:00"/>
    <n v="2"/>
    <s v="Delivered"/>
    <s v="WA"/>
    <s v="56068 Elizabeth Street"/>
    <s v="Broome"/>
    <n v="6725"/>
    <n v="600"/>
    <n v="1200"/>
    <s v="+61 8 7187 1753"/>
  </r>
  <r>
    <n v="3069"/>
    <s v="Correa"/>
    <s v="Brantley Correa"/>
    <s v="Brantley"/>
    <n v="1302"/>
    <x v="3"/>
    <x v="67"/>
    <n v="1"/>
    <x v="2"/>
    <x v="6"/>
    <n v="0.2"/>
    <n v="281.2"/>
    <n v="1406"/>
    <n v="1124.8"/>
    <s v="Priscilla"/>
    <n v="1302"/>
    <s v="Networking Strategy"/>
    <d v="2024-07-02T00:00:00"/>
    <n v="1"/>
    <s v="Service Booked"/>
    <s v="TAS"/>
    <s v="25920 George Street"/>
    <s v="Launceston"/>
    <n v="7250"/>
    <n v="250"/>
    <n v="250"/>
    <s v="+61 7 3920 3959"/>
  </r>
  <r>
    <n v="3070"/>
    <s v="Carey"/>
    <s v="Rosie Carey"/>
    <s v="Rosie"/>
    <n v="1303"/>
    <x v="4"/>
    <x v="68"/>
    <n v="2"/>
    <x v="0"/>
    <x v="2"/>
    <n v="0.25"/>
    <n v="394.5"/>
    <n v="1578"/>
    <n v="1183.5"/>
    <s v="Kelly"/>
    <n v="1303"/>
    <s v="Mentoring program"/>
    <d v="2024-10-29T00:00:00"/>
    <n v="3"/>
    <s v="Delivered"/>
    <s v="NSW"/>
    <s v="48249 George Street"/>
    <s v="Wollongong"/>
    <n v="2500"/>
    <n v="1200"/>
    <n v="3600"/>
    <s v="+61 3 1862 1493"/>
  </r>
  <r>
    <n v="3071"/>
    <s v="Morales"/>
    <s v="Heaven Morales"/>
    <s v="Heaven"/>
    <n v="1304"/>
    <x v="5"/>
    <x v="69"/>
    <n v="3"/>
    <x v="0"/>
    <x v="7"/>
    <n v="0.3"/>
    <n v="249"/>
    <n v="830"/>
    <n v="581"/>
    <s v="Priscilla"/>
    <n v="1304"/>
    <s v="Resume (service fee)"/>
    <d v="2024-12-31T00:00:00"/>
    <n v="1"/>
    <s v="Delivered"/>
    <s v="NT"/>
    <s v="20434 Park Avenue"/>
    <s v="Alice Springs"/>
    <n v="870"/>
    <n v="600"/>
    <n v="600"/>
    <s v="+61 6 1890 9215"/>
  </r>
  <r>
    <n v="3072"/>
    <s v="Carroll"/>
    <s v="Chance Carroll"/>
    <s v="Chance"/>
    <n v="1305"/>
    <x v="2"/>
    <x v="70"/>
    <n v="1"/>
    <x v="0"/>
    <x v="3"/>
    <n v="0.25"/>
    <n v="395.75"/>
    <n v="1583"/>
    <n v="1187.25"/>
    <s v="Daniel"/>
    <n v="1305"/>
    <s v="LinkedIn profile"/>
    <d v="2024-07-12T00:00:00"/>
    <n v="1"/>
    <s v="Delivered"/>
    <s v="VIC"/>
    <s v="51302 Main Street"/>
    <s v="Ballarat"/>
    <n v="3350"/>
    <n v="300"/>
    <n v="300"/>
    <s v="+61 5 6362 5705"/>
  </r>
  <r>
    <n v="3073"/>
    <s v="Bautista"/>
    <s v="Parker Bautista"/>
    <s v="Parker"/>
    <n v="1306"/>
    <x v="4"/>
    <x v="71"/>
    <n v="3"/>
    <x v="0"/>
    <x v="6"/>
    <n v="0.25"/>
    <n v="448.5"/>
    <n v="1794"/>
    <n v="1345.5"/>
    <s v="Brian"/>
    <n v="1306"/>
    <s v="Mentoring program"/>
    <d v="2024-09-07T00:00:00"/>
    <n v="1"/>
    <s v="Delivered"/>
    <s v="TAS"/>
    <s v="82031 King Street"/>
    <s v="Devonport"/>
    <n v="7310"/>
    <n v="1200"/>
    <n v="1200"/>
    <s v="+61 3 8660 5395"/>
  </r>
  <r>
    <n v="3074"/>
    <s v="Fox"/>
    <s v="Kamari Fox"/>
    <s v="Kamari"/>
    <n v="1307"/>
    <x v="0"/>
    <x v="63"/>
    <n v="2"/>
    <x v="1"/>
    <x v="5"/>
    <n v="0.1"/>
    <n v="59"/>
    <n v="590"/>
    <n v="531"/>
    <s v="Kelly"/>
    <n v="1307"/>
    <s v="Interview Prep"/>
    <d v="2024-01-22T00:00:00"/>
    <n v="1"/>
    <s v="In Progress"/>
    <s v="SA"/>
    <s v="14561 George Street"/>
    <s v="Adelaide"/>
    <n v="5000"/>
    <n v="250"/>
    <n v="250"/>
    <s v="+61 8 8950 5310"/>
  </r>
  <r>
    <n v="3075"/>
    <s v="Wong"/>
    <s v="Emerson Wong"/>
    <s v="Emerson"/>
    <n v="1308"/>
    <x v="3"/>
    <x v="72"/>
    <n v="2"/>
    <x v="0"/>
    <x v="7"/>
    <n v="0.2"/>
    <n v="198"/>
    <n v="990"/>
    <n v="792"/>
    <s v="Terrence"/>
    <n v="1308"/>
    <s v="Networking Strategy"/>
    <d v="2024-04-14T00:00:00"/>
    <n v="3"/>
    <s v="Delivered"/>
    <s v="NT"/>
    <s v="98908 Park Avenue"/>
    <s v="Alice Springs"/>
    <n v="870"/>
    <n v="250"/>
    <n v="750"/>
    <s v="+61 9 5739 8952"/>
  </r>
  <r>
    <n v="3076"/>
    <s v="Rubio"/>
    <s v="Tatum Rubio"/>
    <s v="Tatum"/>
    <n v="1309"/>
    <x v="0"/>
    <x v="73"/>
    <n v="2"/>
    <x v="0"/>
    <x v="3"/>
    <n v="0.1"/>
    <n v="122.5"/>
    <n v="1225"/>
    <n v="1102.5"/>
    <s v="Kelly"/>
    <n v="1309"/>
    <s v="Interview Prep"/>
    <d v="2024-08-29T00:00:00"/>
    <n v="2"/>
    <s v="Delivered"/>
    <s v="VIC"/>
    <s v="13507 Park Avenue"/>
    <s v="Geelong"/>
    <n v="3220"/>
    <n v="250"/>
    <n v="500"/>
    <s v="+61 8 5349 5901"/>
  </r>
  <r>
    <n v="3077"/>
    <s v="Sanchez"/>
    <s v="Sarai Sanchez"/>
    <s v="Sarai"/>
    <n v="1310"/>
    <x v="1"/>
    <x v="74"/>
    <n v="3"/>
    <x v="0"/>
    <x v="1"/>
    <n v="0.3"/>
    <n v="123.3"/>
    <n v="411"/>
    <n v="287.7"/>
    <s v="Kelly"/>
    <n v="1310"/>
    <s v="Resume + LinkedIn Profile"/>
    <d v="2024-03-10T00:00:00"/>
    <n v="1"/>
    <s v="Delivered"/>
    <s v="ACT"/>
    <s v="78027 Main Street"/>
    <s v="Canberra"/>
    <n v="2600"/>
    <n v="800"/>
    <n v="800"/>
    <s v="+61 4 3688 5969"/>
  </r>
  <r>
    <n v="3078"/>
    <s v="Dean"/>
    <s v="Gunner Dean"/>
    <s v="Gunner"/>
    <n v="1311"/>
    <x v="4"/>
    <x v="75"/>
    <n v="2"/>
    <x v="0"/>
    <x v="7"/>
    <n v="0.25"/>
    <n v="163.5"/>
    <n v="654"/>
    <n v="490.5"/>
    <s v="Daniel"/>
    <n v="1311"/>
    <s v="Mentoring program"/>
    <d v="2024-09-26T00:00:00"/>
    <n v="2"/>
    <s v="Delivered"/>
    <s v="NT"/>
    <s v="55885 Main Street"/>
    <s v="Darwin"/>
    <n v="800"/>
    <n v="1200"/>
    <n v="2400"/>
    <s v="+61 9 4216 6909"/>
  </r>
  <r>
    <n v="3079"/>
    <s v="Pham"/>
    <s v="Willa Pham"/>
    <s v="Willa"/>
    <n v="1312"/>
    <x v="3"/>
    <x v="76"/>
    <n v="2"/>
    <x v="2"/>
    <x v="3"/>
    <n v="0.2"/>
    <n v="38.200000000000003"/>
    <n v="191"/>
    <n v="152.80000000000001"/>
    <s v="Kelly"/>
    <n v="1312"/>
    <s v="Networking Strategy"/>
    <d v="2024-12-16T00:00:00"/>
    <n v="2"/>
    <s v="Service Booked"/>
    <s v="VIC"/>
    <s v="73120 Main Street"/>
    <s v="Melbourne"/>
    <n v="3000"/>
    <n v="250"/>
    <n v="500"/>
    <s v="+61 7 9022 6640"/>
  </r>
  <r>
    <n v="3080"/>
    <s v="Mata"/>
    <s v="Cooper Mata"/>
    <s v="Cooper"/>
    <n v="1313"/>
    <x v="4"/>
    <x v="77"/>
    <n v="3"/>
    <x v="1"/>
    <x v="2"/>
    <n v="0.25"/>
    <n v="212"/>
    <n v="848"/>
    <n v="636"/>
    <s v="Priscilla"/>
    <n v="1313"/>
    <s v="Mentoring program"/>
    <d v="2024-08-23T00:00:00"/>
    <n v="1"/>
    <s v="In Progress"/>
    <s v="NSW"/>
    <s v="87984 George Street"/>
    <s v="Wollongong"/>
    <n v="2500"/>
    <n v="1200"/>
    <n v="1200"/>
    <s v="+61 4 6601 4396"/>
  </r>
  <r>
    <n v="3081"/>
    <s v="Mason"/>
    <s v="Jude Mason"/>
    <s v="Jude"/>
    <n v="1314"/>
    <x v="3"/>
    <x v="78"/>
    <n v="3"/>
    <x v="2"/>
    <x v="3"/>
    <n v="0.2"/>
    <n v="107.80000000000001"/>
    <n v="539"/>
    <n v="431.2"/>
    <s v="Kelly"/>
    <n v="1314"/>
    <s v="Networking Strategy"/>
    <d v="2024-08-10T00:00:00"/>
    <n v="3"/>
    <s v="Service Booked"/>
    <s v="VIC"/>
    <s v="70539 King Street"/>
    <s v="Melbourne"/>
    <n v="3000"/>
    <n v="250"/>
    <n v="750"/>
    <s v="+61 7 5735 2927"/>
  </r>
  <r>
    <n v="3082"/>
    <s v="Woodard"/>
    <s v="Ari Woodard"/>
    <s v="Ari"/>
    <n v="1315"/>
    <x v="2"/>
    <x v="79"/>
    <n v="2"/>
    <x v="2"/>
    <x v="4"/>
    <n v="0.25"/>
    <n v="198.5"/>
    <n v="794"/>
    <n v="595.5"/>
    <s v="Priscilla"/>
    <n v="1315"/>
    <s v="LinkedIn profile"/>
    <d v="2024-08-14T00:00:00"/>
    <n v="3"/>
    <s v="Service Booked"/>
    <s v="QLD"/>
    <s v="71136 Elizabeth Street"/>
    <s v="Gold Coast"/>
    <n v="4217"/>
    <n v="300"/>
    <n v="900"/>
    <s v="+61 3 8666 1404"/>
  </r>
  <r>
    <n v="3083"/>
    <s v="Watson"/>
    <s v="Alessandra Watson"/>
    <s v="Alessandra"/>
    <n v="1316"/>
    <x v="0"/>
    <x v="80"/>
    <n v="3"/>
    <x v="2"/>
    <x v="3"/>
    <n v="0.1"/>
    <n v="62"/>
    <n v="620"/>
    <n v="558"/>
    <s v="Kelly"/>
    <n v="1316"/>
    <s v="Interview Prep"/>
    <d v="2024-11-30T00:00:00"/>
    <n v="1"/>
    <s v="Service Booked"/>
    <s v="VIC"/>
    <s v="15346 Main Street"/>
    <s v="Ballarat"/>
    <n v="3350"/>
    <n v="250"/>
    <n v="250"/>
    <s v="+61 5 6939 1328"/>
  </r>
  <r>
    <n v="3084"/>
    <s v="Coleman"/>
    <s v="Callen Coleman"/>
    <s v="Callen"/>
    <n v="1317"/>
    <x v="4"/>
    <x v="81"/>
    <n v="3"/>
    <x v="0"/>
    <x v="1"/>
    <n v="0.25"/>
    <n v="419.75"/>
    <n v="1679"/>
    <n v="1259.25"/>
    <s v="Brian"/>
    <n v="1317"/>
    <s v="Mentoring program"/>
    <d v="2024-12-04T00:00:00"/>
    <n v="3"/>
    <s v="Delivered"/>
    <s v="ACT"/>
    <s v="56751 George Street"/>
    <s v="Canberra"/>
    <n v="2600"/>
    <n v="1200"/>
    <n v="3600"/>
    <s v="+61 8 3728 5894"/>
  </r>
  <r>
    <n v="3085"/>
    <s v="Clay"/>
    <s v="Aria Clay"/>
    <s v="Aria"/>
    <n v="1318"/>
    <x v="4"/>
    <x v="82"/>
    <n v="2"/>
    <x v="2"/>
    <x v="4"/>
    <n v="0.25"/>
    <n v="364"/>
    <n v="1456"/>
    <n v="1092"/>
    <s v="Daniel"/>
    <n v="1318"/>
    <s v="Mentoring program"/>
    <d v="2024-07-15T00:00:00"/>
    <n v="2"/>
    <s v="Service Booked"/>
    <s v="QLD"/>
    <s v="39289 Elizabeth Street"/>
    <s v="Gold Coast"/>
    <n v="4217"/>
    <n v="1200"/>
    <n v="2400"/>
    <s v="+61 6 3418 1922"/>
  </r>
  <r>
    <n v="3086"/>
    <s v="Truong"/>
    <s v="Nina Truong"/>
    <s v="Nina"/>
    <n v="1319"/>
    <x v="4"/>
    <x v="83"/>
    <n v="3"/>
    <x v="0"/>
    <x v="6"/>
    <n v="0.25"/>
    <n v="32.5"/>
    <n v="130"/>
    <n v="97.5"/>
    <s v="Daniel"/>
    <n v="1319"/>
    <s v="Mentoring program"/>
    <d v="2024-04-29T00:00:00"/>
    <n v="2"/>
    <s v="Delivered"/>
    <s v="TAS"/>
    <s v="69174 King Street"/>
    <s v="Launceston"/>
    <n v="7250"/>
    <n v="1200"/>
    <n v="2400"/>
    <s v="+61 8 2910 7914"/>
  </r>
  <r>
    <n v="3087"/>
    <s v="Saunders"/>
    <s v="Freya Saunders"/>
    <s v="Freya"/>
    <n v="1320"/>
    <x v="5"/>
    <x v="84"/>
    <n v="2"/>
    <x v="1"/>
    <x v="7"/>
    <n v="0.3"/>
    <n v="356.09999999999997"/>
    <n v="1187"/>
    <n v="830.90000000000009"/>
    <s v="Kelly"/>
    <n v="1320"/>
    <s v="Resume (service fee)"/>
    <d v="2024-01-23T00:00:00"/>
    <n v="1"/>
    <s v="In Progress"/>
    <s v="NT"/>
    <s v="64778 Elizabeth Street"/>
    <s v="Alice Springs"/>
    <n v="870"/>
    <n v="600"/>
    <n v="600"/>
    <s v="+61 4 5434 3125"/>
  </r>
  <r>
    <n v="3088"/>
    <s v="Ballard"/>
    <s v="Amir Ballard"/>
    <s v="Amir"/>
    <n v="1321"/>
    <x v="0"/>
    <x v="85"/>
    <n v="3"/>
    <x v="0"/>
    <x v="6"/>
    <n v="0.1"/>
    <n v="77.600000000000009"/>
    <n v="776"/>
    <n v="698.4"/>
    <s v="Priscilla"/>
    <n v="1321"/>
    <s v="Interview Prep"/>
    <d v="2024-04-16T00:00:00"/>
    <n v="1"/>
    <s v="Delivered"/>
    <s v="TAS"/>
    <s v="61223 Elizabeth Street"/>
    <s v="Hobart"/>
    <n v="7000"/>
    <n v="250"/>
    <n v="250"/>
    <s v="+61 2 1302 4663"/>
  </r>
  <r>
    <n v="3089"/>
    <s v="Weber"/>
    <s v="Harvey Weber"/>
    <s v="Harvey"/>
    <n v="1322"/>
    <x v="3"/>
    <x v="86"/>
    <n v="2"/>
    <x v="0"/>
    <x v="2"/>
    <n v="0.2"/>
    <n v="302.8"/>
    <n v="1514"/>
    <n v="1211.2"/>
    <s v="Priscilla"/>
    <n v="1322"/>
    <s v="Networking Strategy"/>
    <d v="2024-07-01T00:00:00"/>
    <n v="3"/>
    <s v="Delivered"/>
    <s v="NSW"/>
    <s v="95202 Park Avenue"/>
    <s v="Wollongong"/>
    <n v="2500"/>
    <n v="250"/>
    <n v="750"/>
    <s v="+61 3 3577 1687"/>
  </r>
  <r>
    <n v="3090"/>
    <s v="Delarosa"/>
    <s v="Joaquin Delarosa"/>
    <s v="Joaquin"/>
    <n v="1323"/>
    <x v="5"/>
    <x v="87"/>
    <n v="1"/>
    <x v="0"/>
    <x v="5"/>
    <n v="0.3"/>
    <n v="306.89999999999998"/>
    <n v="1023"/>
    <n v="716.1"/>
    <s v="Brian"/>
    <n v="1323"/>
    <s v="Resume (service fee)"/>
    <d v="2024-09-25T00:00:00"/>
    <n v="3"/>
    <s v="Delivered"/>
    <s v="SA"/>
    <s v="59287 King Street"/>
    <s v="Mount Gambier"/>
    <n v="5290"/>
    <n v="600"/>
    <n v="1800"/>
    <s v="+61 9 7901 6154"/>
  </r>
  <r>
    <n v="3091"/>
    <s v="Gallagher"/>
    <s v="Adaline Gallagher"/>
    <s v="Adaline"/>
    <n v="1324"/>
    <x v="5"/>
    <x v="88"/>
    <n v="1"/>
    <x v="0"/>
    <x v="7"/>
    <n v="0.3"/>
    <n v="465.59999999999997"/>
    <n v="1552"/>
    <n v="1086.4000000000001"/>
    <s v="Priscilla"/>
    <n v="1324"/>
    <s v="Resume (service fee)"/>
    <d v="2024-11-13T00:00:00"/>
    <n v="1"/>
    <s v="Delivered"/>
    <s v="NT"/>
    <s v="91161 George Street"/>
    <s v="Darwin"/>
    <n v="800"/>
    <n v="600"/>
    <n v="600"/>
    <s v="+61 8 9703 5285"/>
  </r>
  <r>
    <n v="3092"/>
    <s v="Rosales"/>
    <s v="Legacy Rosales"/>
    <s v="Legacy"/>
    <n v="1325"/>
    <x v="0"/>
    <x v="89"/>
    <n v="3"/>
    <x v="2"/>
    <x v="5"/>
    <n v="0.1"/>
    <n v="148"/>
    <n v="1480"/>
    <n v="1332"/>
    <s v="Priscilla"/>
    <n v="1325"/>
    <s v="Interview Prep"/>
    <d v="2024-03-08T00:00:00"/>
    <n v="2"/>
    <s v="Service Booked"/>
    <s v="SA"/>
    <s v="83685 Main Street"/>
    <s v="Adelaide"/>
    <n v="5000"/>
    <n v="250"/>
    <n v="500"/>
    <s v="+61 2 8881 2797"/>
  </r>
  <r>
    <n v="3093"/>
    <s v="Luna"/>
    <s v="Denver Luna"/>
    <s v="Denver"/>
    <n v="1326"/>
    <x v="0"/>
    <x v="90"/>
    <n v="2"/>
    <x v="0"/>
    <x v="6"/>
    <n v="0.1"/>
    <n v="116.9"/>
    <n v="1169"/>
    <n v="1052.0999999999999"/>
    <s v="Daniel"/>
    <n v="1326"/>
    <s v="Interview Prep"/>
    <d v="2024-03-27T00:00:00"/>
    <n v="3"/>
    <s v="Delivered"/>
    <s v="TAS"/>
    <s v="71474 George Street"/>
    <s v="Hobart"/>
    <n v="7000"/>
    <n v="250"/>
    <n v="750"/>
    <s v="+61 7 3849 8517"/>
  </r>
  <r>
    <n v="3094"/>
    <s v="Jaramillo"/>
    <s v="Emanuel Jaramillo"/>
    <s v="Emanuel"/>
    <n v="1327"/>
    <x v="1"/>
    <x v="91"/>
    <n v="1"/>
    <x v="2"/>
    <x v="3"/>
    <n v="0.3"/>
    <n v="276"/>
    <n v="920"/>
    <n v="644"/>
    <s v="Terrence"/>
    <n v="1327"/>
    <s v="Resume + LinkedIn Profile"/>
    <d v="2024-08-15T00:00:00"/>
    <n v="2"/>
    <s v="Service Booked"/>
    <s v="VIC"/>
    <s v="76265 Park Avenue"/>
    <s v="Geelong"/>
    <n v="3220"/>
    <n v="800"/>
    <n v="1600"/>
    <s v="+61 6 5402 6258"/>
  </r>
  <r>
    <n v="3095"/>
    <s v="Crawford"/>
    <s v="Hugo Crawford"/>
    <s v="Hugo"/>
    <n v="1328"/>
    <x v="4"/>
    <x v="92"/>
    <n v="2"/>
    <x v="3"/>
    <x v="7"/>
    <n v="0.25"/>
    <n v="85.25"/>
    <n v="341"/>
    <n v="255.75"/>
    <s v="Terrence"/>
    <n v="1328"/>
    <s v="Mentoring program"/>
    <d v="2024-04-24T00:00:00"/>
    <n v="3"/>
    <s v="Cancelled"/>
    <s v="NT"/>
    <s v="73847 Main Street"/>
    <s v="Darwin"/>
    <n v="800"/>
    <n v="1200"/>
    <n v="3600"/>
    <s v="+61 2 1395 7503"/>
  </r>
  <r>
    <n v="3096"/>
    <s v="Austin"/>
    <s v="Margaret Austin"/>
    <s v="Margaret"/>
    <n v="1329"/>
    <x v="2"/>
    <x v="72"/>
    <n v="3"/>
    <x v="0"/>
    <x v="4"/>
    <n v="0.25"/>
    <n v="151"/>
    <n v="604"/>
    <n v="453"/>
    <s v="Priscilla"/>
    <n v="1329"/>
    <s v="LinkedIn profile"/>
    <d v="2024-04-14T00:00:00"/>
    <n v="2"/>
    <s v="Delivered"/>
    <s v="QLD"/>
    <s v="1932 Main Street"/>
    <s v="Cairns"/>
    <n v="4870"/>
    <n v="300"/>
    <n v="600"/>
    <s v="+61 8 3901 2578"/>
  </r>
  <r>
    <n v="3097"/>
    <s v="Weiss"/>
    <s v="Raphael Weiss"/>
    <s v="Raphael"/>
    <n v="1330"/>
    <x v="0"/>
    <x v="93"/>
    <n v="1"/>
    <x v="2"/>
    <x v="6"/>
    <n v="0.1"/>
    <n v="19.3"/>
    <n v="193"/>
    <n v="173.7"/>
    <s v="Kelly"/>
    <n v="1330"/>
    <s v="Interview Prep"/>
    <d v="2024-05-18T00:00:00"/>
    <n v="1"/>
    <s v="Service Booked"/>
    <s v="TAS"/>
    <s v="53572 George Street"/>
    <s v="Hobart"/>
    <n v="7000"/>
    <n v="250"/>
    <n v="250"/>
    <s v="+61 4 2614 2207"/>
  </r>
  <r>
    <n v="3098"/>
    <s v="Cardenas"/>
    <s v="Myles Cardenas"/>
    <s v="Myles"/>
    <n v="1331"/>
    <x v="4"/>
    <x v="94"/>
    <n v="3"/>
    <x v="2"/>
    <x v="4"/>
    <n v="0.25"/>
    <n v="44"/>
    <n v="176"/>
    <n v="132"/>
    <s v="Terrence"/>
    <n v="1331"/>
    <s v="Mentoring program"/>
    <d v="2024-11-23T00:00:00"/>
    <n v="2"/>
    <s v="Service Booked"/>
    <s v="QLD"/>
    <s v="30861 Main Street"/>
    <s v="Cairns"/>
    <n v="4870"/>
    <n v="1200"/>
    <n v="2400"/>
    <s v="+61 2 7447 5070"/>
  </r>
  <r>
    <n v="3099"/>
    <s v="Cruz"/>
    <s v="Alexis Cruz"/>
    <s v="Alexis"/>
    <n v="1332"/>
    <x v="4"/>
    <x v="95"/>
    <n v="2"/>
    <x v="0"/>
    <x v="2"/>
    <n v="0.25"/>
    <n v="231.5"/>
    <n v="926"/>
    <n v="694.5"/>
    <s v="Daniel"/>
    <n v="1332"/>
    <s v="Mentoring program"/>
    <d v="2024-05-26T00:00:00"/>
    <n v="2"/>
    <s v="Delivered"/>
    <s v="NSW"/>
    <s v="48778 Park Avenue"/>
    <s v="Wollongong"/>
    <n v="2500"/>
    <n v="1200"/>
    <n v="2400"/>
    <s v="+61 7 3269 4746"/>
  </r>
  <r>
    <n v="3100"/>
    <s v="Mcbride"/>
    <s v="Ellis Mcbride"/>
    <s v="Ellis"/>
    <n v="1333"/>
    <x v="2"/>
    <x v="96"/>
    <n v="3"/>
    <x v="2"/>
    <x v="5"/>
    <n v="0.25"/>
    <n v="101"/>
    <n v="404"/>
    <n v="303"/>
    <s v="Kelly"/>
    <n v="1333"/>
    <s v="LinkedIn profile"/>
    <d v="2024-11-20T00:00:00"/>
    <n v="2"/>
    <s v="Service Booked"/>
    <s v="SA"/>
    <s v="25494 King Street"/>
    <s v="Mount Gambier"/>
    <n v="5290"/>
    <n v="300"/>
    <n v="600"/>
    <s v="+61 9 3545 4286"/>
  </r>
  <r>
    <n v="3101"/>
    <s v="Singh"/>
    <s v="Zuri Singh"/>
    <s v="Zuri"/>
    <n v="1334"/>
    <x v="0"/>
    <x v="97"/>
    <n v="1"/>
    <x v="0"/>
    <x v="7"/>
    <n v="0.1"/>
    <n v="155.4"/>
    <n v="1554"/>
    <n v="1398.6"/>
    <s v="Terrence"/>
    <n v="1334"/>
    <s v="Interview Prep"/>
    <d v="2024-04-25T00:00:00"/>
    <n v="2"/>
    <s v="Delivered"/>
    <s v="NT"/>
    <s v="63594 Elizabeth Street"/>
    <s v="Darwin"/>
    <n v="800"/>
    <n v="250"/>
    <n v="500"/>
    <s v="+61 6 1507 3766"/>
  </r>
  <r>
    <n v="3102"/>
    <s v="Winters"/>
    <s v="Annie Winters"/>
    <s v="Annie"/>
    <n v="1335"/>
    <x v="3"/>
    <x v="39"/>
    <n v="1"/>
    <x v="0"/>
    <x v="0"/>
    <n v="0.2"/>
    <n v="331.6"/>
    <n v="1658"/>
    <n v="1326.4"/>
    <s v="Priscilla"/>
    <n v="1335"/>
    <s v="Networking Strategy"/>
    <d v="2024-05-19T00:00:00"/>
    <n v="3"/>
    <s v="Delivered"/>
    <s v="WA"/>
    <s v="50808 King Street"/>
    <s v="Perth"/>
    <n v="6000"/>
    <n v="250"/>
    <n v="750"/>
    <s v="+61 6 4695 4722"/>
  </r>
  <r>
    <n v="3103"/>
    <s v="Garcia"/>
    <s v="Dakota Garcia"/>
    <s v="Dakota"/>
    <n v="1336"/>
    <x v="5"/>
    <x v="98"/>
    <n v="3"/>
    <x v="2"/>
    <x v="5"/>
    <n v="0.3"/>
    <n v="324"/>
    <n v="1080"/>
    <n v="756"/>
    <s v="Priscilla"/>
    <n v="1336"/>
    <s v="Resume (service fee)"/>
    <d v="2024-12-25T00:00:00"/>
    <n v="1"/>
    <s v="Service Booked"/>
    <s v="SA"/>
    <s v="42884 George Street"/>
    <s v="Whyalla"/>
    <n v="5600"/>
    <n v="600"/>
    <n v="600"/>
    <s v="+61 7 6592 8091"/>
  </r>
  <r>
    <n v="3104"/>
    <s v="Mcbride"/>
    <s v="Luke Mcbride"/>
    <s v="Luke"/>
    <n v="1337"/>
    <x v="4"/>
    <x v="99"/>
    <n v="2"/>
    <x v="0"/>
    <x v="4"/>
    <n v="0.25"/>
    <n v="73.5"/>
    <n v="294"/>
    <n v="220.5"/>
    <s v="Terrence"/>
    <n v="1337"/>
    <s v="Mentoring program"/>
    <d v="2024-07-20T00:00:00"/>
    <n v="3"/>
    <s v="Delivered"/>
    <s v="QLD"/>
    <s v="95531 Main Street"/>
    <s v="Cairns"/>
    <n v="4870"/>
    <n v="1200"/>
    <n v="3600"/>
    <s v="+61 7 8539 7050"/>
  </r>
  <r>
    <n v="3105"/>
    <s v="Frye"/>
    <s v="Jasiah Frye"/>
    <s v="Jasiah"/>
    <n v="1338"/>
    <x v="0"/>
    <x v="100"/>
    <n v="3"/>
    <x v="0"/>
    <x v="2"/>
    <n v="0.1"/>
    <n v="130.70000000000002"/>
    <n v="1307"/>
    <n v="1176.3"/>
    <s v="Brian"/>
    <n v="1338"/>
    <s v="Interview Prep"/>
    <d v="2024-06-10T00:00:00"/>
    <n v="2"/>
    <s v="Delivered"/>
    <s v="NSW"/>
    <s v="16269 King Street"/>
    <s v="Newcastle"/>
    <n v="2300"/>
    <n v="250"/>
    <n v="500"/>
    <s v="+61 3 3040 9752"/>
  </r>
  <r>
    <n v="3106"/>
    <s v="Xiong"/>
    <s v="Selah Xiong"/>
    <s v="Selah"/>
    <n v="1339"/>
    <x v="3"/>
    <x v="101"/>
    <n v="3"/>
    <x v="0"/>
    <x v="0"/>
    <n v="0.2"/>
    <n v="113.4"/>
    <n v="567"/>
    <n v="453.6"/>
    <s v="Brian"/>
    <n v="1339"/>
    <s v="Networking Strategy"/>
    <d v="2024-07-17T00:00:00"/>
    <n v="2"/>
    <s v="Delivered"/>
    <s v="WA"/>
    <s v="3487 King Street"/>
    <s v="Broome"/>
    <n v="6725"/>
    <n v="250"/>
    <n v="500"/>
    <s v="+61 7 1593 9784"/>
  </r>
  <r>
    <n v="3107"/>
    <s v="Pearson"/>
    <s v="Amira Pearson"/>
    <s v="Amira"/>
    <n v="1340"/>
    <x v="3"/>
    <x v="22"/>
    <n v="1"/>
    <x v="0"/>
    <x v="0"/>
    <n v="0.2"/>
    <n v="24"/>
    <n v="120"/>
    <n v="96"/>
    <s v="Daniel"/>
    <n v="1340"/>
    <s v="Networking Strategy"/>
    <d v="2024-04-18T00:00:00"/>
    <n v="3"/>
    <s v="Delivered"/>
    <s v="WA"/>
    <s v="3099 Park Avenue"/>
    <s v="Broome"/>
    <n v="6725"/>
    <n v="250"/>
    <n v="750"/>
    <s v="+61 6 3768 2860"/>
  </r>
  <r>
    <n v="3108"/>
    <s v="Castaneda"/>
    <s v="Rylee Castaneda"/>
    <s v="Rylee"/>
    <n v="1341"/>
    <x v="1"/>
    <x v="102"/>
    <n v="2"/>
    <x v="2"/>
    <x v="2"/>
    <n v="0.3"/>
    <n v="259.5"/>
    <n v="865"/>
    <n v="605.5"/>
    <s v="Terrence"/>
    <n v="1341"/>
    <s v="Resume + LinkedIn Profile"/>
    <d v="2024-10-16T00:00:00"/>
    <n v="3"/>
    <s v="Service Booked"/>
    <s v="NSW"/>
    <s v="98534 Main Street"/>
    <s v="Wollongong"/>
    <n v="2500"/>
    <n v="800"/>
    <n v="2400"/>
    <s v="+61 2 6480 2898"/>
  </r>
  <r>
    <n v="3109"/>
    <s v="Jarvis"/>
    <s v="Adelina Jarvis"/>
    <s v="Adelina"/>
    <n v="1342"/>
    <x v="4"/>
    <x v="103"/>
    <n v="3"/>
    <x v="2"/>
    <x v="4"/>
    <n v="0.25"/>
    <n v="444.25"/>
    <n v="1777"/>
    <n v="1332.75"/>
    <s v="Priscilla"/>
    <n v="1342"/>
    <s v="Mentoring program"/>
    <d v="2024-04-30T00:00:00"/>
    <n v="1"/>
    <s v="Service Booked"/>
    <s v="QLD"/>
    <s v="76592 George Street"/>
    <s v="Brisbane"/>
    <n v="4000"/>
    <n v="1200"/>
    <n v="1200"/>
    <s v="+61 3 4656 7360"/>
  </r>
  <r>
    <n v="3110"/>
    <s v="Fields"/>
    <s v="Adelynn Fields"/>
    <s v="Adelynn"/>
    <n v="1343"/>
    <x v="3"/>
    <x v="104"/>
    <n v="2"/>
    <x v="2"/>
    <x v="5"/>
    <n v="0.2"/>
    <n v="245.20000000000002"/>
    <n v="1226"/>
    <n v="980.8"/>
    <s v="Brian"/>
    <n v="1343"/>
    <s v="Networking Strategy"/>
    <d v="2024-02-21T00:00:00"/>
    <n v="3"/>
    <s v="Service Booked"/>
    <s v="SA"/>
    <s v="82936 Elizabeth Street"/>
    <s v="Adelaide"/>
    <n v="5000"/>
    <n v="250"/>
    <n v="750"/>
    <s v="+61 7 4900 6201"/>
  </r>
  <r>
    <n v="3111"/>
    <s v="Keller"/>
    <s v="Miguel Keller"/>
    <s v="Miguel"/>
    <n v="1344"/>
    <x v="4"/>
    <x v="105"/>
    <n v="3"/>
    <x v="3"/>
    <x v="5"/>
    <n v="0.25"/>
    <n v="418.5"/>
    <n v="1674"/>
    <n v="1255.5"/>
    <s v="Kelly"/>
    <n v="1344"/>
    <s v="Mentoring program"/>
    <d v="2024-07-16T00:00:00"/>
    <n v="3"/>
    <s v="Cancelled"/>
    <s v="SA"/>
    <s v="86447 Main Street"/>
    <s v="Adelaide"/>
    <n v="5000"/>
    <n v="1200"/>
    <n v="3600"/>
    <s v="+61 6 8714 3821"/>
  </r>
  <r>
    <n v="3112"/>
    <s v="Rosales"/>
    <s v="Clara Rosales"/>
    <s v="Clara"/>
    <n v="1345"/>
    <x v="0"/>
    <x v="106"/>
    <n v="2"/>
    <x v="2"/>
    <x v="4"/>
    <n v="0.1"/>
    <n v="167.60000000000002"/>
    <n v="1676"/>
    <n v="1508.4"/>
    <s v="Priscilla"/>
    <n v="1345"/>
    <s v="Interview Prep"/>
    <d v="2024-07-07T00:00:00"/>
    <n v="1"/>
    <s v="Service Booked"/>
    <s v="QLD"/>
    <s v="5229 Park Avenue"/>
    <s v="Gold Coast"/>
    <n v="4217"/>
    <n v="250"/>
    <n v="250"/>
    <s v="+61 9 6012 6163"/>
  </r>
  <r>
    <n v="3113"/>
    <s v="Ali"/>
    <s v="Ronin Ali"/>
    <s v="Ronin"/>
    <n v="1346"/>
    <x v="1"/>
    <x v="107"/>
    <n v="2"/>
    <x v="2"/>
    <x v="4"/>
    <n v="0.3"/>
    <n v="143.1"/>
    <n v="477"/>
    <n v="333.9"/>
    <s v="Brian"/>
    <n v="1346"/>
    <s v="Resume + LinkedIn Profile"/>
    <d v="2024-12-27T00:00:00"/>
    <n v="2"/>
    <s v="Service Booked"/>
    <s v="QLD"/>
    <s v="50484 George Street"/>
    <s v="Cairns"/>
    <n v="4870"/>
    <n v="800"/>
    <n v="1600"/>
    <s v="+61 9 2865 3419"/>
  </r>
  <r>
    <n v="3114"/>
    <s v="Bartlett"/>
    <s v="Joshua Bartlett"/>
    <s v="Joshua"/>
    <n v="1347"/>
    <x v="2"/>
    <x v="108"/>
    <n v="1"/>
    <x v="0"/>
    <x v="6"/>
    <n v="0.25"/>
    <n v="259.25"/>
    <n v="1037"/>
    <n v="777.75"/>
    <s v="Priscilla"/>
    <n v="1347"/>
    <s v="LinkedIn profile"/>
    <d v="2024-07-08T00:00:00"/>
    <n v="3"/>
    <s v="Delivered"/>
    <s v="TAS"/>
    <s v="75404 Elizabeth Street"/>
    <s v="Launceston"/>
    <n v="7250"/>
    <n v="300"/>
    <n v="900"/>
    <s v="+61 2 2849 9015"/>
  </r>
  <r>
    <n v="3115"/>
    <s v="Gallagher"/>
    <s v="Kate Gallagher"/>
    <s v="Kate"/>
    <n v="1348"/>
    <x v="1"/>
    <x v="109"/>
    <n v="3"/>
    <x v="2"/>
    <x v="5"/>
    <n v="0.3"/>
    <n v="77.7"/>
    <n v="259"/>
    <n v="181.3"/>
    <s v="Terrence"/>
    <n v="1348"/>
    <s v="Resume + LinkedIn Profile"/>
    <d v="2024-01-14T00:00:00"/>
    <n v="1"/>
    <s v="Service Booked"/>
    <s v="SA"/>
    <s v="70259 Main Street"/>
    <s v="Adelaide"/>
    <n v="5000"/>
    <n v="800"/>
    <n v="800"/>
    <s v="+61 5 1573 1844"/>
  </r>
  <r>
    <n v="3116"/>
    <s v="Flynn"/>
    <s v="Daphne Flynn"/>
    <s v="Daphne"/>
    <n v="1349"/>
    <x v="5"/>
    <x v="110"/>
    <n v="2"/>
    <x v="0"/>
    <x v="1"/>
    <n v="0.3"/>
    <n v="397.5"/>
    <n v="1325"/>
    <n v="927.5"/>
    <s v="Priscilla"/>
    <n v="1349"/>
    <s v="Resume (service fee)"/>
    <d v="2024-03-14T00:00:00"/>
    <n v="1"/>
    <s v="Delivered"/>
    <s v="ACT"/>
    <s v="23875 Elizabeth Street"/>
    <s v="Canberra"/>
    <n v="2600"/>
    <n v="600"/>
    <n v="600"/>
    <s v="+61 5 2774 5791"/>
  </r>
  <r>
    <n v="3117"/>
    <s v="Maldonado"/>
    <s v="Elise Maldonado"/>
    <s v="Elise"/>
    <n v="1350"/>
    <x v="4"/>
    <x v="16"/>
    <n v="2"/>
    <x v="2"/>
    <x v="2"/>
    <n v="0.25"/>
    <n v="436.25"/>
    <n v="1745"/>
    <n v="1308.75"/>
    <s v="Daniel"/>
    <n v="1350"/>
    <s v="Mentoring program"/>
    <d v="2024-12-19T00:00:00"/>
    <n v="2"/>
    <s v="Service Booked"/>
    <s v="NSW"/>
    <s v="15337 Elizabeth Street"/>
    <s v="Wollongong"/>
    <n v="2500"/>
    <n v="1200"/>
    <n v="2400"/>
    <s v="+61 3 9180 5756"/>
  </r>
  <r>
    <n v="3118"/>
    <s v="Townsend"/>
    <s v="Charles Townsend"/>
    <s v="Charles"/>
    <n v="1351"/>
    <x v="5"/>
    <x v="56"/>
    <n v="3"/>
    <x v="2"/>
    <x v="6"/>
    <n v="0.3"/>
    <n v="201.9"/>
    <n v="673"/>
    <n v="471.1"/>
    <s v="Brian"/>
    <n v="1351"/>
    <s v="Resume (service fee)"/>
    <d v="2024-03-20T00:00:00"/>
    <n v="3"/>
    <s v="Service Booked"/>
    <s v="TAS"/>
    <s v="21261 Elizabeth Street"/>
    <s v="Devonport"/>
    <n v="7310"/>
    <n v="600"/>
    <n v="1800"/>
    <s v="+61 2 2601 5037"/>
  </r>
  <r>
    <n v="3119"/>
    <s v="Pollard"/>
    <s v="Rory Pollard"/>
    <s v="Rory"/>
    <n v="1352"/>
    <x v="2"/>
    <x v="111"/>
    <n v="2"/>
    <x v="1"/>
    <x v="5"/>
    <n v="0.25"/>
    <n v="271.5"/>
    <n v="1086"/>
    <n v="814.5"/>
    <s v="Kelly"/>
    <n v="1352"/>
    <s v="LinkedIn profile"/>
    <d v="2024-11-25T00:00:00"/>
    <n v="3"/>
    <s v="In Progress"/>
    <s v="SA"/>
    <s v="92297 Elizabeth Street"/>
    <s v="Adelaide"/>
    <n v="5000"/>
    <n v="300"/>
    <n v="900"/>
    <s v="+61 9 5347 3197"/>
  </r>
  <r>
    <n v="3120"/>
    <s v="Clark"/>
    <s v="Zion Clark"/>
    <s v="Zion"/>
    <n v="1353"/>
    <x v="4"/>
    <x v="112"/>
    <n v="3"/>
    <x v="0"/>
    <x v="5"/>
    <n v="0.25"/>
    <n v="47.25"/>
    <n v="189"/>
    <n v="141.75"/>
    <s v="Brian"/>
    <n v="1353"/>
    <s v="Mentoring program"/>
    <d v="2024-06-05T00:00:00"/>
    <n v="2"/>
    <s v="Delivered"/>
    <s v="SA"/>
    <s v="68017 Main Street"/>
    <s v="Mount Gambier"/>
    <n v="5290"/>
    <n v="1200"/>
    <n v="2400"/>
    <s v="+61 4 4586 1728"/>
  </r>
  <r>
    <n v="3121"/>
    <s v="Randolph"/>
    <s v="Joaquin Randolph"/>
    <s v="Joaquin"/>
    <n v="1354"/>
    <x v="5"/>
    <x v="47"/>
    <n v="1"/>
    <x v="0"/>
    <x v="4"/>
    <n v="0.3"/>
    <n v="176.7"/>
    <n v="589"/>
    <n v="412.3"/>
    <s v="Priscilla"/>
    <n v="1354"/>
    <s v="Resume (service fee)"/>
    <d v="2024-08-01T00:00:00"/>
    <n v="2"/>
    <s v="Delivered"/>
    <s v="QLD"/>
    <s v="40096 George Street"/>
    <s v="Gold Coast"/>
    <n v="4217"/>
    <n v="600"/>
    <n v="1200"/>
    <s v="+61 4 3356 9902"/>
  </r>
  <r>
    <n v="3122"/>
    <s v="Guerra"/>
    <s v="Edgar Guerra"/>
    <s v="Edgar"/>
    <n v="1355"/>
    <x v="2"/>
    <x v="79"/>
    <n v="3"/>
    <x v="0"/>
    <x v="7"/>
    <n v="0.25"/>
    <n v="108"/>
    <n v="432"/>
    <n v="324"/>
    <s v="Brian"/>
    <n v="1355"/>
    <s v="LinkedIn profile"/>
    <d v="2024-08-14T00:00:00"/>
    <n v="2"/>
    <s v="Delivered"/>
    <s v="NT"/>
    <s v="77866 Elizabeth Street"/>
    <s v="Alice Springs"/>
    <n v="870"/>
    <n v="300"/>
    <n v="600"/>
    <s v="+61 2 3917 9548"/>
  </r>
  <r>
    <n v="3123"/>
    <s v="Johnston"/>
    <s v="Ace Johnston"/>
    <s v="Ace"/>
    <n v="1356"/>
    <x v="3"/>
    <x v="113"/>
    <n v="3"/>
    <x v="2"/>
    <x v="1"/>
    <n v="0.2"/>
    <n v="304.60000000000002"/>
    <n v="1523"/>
    <n v="1218.4000000000001"/>
    <s v="Priscilla"/>
    <n v="1356"/>
    <s v="Networking Strategy"/>
    <d v="2024-04-17T00:00:00"/>
    <n v="1"/>
    <s v="Service Booked"/>
    <s v="ACT"/>
    <s v="50865 Park Avenue"/>
    <s v="Canberra"/>
    <n v="2600"/>
    <n v="250"/>
    <n v="250"/>
    <s v="+61 8 2589 3473"/>
  </r>
  <r>
    <n v="3124"/>
    <s v="Kemp"/>
    <s v="Amy Kemp"/>
    <s v="Amy"/>
    <n v="1357"/>
    <x v="0"/>
    <x v="114"/>
    <n v="1"/>
    <x v="0"/>
    <x v="0"/>
    <n v="0.1"/>
    <n v="162.9"/>
    <n v="1629"/>
    <n v="1466.1"/>
    <s v="Terrence"/>
    <n v="1357"/>
    <s v="Interview Prep"/>
    <d v="2024-08-28T00:00:00"/>
    <n v="1"/>
    <s v="Delivered"/>
    <s v="WA"/>
    <s v="76983 Main Street"/>
    <s v="Fremantle"/>
    <n v="6160"/>
    <n v="250"/>
    <n v="250"/>
    <s v="+61 7 2265 7067"/>
  </r>
  <r>
    <n v="3125"/>
    <s v="Berger"/>
    <s v="Avianna Berger"/>
    <s v="Avianna"/>
    <n v="1358"/>
    <x v="2"/>
    <x v="115"/>
    <n v="3"/>
    <x v="1"/>
    <x v="3"/>
    <n v="0.25"/>
    <n v="260.5"/>
    <n v="1042"/>
    <n v="781.5"/>
    <s v="Kelly"/>
    <n v="1358"/>
    <s v="LinkedIn profile"/>
    <d v="2024-02-10T00:00:00"/>
    <n v="3"/>
    <s v="In Progress"/>
    <s v="VIC"/>
    <s v="79205 King Street"/>
    <s v="Ballarat"/>
    <n v="3350"/>
    <n v="300"/>
    <n v="900"/>
    <s v="+61 6 1192 5957"/>
  </r>
  <r>
    <n v="3126"/>
    <s v="Hogan"/>
    <s v="Bryce Hogan"/>
    <s v="Bryce"/>
    <n v="1359"/>
    <x v="4"/>
    <x v="3"/>
    <n v="2"/>
    <x v="2"/>
    <x v="6"/>
    <n v="0.25"/>
    <n v="103.25"/>
    <n v="413"/>
    <n v="309.75"/>
    <s v="Priscilla"/>
    <n v="1359"/>
    <s v="Mentoring program"/>
    <d v="2024-06-26T00:00:00"/>
    <n v="3"/>
    <s v="Service Booked"/>
    <s v="TAS"/>
    <s v="95057 George Street"/>
    <s v="Devonport"/>
    <n v="7310"/>
    <n v="1200"/>
    <n v="3600"/>
    <s v="+61 7 9133 7546"/>
  </r>
  <r>
    <n v="3127"/>
    <s v="Castaneda"/>
    <s v="Princeton Castaneda"/>
    <s v="Princeton"/>
    <n v="1360"/>
    <x v="4"/>
    <x v="116"/>
    <n v="2"/>
    <x v="0"/>
    <x v="1"/>
    <n v="0.25"/>
    <n v="361.5"/>
    <n v="1446"/>
    <n v="1084.5"/>
    <s v="Priscilla"/>
    <n v="1360"/>
    <s v="Mentoring program"/>
    <d v="2024-04-06T00:00:00"/>
    <n v="3"/>
    <s v="Delivered"/>
    <s v="ACT"/>
    <s v="91500 George Street"/>
    <s v="Canberra"/>
    <n v="2600"/>
    <n v="1200"/>
    <n v="3600"/>
    <s v="+61 9 3571 6748"/>
  </r>
  <r>
    <n v="3128"/>
    <s v="Griffin"/>
    <s v="Isabella Griffin"/>
    <s v="Isabella"/>
    <n v="1361"/>
    <x v="3"/>
    <x v="40"/>
    <n v="1"/>
    <x v="1"/>
    <x v="1"/>
    <n v="0.2"/>
    <n v="3.8000000000000003"/>
    <n v="19"/>
    <n v="15.2"/>
    <s v="Priscilla"/>
    <n v="1361"/>
    <s v="Networking Strategy"/>
    <d v="2024-10-07T00:00:00"/>
    <n v="3"/>
    <s v="In Progress"/>
    <s v="ACT"/>
    <s v="60329 Main Street"/>
    <s v="Canberra"/>
    <n v="2600"/>
    <n v="250"/>
    <n v="750"/>
    <s v="+61 2 4485 1979"/>
  </r>
  <r>
    <n v="3129"/>
    <s v="Costa"/>
    <s v="Charlie Costa"/>
    <s v="Charlie"/>
    <n v="1362"/>
    <x v="4"/>
    <x v="117"/>
    <n v="3"/>
    <x v="2"/>
    <x v="0"/>
    <n v="0.25"/>
    <n v="4.5"/>
    <n v="18"/>
    <n v="13.5"/>
    <s v="Kelly"/>
    <n v="1362"/>
    <s v="Mentoring program"/>
    <d v="2024-12-13T00:00:00"/>
    <n v="2"/>
    <s v="Service Booked"/>
    <s v="WA"/>
    <s v="81659 King Street"/>
    <s v="Fremantle"/>
    <n v="6160"/>
    <n v="1200"/>
    <n v="2400"/>
    <s v="+61 3 3035 2375"/>
  </r>
  <r>
    <n v="3130"/>
    <s v="Schmitt"/>
    <s v="Aliyah Schmitt"/>
    <s v="Aliyah"/>
    <n v="1363"/>
    <x v="4"/>
    <x v="66"/>
    <n v="1"/>
    <x v="1"/>
    <x v="4"/>
    <n v="0.25"/>
    <n v="168.75"/>
    <n v="675"/>
    <n v="506.25"/>
    <s v="Brian"/>
    <n v="1363"/>
    <s v="Mentoring program"/>
    <d v="2024-03-03T00:00:00"/>
    <n v="2"/>
    <s v="In Progress"/>
    <s v="QLD"/>
    <s v="94708 Elizabeth Street"/>
    <s v="Cairns"/>
    <n v="4870"/>
    <n v="1200"/>
    <n v="2400"/>
    <s v="+61 2 1570 2706"/>
  </r>
  <r>
    <n v="3131"/>
    <s v="Holloway"/>
    <s v="Raven Holloway"/>
    <s v="Raven"/>
    <n v="1364"/>
    <x v="4"/>
    <x v="118"/>
    <n v="2"/>
    <x v="2"/>
    <x v="5"/>
    <n v="0.25"/>
    <n v="279.25"/>
    <n v="1117"/>
    <n v="837.75"/>
    <s v="Terrence"/>
    <n v="1364"/>
    <s v="Mentoring program"/>
    <d v="2024-01-01T00:00:00"/>
    <n v="3"/>
    <s v="Service Booked"/>
    <s v="SA"/>
    <s v="75058 King Street"/>
    <s v="Whyalla"/>
    <n v="5600"/>
    <n v="1200"/>
    <n v="3600"/>
    <s v="+61 2 4909 4507"/>
  </r>
  <r>
    <n v="3132"/>
    <s v="Kirby"/>
    <s v="Malik Kirby"/>
    <s v="Malik"/>
    <n v="1365"/>
    <x v="2"/>
    <x v="119"/>
    <n v="1"/>
    <x v="2"/>
    <x v="1"/>
    <n v="0.25"/>
    <n v="341.5"/>
    <n v="1366"/>
    <n v="1024.5"/>
    <s v="Kelly"/>
    <n v="1365"/>
    <s v="LinkedIn profile"/>
    <d v="2024-01-19T00:00:00"/>
    <n v="3"/>
    <s v="Service Booked"/>
    <s v="ACT"/>
    <s v="9218 Elizabeth Street"/>
    <s v="Canberra"/>
    <n v="2600"/>
    <n v="300"/>
    <n v="900"/>
    <s v="+61 9 3631 8970"/>
  </r>
  <r>
    <n v="3133"/>
    <s v="Schwartz"/>
    <s v="Kylo Schwartz"/>
    <s v="Kylo"/>
    <n v="1366"/>
    <x v="4"/>
    <x v="57"/>
    <n v="1"/>
    <x v="3"/>
    <x v="6"/>
    <n v="0.25"/>
    <n v="326.5"/>
    <n v="1306"/>
    <n v="979.5"/>
    <s v="Daniel"/>
    <n v="1366"/>
    <s v="Mentoring program"/>
    <d v="2024-11-16T00:00:00"/>
    <n v="3"/>
    <s v="Cancelled"/>
    <s v="TAS"/>
    <s v="78520 Park Avenue"/>
    <s v="Hobart"/>
    <n v="7000"/>
    <n v="1200"/>
    <n v="3600"/>
    <s v="+61 8 7579 9079"/>
  </r>
  <r>
    <n v="3134"/>
    <s v="Salazar"/>
    <s v="Jeremy Salazar"/>
    <s v="Jeremy"/>
    <n v="1367"/>
    <x v="1"/>
    <x v="120"/>
    <n v="2"/>
    <x v="2"/>
    <x v="5"/>
    <n v="0.3"/>
    <n v="433.2"/>
    <n v="1444"/>
    <n v="1010.8"/>
    <s v="Priscilla"/>
    <n v="1367"/>
    <s v="Resume + LinkedIn Profile"/>
    <d v="2024-08-17T00:00:00"/>
    <n v="2"/>
    <s v="Service Booked"/>
    <s v="SA"/>
    <s v="21614 King Street"/>
    <s v="Whyalla"/>
    <n v="5600"/>
    <n v="800"/>
    <n v="1600"/>
    <s v="+61 8 3186 1254"/>
  </r>
  <r>
    <n v="3135"/>
    <s v="Bartlett"/>
    <s v="Oscar Bartlett"/>
    <s v="Oscar"/>
    <n v="1368"/>
    <x v="1"/>
    <x v="70"/>
    <n v="1"/>
    <x v="1"/>
    <x v="6"/>
    <n v="0.3"/>
    <n v="74.7"/>
    <n v="249"/>
    <n v="174.3"/>
    <s v="Daniel"/>
    <n v="1368"/>
    <s v="Resume + LinkedIn Profile"/>
    <d v="2024-07-12T00:00:00"/>
    <n v="3"/>
    <s v="In Progress"/>
    <s v="TAS"/>
    <s v="9856 King Street"/>
    <s v="Hobart"/>
    <n v="7000"/>
    <n v="800"/>
    <n v="2400"/>
    <s v="+61 3 5206 7089"/>
  </r>
  <r>
    <n v="3136"/>
    <s v="Montgomery"/>
    <s v="Harvey Montgomery"/>
    <s v="Harvey"/>
    <n v="1369"/>
    <x v="4"/>
    <x v="121"/>
    <n v="2"/>
    <x v="2"/>
    <x v="4"/>
    <n v="0.25"/>
    <n v="248.5"/>
    <n v="994"/>
    <n v="745.5"/>
    <s v="Brian"/>
    <n v="1369"/>
    <s v="Mentoring program"/>
    <d v="2024-09-11T00:00:00"/>
    <n v="2"/>
    <s v="Service Booked"/>
    <s v="QLD"/>
    <s v="27793 Park Avenue"/>
    <s v="Brisbane"/>
    <n v="4000"/>
    <n v="1200"/>
    <n v="2400"/>
    <s v="+61 6 4646 9808"/>
  </r>
  <r>
    <n v="3137"/>
    <s v="Vo"/>
    <s v="Kai Vo"/>
    <s v="Kai"/>
    <n v="1370"/>
    <x v="4"/>
    <x v="122"/>
    <n v="3"/>
    <x v="1"/>
    <x v="7"/>
    <n v="0.25"/>
    <n v="264.75"/>
    <n v="1059"/>
    <n v="794.25"/>
    <s v="Kelly"/>
    <n v="1370"/>
    <s v="Mentoring program"/>
    <d v="2024-10-03T00:00:00"/>
    <n v="2"/>
    <s v="In Progress"/>
    <s v="NT"/>
    <s v="92479 George Street"/>
    <s v="Alice Springs"/>
    <n v="870"/>
    <n v="1200"/>
    <n v="2400"/>
    <s v="+61 4 8872 4964"/>
  </r>
  <r>
    <n v="3138"/>
    <s v="Velazquez"/>
    <s v="Nico Velazquez"/>
    <s v="Nico"/>
    <n v="1371"/>
    <x v="5"/>
    <x v="123"/>
    <n v="1"/>
    <x v="0"/>
    <x v="2"/>
    <n v="0.3"/>
    <n v="51.3"/>
    <n v="171"/>
    <n v="119.7"/>
    <s v="Kelly"/>
    <n v="1371"/>
    <s v="Resume (service fee)"/>
    <d v="2024-05-17T00:00:00"/>
    <n v="3"/>
    <s v="Delivered"/>
    <s v="NSW"/>
    <s v="36128 Park Avenue"/>
    <s v="Wollongong"/>
    <n v="2500"/>
    <n v="600"/>
    <n v="1800"/>
    <s v="+61 2 1213 2983"/>
  </r>
  <r>
    <n v="3139"/>
    <s v="Vasquez"/>
    <s v="Lucy Vasquez"/>
    <s v="Lucy"/>
    <n v="1372"/>
    <x v="1"/>
    <x v="124"/>
    <n v="1"/>
    <x v="0"/>
    <x v="7"/>
    <n v="0.3"/>
    <n v="179.4"/>
    <n v="598"/>
    <n v="418.6"/>
    <s v="Brian"/>
    <n v="1372"/>
    <s v="Resume + LinkedIn Profile"/>
    <d v="2024-06-23T00:00:00"/>
    <n v="1"/>
    <s v="Delivered"/>
    <s v="NT"/>
    <s v="55514 Main Street"/>
    <s v="Alice Springs"/>
    <n v="870"/>
    <n v="800"/>
    <n v="800"/>
    <s v="+61 8 6491 7251"/>
  </r>
  <r>
    <n v="3140"/>
    <s v="Shepherd"/>
    <s v="Charli Shepherd"/>
    <s v="Charli"/>
    <n v="1373"/>
    <x v="0"/>
    <x v="125"/>
    <n v="1"/>
    <x v="1"/>
    <x v="1"/>
    <n v="0.1"/>
    <n v="59.1"/>
    <n v="591"/>
    <n v="531.9"/>
    <s v="Brian"/>
    <n v="1373"/>
    <s v="Interview Prep"/>
    <d v="2024-02-22T00:00:00"/>
    <n v="1"/>
    <s v="In Progress"/>
    <s v="ACT"/>
    <s v="92328 George Street"/>
    <s v="Canberra"/>
    <n v="2600"/>
    <n v="250"/>
    <n v="250"/>
    <s v="+61 3 7088 1359"/>
  </r>
  <r>
    <n v="3140"/>
    <s v="Shepherd"/>
    <s v="Charli Shepherd"/>
    <s v="Charli"/>
    <n v="1373"/>
    <x v="0"/>
    <x v="125"/>
    <n v="1"/>
    <x v="1"/>
    <x v="1"/>
    <n v="0.1"/>
    <n v="59.1"/>
    <n v="591"/>
    <n v="531.9"/>
    <s v="Brian"/>
    <n v="1373"/>
    <s v="Mentoring program"/>
    <d v="2024-04-23T00:00:00"/>
    <n v="2"/>
    <s v="Service Booked"/>
    <s v="NT"/>
    <s v="65657 George Street"/>
    <s v="Alice Springs"/>
    <n v="870"/>
    <n v="1200"/>
    <n v="2400"/>
    <s v="+61 9 1378 2610"/>
  </r>
  <r>
    <n v="3382"/>
    <s v="Shepherd"/>
    <s v="Charli Shepherd"/>
    <s v="Charli"/>
    <n v="1373"/>
    <x v="4"/>
    <x v="126"/>
    <n v="2"/>
    <x v="2"/>
    <x v="7"/>
    <n v="0.25"/>
    <n v="144.75"/>
    <n v="579"/>
    <n v="434.25"/>
    <s v="Terrence"/>
    <n v="1373"/>
    <s v="Interview Prep"/>
    <d v="2024-02-22T00:00:00"/>
    <n v="1"/>
    <s v="In Progress"/>
    <s v="ACT"/>
    <s v="92328 George Street"/>
    <s v="Canberra"/>
    <n v="2600"/>
    <n v="250"/>
    <n v="250"/>
    <s v="+61 3 7088 1359"/>
  </r>
  <r>
    <n v="3382"/>
    <s v="Shepherd"/>
    <s v="Charli Shepherd"/>
    <s v="Charli"/>
    <n v="1373"/>
    <x v="4"/>
    <x v="126"/>
    <n v="2"/>
    <x v="2"/>
    <x v="7"/>
    <n v="0.25"/>
    <n v="144.75"/>
    <n v="579"/>
    <n v="434.25"/>
    <s v="Terrence"/>
    <n v="1373"/>
    <s v="Mentoring program"/>
    <d v="2024-04-23T00:00:00"/>
    <n v="2"/>
    <s v="Service Booked"/>
    <s v="NT"/>
    <s v="65657 George Street"/>
    <s v="Alice Springs"/>
    <n v="870"/>
    <n v="1200"/>
    <n v="2400"/>
    <s v="+61 9 1378 2610"/>
  </r>
  <r>
    <n v="3141"/>
    <s v="Meyer"/>
    <s v="Evie Meyer"/>
    <s v="Evie"/>
    <n v="1374"/>
    <x v="0"/>
    <x v="66"/>
    <n v="2"/>
    <x v="0"/>
    <x v="1"/>
    <n v="0.1"/>
    <n v="58.900000000000006"/>
    <n v="589"/>
    <n v="530.1"/>
    <s v="Priscilla"/>
    <n v="1374"/>
    <s v="Interview Prep"/>
    <d v="2024-03-03T00:00:00"/>
    <n v="2"/>
    <s v="Delivered"/>
    <s v="ACT"/>
    <s v="80522 King Street"/>
    <s v="Canberra"/>
    <n v="2600"/>
    <n v="250"/>
    <n v="500"/>
    <s v="+61 3 4709 6126"/>
  </r>
  <r>
    <n v="3142"/>
    <s v="Powell"/>
    <s v="Brooke Powell"/>
    <s v="Brooke"/>
    <n v="1375"/>
    <x v="2"/>
    <x v="127"/>
    <n v="1"/>
    <x v="0"/>
    <x v="7"/>
    <n v="0.25"/>
    <n v="251.25"/>
    <n v="1005"/>
    <n v="753.75"/>
    <s v="Priscilla"/>
    <n v="1375"/>
    <s v="LinkedIn profile"/>
    <d v="2024-07-27T00:00:00"/>
    <n v="3"/>
    <s v="Delivered"/>
    <s v="NT"/>
    <s v="76884 Park Avenue"/>
    <s v="Alice Springs"/>
    <n v="870"/>
    <n v="300"/>
    <n v="900"/>
    <s v="+61 2 4964 6632"/>
  </r>
  <r>
    <n v="3143"/>
    <s v="Walton"/>
    <s v="Erick Walton"/>
    <s v="Erick"/>
    <n v="1376"/>
    <x v="2"/>
    <x v="128"/>
    <n v="2"/>
    <x v="1"/>
    <x v="2"/>
    <n v="0.25"/>
    <n v="160.25"/>
    <n v="641"/>
    <n v="480.75"/>
    <s v="Priscilla"/>
    <n v="1376"/>
    <s v="LinkedIn profile"/>
    <d v="2024-07-22T00:00:00"/>
    <n v="2"/>
    <s v="In Progress"/>
    <s v="NSW"/>
    <s v="77854 Elizabeth Street"/>
    <s v="Newcastle"/>
    <n v="2300"/>
    <n v="300"/>
    <n v="600"/>
    <s v="+61 9 5466 4896"/>
  </r>
  <r>
    <n v="3144"/>
    <s v="Guzman"/>
    <s v="Emery Guzman"/>
    <s v="Emery"/>
    <n v="1377"/>
    <x v="5"/>
    <x v="129"/>
    <n v="2"/>
    <x v="2"/>
    <x v="7"/>
    <n v="0.3"/>
    <n v="443.09999999999997"/>
    <n v="1477"/>
    <n v="1033.9000000000001"/>
    <s v="Brian"/>
    <n v="1377"/>
    <s v="Resume (service fee)"/>
    <d v="2024-12-24T00:00:00"/>
    <n v="3"/>
    <s v="Service Booked"/>
    <s v="NT"/>
    <s v="35500 King Street"/>
    <s v="Darwin"/>
    <n v="800"/>
    <n v="600"/>
    <n v="1800"/>
    <s v="+61 7 5231 4873"/>
  </r>
  <r>
    <n v="3145"/>
    <s v="Rose"/>
    <s v="Annabelle Rose"/>
    <s v="Annabelle"/>
    <n v="1378"/>
    <x v="4"/>
    <x v="130"/>
    <n v="1"/>
    <x v="0"/>
    <x v="5"/>
    <n v="0.25"/>
    <n v="406.75"/>
    <n v="1627"/>
    <n v="1220.25"/>
    <s v="Terrence"/>
    <n v="1378"/>
    <s v="Mentoring program"/>
    <d v="2024-12-11T00:00:00"/>
    <n v="3"/>
    <s v="Delivered"/>
    <s v="SA"/>
    <s v="28331 Elizabeth Street"/>
    <s v="Whyalla"/>
    <n v="5600"/>
    <n v="1200"/>
    <n v="3600"/>
    <s v="+61 2 3936 4942"/>
  </r>
  <r>
    <n v="3146"/>
    <s v="Schmidt"/>
    <s v="Spencer Schmidt"/>
    <s v="Spencer"/>
    <n v="1379"/>
    <x v="2"/>
    <x v="131"/>
    <n v="3"/>
    <x v="0"/>
    <x v="7"/>
    <n v="0.25"/>
    <n v="219"/>
    <n v="876"/>
    <n v="657"/>
    <s v="Brian"/>
    <n v="1379"/>
    <s v="LinkedIn profile"/>
    <d v="2024-02-23T00:00:00"/>
    <n v="2"/>
    <s v="Delivered"/>
    <s v="NT"/>
    <s v="87107 Main Street"/>
    <s v="Darwin"/>
    <n v="800"/>
    <n v="300"/>
    <n v="600"/>
    <s v="+61 7 7052 5237"/>
  </r>
  <r>
    <n v="3147"/>
    <s v="Walter"/>
    <s v="Callie Walter"/>
    <s v="Callie"/>
    <n v="1380"/>
    <x v="0"/>
    <x v="132"/>
    <n v="1"/>
    <x v="2"/>
    <x v="3"/>
    <n v="0.1"/>
    <n v="110.5"/>
    <n v="1105"/>
    <n v="994.5"/>
    <s v="Priscilla"/>
    <n v="1380"/>
    <s v="Interview Prep"/>
    <d v="2024-01-18T00:00:00"/>
    <n v="3"/>
    <s v="Service Booked"/>
    <s v="VIC"/>
    <s v="40071 King Street"/>
    <s v="Ballarat"/>
    <n v="3350"/>
    <n v="250"/>
    <n v="750"/>
    <s v="+61 2 3445 4248"/>
  </r>
  <r>
    <n v="3148"/>
    <s v="Chavez"/>
    <s v="Cecilia Chavez"/>
    <s v="Cecilia"/>
    <n v="1381"/>
    <x v="1"/>
    <x v="61"/>
    <n v="2"/>
    <x v="2"/>
    <x v="2"/>
    <n v="0.3"/>
    <n v="291.59999999999997"/>
    <n v="972"/>
    <n v="680.40000000000009"/>
    <s v="Brian"/>
    <n v="1381"/>
    <s v="Resume + LinkedIn Profile"/>
    <d v="2024-09-05T00:00:00"/>
    <n v="3"/>
    <s v="Service Booked"/>
    <s v="NSW"/>
    <s v="32850 Main Street"/>
    <s v="Sydney"/>
    <n v="2000"/>
    <n v="800"/>
    <n v="2400"/>
    <s v="+61 8 1649 5175"/>
  </r>
  <r>
    <n v="3149"/>
    <s v="Blackwell"/>
    <s v="Finley Blackwell"/>
    <s v="Finley"/>
    <n v="1382"/>
    <x v="4"/>
    <x v="133"/>
    <n v="2"/>
    <x v="2"/>
    <x v="2"/>
    <n v="0.25"/>
    <n v="196.75"/>
    <n v="787"/>
    <n v="590.25"/>
    <s v="Daniel"/>
    <n v="1382"/>
    <s v="Mentoring program"/>
    <d v="2024-11-18T00:00:00"/>
    <n v="2"/>
    <s v="Service Booked"/>
    <s v="NSW"/>
    <s v="44041 King Street"/>
    <s v="Sydney"/>
    <n v="2000"/>
    <n v="1200"/>
    <n v="2400"/>
    <s v="+61 9 7606 1481"/>
  </r>
  <r>
    <n v="3150"/>
    <s v="Johnston"/>
    <s v="Faith Johnston"/>
    <s v="Faith"/>
    <n v="1383"/>
    <x v="2"/>
    <x v="134"/>
    <n v="3"/>
    <x v="2"/>
    <x v="2"/>
    <n v="0.25"/>
    <n v="27.25"/>
    <n v="109"/>
    <n v="81.75"/>
    <s v="Priscilla"/>
    <n v="1383"/>
    <s v="LinkedIn profile"/>
    <d v="2024-09-08T00:00:00"/>
    <n v="3"/>
    <s v="Service Booked"/>
    <s v="NSW"/>
    <s v="84443 Elizabeth Street"/>
    <s v="Wollongong"/>
    <n v="2500"/>
    <n v="300"/>
    <n v="900"/>
    <s v="+61 6 9431 5985"/>
  </r>
  <r>
    <n v="3151"/>
    <s v="Solis"/>
    <s v="Mary Solis"/>
    <s v="Mary"/>
    <n v="1384"/>
    <x v="4"/>
    <x v="135"/>
    <n v="1"/>
    <x v="2"/>
    <x v="2"/>
    <n v="0.25"/>
    <n v="133.25"/>
    <n v="533"/>
    <n v="399.75"/>
    <s v="Terrence"/>
    <n v="1384"/>
    <s v="Mentoring program"/>
    <d v="2024-08-16T00:00:00"/>
    <n v="1"/>
    <s v="Service Booked"/>
    <s v="NSW"/>
    <s v="77843 Main Street"/>
    <s v="Newcastle"/>
    <n v="2300"/>
    <n v="1200"/>
    <n v="1200"/>
    <s v="+61 3 1576 2190"/>
  </r>
  <r>
    <n v="3152"/>
    <s v="Jacobs"/>
    <s v="Abel Jacobs"/>
    <s v="Abel"/>
    <n v="1385"/>
    <x v="5"/>
    <x v="136"/>
    <n v="3"/>
    <x v="2"/>
    <x v="0"/>
    <n v="0.3"/>
    <n v="288.89999999999998"/>
    <n v="963"/>
    <n v="674.1"/>
    <s v="Brian"/>
    <n v="1385"/>
    <s v="Resume (service fee)"/>
    <d v="2024-04-08T00:00:00"/>
    <n v="2"/>
    <s v="Service Booked"/>
    <s v="WA"/>
    <s v="70867 Elizabeth Street"/>
    <s v="Broome"/>
    <n v="6725"/>
    <n v="600"/>
    <n v="1200"/>
    <s v="+61 8 3044 6852"/>
  </r>
  <r>
    <n v="3153"/>
    <s v="Acevedo"/>
    <s v="Lewis Acevedo"/>
    <s v="Lewis"/>
    <n v="1386"/>
    <x v="2"/>
    <x v="111"/>
    <n v="2"/>
    <x v="0"/>
    <x v="1"/>
    <n v="0.25"/>
    <n v="112"/>
    <n v="448"/>
    <n v="336"/>
    <s v="Priscilla"/>
    <n v="1386"/>
    <s v="LinkedIn profile"/>
    <d v="2024-11-25T00:00:00"/>
    <n v="2"/>
    <s v="Delivered"/>
    <s v="ACT"/>
    <s v="63867 Elizabeth Street"/>
    <s v="Canberra"/>
    <n v="2600"/>
    <n v="300"/>
    <n v="600"/>
    <s v="+61 6 1636 2846"/>
  </r>
  <r>
    <n v="3154"/>
    <s v="Keller"/>
    <s v="Annalise Keller"/>
    <s v="Annalise"/>
    <n v="1387"/>
    <x v="0"/>
    <x v="137"/>
    <n v="3"/>
    <x v="2"/>
    <x v="3"/>
    <n v="0.1"/>
    <n v="29.900000000000002"/>
    <n v="299"/>
    <n v="269.10000000000002"/>
    <s v="Terrence"/>
    <n v="1387"/>
    <s v="Interview Prep"/>
    <d v="2024-12-03T00:00:00"/>
    <n v="2"/>
    <s v="Service Booked"/>
    <s v="VIC"/>
    <s v="18895 George Street"/>
    <s v="Geelong"/>
    <n v="3220"/>
    <n v="250"/>
    <n v="500"/>
    <s v="+61 2 9735 4987"/>
  </r>
  <r>
    <n v="3155"/>
    <s v="Cohen"/>
    <s v="London Cohen"/>
    <s v="London"/>
    <n v="1388"/>
    <x v="2"/>
    <x v="138"/>
    <n v="3"/>
    <x v="3"/>
    <x v="7"/>
    <n v="0.25"/>
    <n v="457.25"/>
    <n v="1829"/>
    <n v="1371.75"/>
    <s v="Kelly"/>
    <n v="1388"/>
    <s v="LinkedIn profile"/>
    <d v="2024-06-19T00:00:00"/>
    <n v="2"/>
    <s v="Cancelled"/>
    <s v="NT"/>
    <s v="25084 Park Avenue"/>
    <s v="Alice Springs"/>
    <n v="870"/>
    <n v="300"/>
    <n v="600"/>
    <s v="+61 6 3338 8997"/>
  </r>
  <r>
    <n v="3156"/>
    <s v="Espinosa"/>
    <s v="Myla Espinosa"/>
    <s v="Myla"/>
    <n v="1389"/>
    <x v="5"/>
    <x v="119"/>
    <n v="2"/>
    <x v="2"/>
    <x v="0"/>
    <n v="0.3"/>
    <n v="210.6"/>
    <n v="702"/>
    <n v="491.4"/>
    <s v="Priscilla"/>
    <n v="1389"/>
    <s v="Resume (service fee)"/>
    <d v="2024-01-19T00:00:00"/>
    <n v="2"/>
    <s v="Service Booked"/>
    <s v="WA"/>
    <s v="84382 King Street"/>
    <s v="Perth"/>
    <n v="6000"/>
    <n v="600"/>
    <n v="1200"/>
    <s v="+61 9 3586 5040"/>
  </r>
  <r>
    <n v="3157"/>
    <s v="Watts"/>
    <s v="Dakota Watts"/>
    <s v="Dakota"/>
    <n v="1390"/>
    <x v="2"/>
    <x v="139"/>
    <n v="2"/>
    <x v="0"/>
    <x v="6"/>
    <n v="0.25"/>
    <n v="112.75"/>
    <n v="451"/>
    <n v="338.25"/>
    <s v="Terrence"/>
    <n v="1390"/>
    <s v="LinkedIn profile"/>
    <d v="2024-10-12T00:00:00"/>
    <n v="2"/>
    <s v="Delivered"/>
    <s v="TAS"/>
    <s v="52326 King Street"/>
    <s v="Launceston"/>
    <n v="7250"/>
    <n v="300"/>
    <n v="600"/>
    <s v="+61 8 8998 5233"/>
  </r>
  <r>
    <n v="3158"/>
    <s v="Thornton"/>
    <s v="Bodie Thornton"/>
    <s v="Bodie"/>
    <n v="1391"/>
    <x v="4"/>
    <x v="140"/>
    <n v="3"/>
    <x v="0"/>
    <x v="6"/>
    <n v="0.25"/>
    <n v="191.5"/>
    <n v="766"/>
    <n v="574.5"/>
    <s v="Daniel"/>
    <n v="1391"/>
    <s v="Mentoring program"/>
    <d v="2024-12-08T00:00:00"/>
    <n v="2"/>
    <s v="Delivered"/>
    <s v="TAS"/>
    <s v="51229 Main Street"/>
    <s v="Launceston"/>
    <n v="7250"/>
    <n v="1200"/>
    <n v="2400"/>
    <s v="+61 5 6036 7076"/>
  </r>
  <r>
    <n v="3159"/>
    <s v="Hunter"/>
    <s v="Abigail Hunter"/>
    <s v="Abigail"/>
    <n v="1392"/>
    <x v="0"/>
    <x v="141"/>
    <n v="2"/>
    <x v="2"/>
    <x v="4"/>
    <n v="0.1"/>
    <n v="95.5"/>
    <n v="955"/>
    <n v="859.5"/>
    <s v="Kelly"/>
    <n v="1392"/>
    <s v="Interview Prep"/>
    <d v="2024-10-05T00:00:00"/>
    <n v="3"/>
    <s v="Service Booked"/>
    <s v="QLD"/>
    <s v="92727 Elizabeth Street"/>
    <s v="Brisbane"/>
    <n v="4000"/>
    <n v="250"/>
    <n v="750"/>
    <s v="+61 7 2750 4125"/>
  </r>
  <r>
    <n v="3160"/>
    <s v="Ross"/>
    <s v="Delilah Ross"/>
    <s v="Delilah"/>
    <n v="1393"/>
    <x v="2"/>
    <x v="142"/>
    <n v="1"/>
    <x v="2"/>
    <x v="3"/>
    <n v="0.25"/>
    <n v="141.25"/>
    <n v="565"/>
    <n v="423.75"/>
    <s v="Terrence"/>
    <n v="1393"/>
    <s v="LinkedIn profile"/>
    <d v="2024-11-24T00:00:00"/>
    <n v="3"/>
    <s v="Service Booked"/>
    <s v="VIC"/>
    <s v="13468 Main Street"/>
    <s v="Ballarat"/>
    <n v="3350"/>
    <n v="300"/>
    <n v="900"/>
    <s v="+61 2 3057 4306"/>
  </r>
  <r>
    <n v="3161"/>
    <s v="Mckay"/>
    <s v="Serena Mckay"/>
    <s v="Serena"/>
    <n v="1394"/>
    <x v="5"/>
    <x v="143"/>
    <n v="1"/>
    <x v="0"/>
    <x v="2"/>
    <n v="0.3"/>
    <n v="478.2"/>
    <n v="1594"/>
    <n v="1115.8"/>
    <s v="Priscilla"/>
    <n v="1394"/>
    <s v="Resume (service fee)"/>
    <d v="2024-06-28T00:00:00"/>
    <n v="3"/>
    <s v="Delivered"/>
    <s v="NSW"/>
    <s v="97459 Main Street"/>
    <s v="Newcastle"/>
    <n v="2300"/>
    <n v="600"/>
    <n v="1800"/>
    <s v="+61 9 8064 1833"/>
  </r>
  <r>
    <n v="3162"/>
    <s v="Rubio"/>
    <s v="Asher Rubio"/>
    <s v="Asher"/>
    <n v="1395"/>
    <x v="4"/>
    <x v="144"/>
    <n v="2"/>
    <x v="0"/>
    <x v="7"/>
    <n v="0.25"/>
    <n v="333"/>
    <n v="1332"/>
    <n v="999"/>
    <s v="Daniel"/>
    <n v="1395"/>
    <s v="Mentoring program"/>
    <d v="2024-04-07T00:00:00"/>
    <n v="1"/>
    <s v="Delivered"/>
    <s v="NT"/>
    <s v="95804 Elizabeth Street"/>
    <s v="Alice Springs"/>
    <n v="870"/>
    <n v="1200"/>
    <n v="1200"/>
    <s v="+61 3 3184 8150"/>
  </r>
  <r>
    <n v="3163"/>
    <s v="Galindo"/>
    <s v="Shiloh Galindo"/>
    <s v="Shiloh"/>
    <n v="1396"/>
    <x v="1"/>
    <x v="145"/>
    <n v="2"/>
    <x v="0"/>
    <x v="0"/>
    <n v="0.3"/>
    <n v="463.79999999999995"/>
    <n v="1546"/>
    <n v="1082.2"/>
    <s v="Priscilla"/>
    <n v="1396"/>
    <s v="Resume + LinkedIn Profile"/>
    <d v="2024-04-21T00:00:00"/>
    <n v="2"/>
    <s v="Delivered"/>
    <s v="WA"/>
    <s v="87491 King Street"/>
    <s v="Fremantle"/>
    <n v="6160"/>
    <n v="800"/>
    <n v="1600"/>
    <s v="+61 5 9754 2178"/>
  </r>
  <r>
    <n v="3164"/>
    <s v="Aguilar"/>
    <s v="Veronica Aguilar"/>
    <s v="Veronica"/>
    <n v="1397"/>
    <x v="4"/>
    <x v="146"/>
    <n v="2"/>
    <x v="2"/>
    <x v="7"/>
    <n v="0.25"/>
    <n v="294"/>
    <n v="1176"/>
    <n v="882"/>
    <s v="Daniel"/>
    <n v="1397"/>
    <s v="Mentoring program"/>
    <d v="2024-02-16T00:00:00"/>
    <n v="1"/>
    <s v="Service Booked"/>
    <s v="NT"/>
    <s v="58578 George Street"/>
    <s v="Darwin"/>
    <n v="800"/>
    <n v="1200"/>
    <n v="1200"/>
    <s v="+61 5 2771 9609"/>
  </r>
  <r>
    <n v="3165"/>
    <s v="Mahoney"/>
    <s v="Selah Mahoney"/>
    <s v="Selah"/>
    <n v="1398"/>
    <x v="5"/>
    <x v="147"/>
    <n v="3"/>
    <x v="2"/>
    <x v="4"/>
    <n v="0.3"/>
    <n v="498.9"/>
    <n v="1663"/>
    <n v="1164.0999999999999"/>
    <s v="Kelly"/>
    <n v="1398"/>
    <s v="Resume (service fee)"/>
    <d v="2024-09-17T00:00:00"/>
    <n v="1"/>
    <s v="Service Booked"/>
    <s v="QLD"/>
    <s v="82114 George Street"/>
    <s v="Brisbane"/>
    <n v="4000"/>
    <n v="600"/>
    <n v="600"/>
    <s v="+61 3 7197 9043"/>
  </r>
  <r>
    <n v="3166"/>
    <s v="Reed"/>
    <s v="Jayden Reed"/>
    <s v="Jayden"/>
    <n v="1399"/>
    <x v="0"/>
    <x v="138"/>
    <n v="2"/>
    <x v="0"/>
    <x v="0"/>
    <n v="0.1"/>
    <n v="49.2"/>
    <n v="492"/>
    <n v="442.8"/>
    <s v="Priscilla"/>
    <n v="1399"/>
    <s v="Interview Prep"/>
    <d v="2024-06-19T00:00:00"/>
    <n v="2"/>
    <s v="Delivered"/>
    <s v="WA"/>
    <s v="31625 Park Avenue"/>
    <s v="Broome"/>
    <n v="6725"/>
    <n v="250"/>
    <n v="500"/>
    <s v="+61 4 5673 6955"/>
  </r>
  <r>
    <n v="3167"/>
    <s v="Carpenter"/>
    <s v="Jordan Carpenter"/>
    <s v="Jordan"/>
    <n v="1400"/>
    <x v="0"/>
    <x v="148"/>
    <n v="2"/>
    <x v="3"/>
    <x v="1"/>
    <n v="0.1"/>
    <n v="175.10000000000002"/>
    <n v="1751"/>
    <n v="1575.9"/>
    <s v="Brian"/>
    <n v="1400"/>
    <s v="Interview Prep"/>
    <d v="2024-01-07T00:00:00"/>
    <n v="2"/>
    <s v="Cancelled"/>
    <s v="ACT"/>
    <s v="82683 King Street"/>
    <s v="Canberra"/>
    <n v="2600"/>
    <n v="250"/>
    <n v="500"/>
    <s v="+61 6 7035 7589"/>
  </r>
  <r>
    <n v="3168"/>
    <s v="Stokes"/>
    <s v="Jace Stokes"/>
    <s v="Jace"/>
    <n v="1401"/>
    <x v="4"/>
    <x v="149"/>
    <n v="2"/>
    <x v="0"/>
    <x v="7"/>
    <n v="0.25"/>
    <n v="229"/>
    <n v="916"/>
    <n v="687"/>
    <s v="Terrence"/>
    <n v="1401"/>
    <s v="Mentoring program"/>
    <d v="2024-10-06T00:00:00"/>
    <n v="1"/>
    <s v="Delivered"/>
    <s v="NT"/>
    <s v="23809 Elizabeth Street"/>
    <s v="Alice Springs"/>
    <n v="870"/>
    <n v="1200"/>
    <n v="1200"/>
    <s v="+61 5 9949 9157"/>
  </r>
  <r>
    <n v="3169"/>
    <s v="Barrera"/>
    <s v="Ari Barrera"/>
    <s v="Ari"/>
    <n v="1402"/>
    <x v="5"/>
    <x v="117"/>
    <n v="3"/>
    <x v="2"/>
    <x v="7"/>
    <n v="0.3"/>
    <n v="240.89999999999998"/>
    <n v="803"/>
    <n v="562.1"/>
    <s v="Daniel"/>
    <n v="1402"/>
    <s v="Resume (service fee)"/>
    <d v="2024-12-13T00:00:00"/>
    <n v="2"/>
    <s v="Service Booked"/>
    <s v="NT"/>
    <s v="6981 Main Street"/>
    <s v="Darwin"/>
    <n v="800"/>
    <n v="600"/>
    <n v="1200"/>
    <s v="+61 3 6166 2541"/>
  </r>
  <r>
    <n v="3170"/>
    <s v="Pitts"/>
    <s v="Michelle Pitts"/>
    <s v="Michelle"/>
    <n v="1403"/>
    <x v="3"/>
    <x v="139"/>
    <n v="1"/>
    <x v="2"/>
    <x v="7"/>
    <n v="0.2"/>
    <n v="325.40000000000003"/>
    <n v="1627"/>
    <n v="1301.5999999999999"/>
    <s v="Brian"/>
    <n v="1403"/>
    <s v="Networking Strategy"/>
    <d v="2024-10-12T00:00:00"/>
    <n v="1"/>
    <s v="Service Booked"/>
    <s v="NT"/>
    <s v="9746 Park Avenue"/>
    <s v="Alice Springs"/>
    <n v="870"/>
    <n v="250"/>
    <n v="250"/>
    <s v="+61 4 3317 6822"/>
  </r>
  <r>
    <n v="3171"/>
    <s v="Christian"/>
    <s v="Brantley Christian"/>
    <s v="Brantley"/>
    <n v="1404"/>
    <x v="3"/>
    <x v="150"/>
    <n v="1"/>
    <x v="1"/>
    <x v="3"/>
    <n v="0.2"/>
    <n v="28.8"/>
    <n v="144"/>
    <n v="115.2"/>
    <s v="Daniel"/>
    <n v="1404"/>
    <s v="Networking Strategy"/>
    <d v="2024-04-03T00:00:00"/>
    <n v="3"/>
    <s v="In Progress"/>
    <s v="VIC"/>
    <s v="60581 Park Avenue"/>
    <s v="Geelong"/>
    <n v="3220"/>
    <n v="250"/>
    <n v="750"/>
    <s v="+61 6 6915 5646"/>
  </r>
  <r>
    <n v="3172"/>
    <s v="Mccall"/>
    <s v="Saylor Mccall"/>
    <s v="Saylor"/>
    <n v="1405"/>
    <x v="1"/>
    <x v="151"/>
    <n v="1"/>
    <x v="1"/>
    <x v="2"/>
    <n v="0.3"/>
    <n v="173.7"/>
    <n v="579"/>
    <n v="405.3"/>
    <s v="Daniel"/>
    <n v="1405"/>
    <s v="Resume + LinkedIn Profile"/>
    <d v="2024-03-21T00:00:00"/>
    <n v="3"/>
    <s v="In Progress"/>
    <s v="NSW"/>
    <s v="47246 Main Street"/>
    <s v="Sydney"/>
    <n v="2000"/>
    <n v="800"/>
    <n v="2400"/>
    <s v="+61 8 9955 9053"/>
  </r>
  <r>
    <n v="3173"/>
    <s v="Martinez"/>
    <s v="Samantha Martinez"/>
    <s v="Samantha"/>
    <n v="1406"/>
    <x v="0"/>
    <x v="1"/>
    <n v="3"/>
    <x v="0"/>
    <x v="2"/>
    <n v="0.1"/>
    <n v="138.5"/>
    <n v="1385"/>
    <n v="1246.5"/>
    <s v="Kelly"/>
    <n v="1406"/>
    <s v="Interview Prep"/>
    <d v="2024-07-18T00:00:00"/>
    <n v="3"/>
    <s v="Delivered"/>
    <s v="NSW"/>
    <s v="84519 Park Avenue"/>
    <s v="Wollongong"/>
    <n v="2500"/>
    <n v="250"/>
    <n v="750"/>
    <s v="+61 6 9567 1027"/>
  </r>
  <r>
    <n v="3174"/>
    <s v="Acosta"/>
    <s v="Willa Acosta"/>
    <s v="Willa"/>
    <n v="1407"/>
    <x v="2"/>
    <x v="152"/>
    <n v="3"/>
    <x v="3"/>
    <x v="5"/>
    <n v="0.25"/>
    <n v="27.25"/>
    <n v="109"/>
    <n v="81.75"/>
    <s v="Brian"/>
    <n v="1407"/>
    <s v="LinkedIn profile"/>
    <d v="2024-11-11T00:00:00"/>
    <n v="1"/>
    <s v="Cancelled"/>
    <s v="SA"/>
    <s v="85362 George Street"/>
    <s v="Adelaide"/>
    <n v="5000"/>
    <n v="300"/>
    <n v="300"/>
    <s v="+61 2 7266 8180"/>
  </r>
  <r>
    <n v="3175"/>
    <s v="Jaramillo"/>
    <s v="Camilla Jaramillo"/>
    <s v="Camilla"/>
    <n v="1408"/>
    <x v="1"/>
    <x v="153"/>
    <n v="3"/>
    <x v="3"/>
    <x v="2"/>
    <n v="0.3"/>
    <n v="159.29999999999998"/>
    <n v="531"/>
    <n v="371.70000000000005"/>
    <s v="Brian"/>
    <n v="1408"/>
    <s v="Resume + LinkedIn Profile"/>
    <d v="2024-11-02T00:00:00"/>
    <n v="1"/>
    <s v="Cancelled"/>
    <s v="NSW"/>
    <s v="35625 Park Avenue"/>
    <s v="Newcastle"/>
    <n v="2300"/>
    <n v="800"/>
    <n v="800"/>
    <s v="+61 2 6714 7732"/>
  </r>
  <r>
    <n v="3176"/>
    <s v="Rivers"/>
    <s v="Devin Rivers"/>
    <s v="Devin"/>
    <n v="1409"/>
    <x v="1"/>
    <x v="50"/>
    <n v="3"/>
    <x v="2"/>
    <x v="3"/>
    <n v="0.3"/>
    <n v="312.3"/>
    <n v="1041"/>
    <n v="728.7"/>
    <s v="Priscilla"/>
    <n v="1409"/>
    <s v="Resume + LinkedIn Profile"/>
    <d v="2024-02-02T00:00:00"/>
    <n v="2"/>
    <s v="Service Booked"/>
    <s v="VIC"/>
    <s v="95668 Main Street"/>
    <s v="Ballarat"/>
    <n v="3350"/>
    <n v="800"/>
    <n v="1600"/>
    <s v="+61 3 4500 7676"/>
  </r>
  <r>
    <n v="3177"/>
    <s v="Hoffman"/>
    <s v="Melissa Hoffman"/>
    <s v="Melissa"/>
    <n v="1410"/>
    <x v="1"/>
    <x v="154"/>
    <n v="3"/>
    <x v="0"/>
    <x v="1"/>
    <n v="0.3"/>
    <n v="51.6"/>
    <n v="172"/>
    <n v="120.4"/>
    <s v="Priscilla"/>
    <n v="1410"/>
    <s v="Resume + LinkedIn Profile"/>
    <d v="2024-04-04T00:00:00"/>
    <n v="3"/>
    <s v="Delivered"/>
    <s v="ACT"/>
    <s v="67626 Main Street"/>
    <s v="Canberra"/>
    <n v="2600"/>
    <n v="800"/>
    <n v="2400"/>
    <s v="+61 4 7423 5207"/>
  </r>
  <r>
    <n v="3178"/>
    <s v="Horn"/>
    <s v="Mabel Horn"/>
    <s v="Mabel"/>
    <n v="1411"/>
    <x v="3"/>
    <x v="130"/>
    <n v="2"/>
    <x v="1"/>
    <x v="5"/>
    <n v="0.2"/>
    <n v="115.2"/>
    <n v="576"/>
    <n v="460.8"/>
    <s v="Priscilla"/>
    <n v="1411"/>
    <s v="Networking Strategy"/>
    <d v="2024-12-11T00:00:00"/>
    <n v="2"/>
    <s v="In Progress"/>
    <s v="SA"/>
    <s v="81591 Main Street"/>
    <s v="Adelaide"/>
    <n v="5000"/>
    <n v="250"/>
    <n v="500"/>
    <s v="+61 6 2538 4144"/>
  </r>
  <r>
    <n v="3179"/>
    <s v="Schmitt"/>
    <s v="Daniela Schmitt"/>
    <s v="Daniela"/>
    <n v="1412"/>
    <x v="3"/>
    <x v="152"/>
    <n v="3"/>
    <x v="2"/>
    <x v="0"/>
    <n v="0.2"/>
    <n v="105.60000000000001"/>
    <n v="528"/>
    <n v="422.4"/>
    <s v="Daniel"/>
    <n v="1412"/>
    <s v="Networking Strategy"/>
    <d v="2024-11-11T00:00:00"/>
    <n v="3"/>
    <s v="Service Booked"/>
    <s v="WA"/>
    <s v="79103 Park Avenue"/>
    <s v="Broome"/>
    <n v="6725"/>
    <n v="250"/>
    <n v="750"/>
    <s v="+61 9 2504 5508"/>
  </r>
  <r>
    <n v="3180"/>
    <s v="Bradshaw"/>
    <s v="Dax Bradshaw"/>
    <s v="Dax"/>
    <n v="1413"/>
    <x v="2"/>
    <x v="155"/>
    <n v="1"/>
    <x v="0"/>
    <x v="5"/>
    <n v="0.25"/>
    <n v="242"/>
    <n v="968"/>
    <n v="726"/>
    <s v="Brian"/>
    <n v="1413"/>
    <s v="LinkedIn profile"/>
    <d v="2024-11-03T00:00:00"/>
    <n v="3"/>
    <s v="Delivered"/>
    <s v="SA"/>
    <s v="24519 Main Street"/>
    <s v="Adelaide"/>
    <n v="5000"/>
    <n v="300"/>
    <n v="900"/>
    <s v="+61 3 8618 9130"/>
  </r>
  <r>
    <n v="3181"/>
    <s v="Boone"/>
    <s v="Aitana Boone"/>
    <s v="Aitana"/>
    <n v="1414"/>
    <x v="1"/>
    <x v="156"/>
    <n v="2"/>
    <x v="0"/>
    <x v="5"/>
    <n v="0.3"/>
    <n v="558"/>
    <n v="1860"/>
    <n v="1302"/>
    <s v="Kelly"/>
    <n v="1414"/>
    <s v="Resume + LinkedIn Profile"/>
    <d v="2024-03-04T00:00:00"/>
    <n v="2"/>
    <s v="Delivered"/>
    <s v="SA"/>
    <s v="91971 Park Avenue"/>
    <s v="Whyalla"/>
    <n v="5600"/>
    <n v="800"/>
    <n v="1600"/>
    <s v="+61 2 8190 1793"/>
  </r>
  <r>
    <n v="3182"/>
    <s v="Roy"/>
    <s v="Patrick Roy"/>
    <s v="Patrick"/>
    <n v="1415"/>
    <x v="0"/>
    <x v="157"/>
    <n v="1"/>
    <x v="0"/>
    <x v="4"/>
    <n v="0.1"/>
    <n v="90.800000000000011"/>
    <n v="908"/>
    <n v="817.2"/>
    <s v="Terrence"/>
    <n v="1415"/>
    <s v="Interview Prep"/>
    <d v="2024-04-09T00:00:00"/>
    <n v="2"/>
    <s v="Delivered"/>
    <s v="QLD"/>
    <s v="84042 Park Avenue"/>
    <s v="Cairns"/>
    <n v="4870"/>
    <n v="250"/>
    <n v="500"/>
    <s v="+61 6 3581 2528"/>
  </r>
  <r>
    <n v="3183"/>
    <s v="Mccarthy"/>
    <s v="Calvin Mccarthy"/>
    <s v="Calvin"/>
    <n v="1416"/>
    <x v="4"/>
    <x v="158"/>
    <n v="1"/>
    <x v="2"/>
    <x v="5"/>
    <n v="0.25"/>
    <n v="16.75"/>
    <n v="67"/>
    <n v="50.25"/>
    <s v="Priscilla"/>
    <n v="1416"/>
    <s v="Mentoring program"/>
    <d v="2024-07-03T00:00:00"/>
    <n v="1"/>
    <s v="Service Booked"/>
    <s v="SA"/>
    <s v="80596 Main Street"/>
    <s v="Whyalla"/>
    <n v="5600"/>
    <n v="1200"/>
    <n v="1200"/>
    <s v="+61 7 2994 9440"/>
  </r>
  <r>
    <n v="3184"/>
    <s v="Everett"/>
    <s v="Lyra Everett"/>
    <s v="Lyra"/>
    <n v="1417"/>
    <x v="0"/>
    <x v="159"/>
    <n v="3"/>
    <x v="0"/>
    <x v="4"/>
    <n v="0.1"/>
    <n v="56.1"/>
    <n v="561"/>
    <n v="504.9"/>
    <s v="Priscilla"/>
    <n v="1417"/>
    <s v="Interview Prep"/>
    <d v="2024-03-12T00:00:00"/>
    <n v="2"/>
    <s v="Delivered"/>
    <s v="QLD"/>
    <s v="61026 Park Avenue"/>
    <s v="Cairns"/>
    <n v="4870"/>
    <n v="250"/>
    <n v="500"/>
    <s v="+61 4 3151 3154"/>
  </r>
  <r>
    <n v="3185"/>
    <s v="Alvarado"/>
    <s v="Zayn Alvarado"/>
    <s v="Zayn"/>
    <n v="1418"/>
    <x v="0"/>
    <x v="160"/>
    <n v="1"/>
    <x v="0"/>
    <x v="3"/>
    <n v="0.1"/>
    <n v="178.20000000000002"/>
    <n v="1782"/>
    <n v="1603.8"/>
    <s v="Priscilla"/>
    <n v="1418"/>
    <s v="Interview Prep"/>
    <d v="2024-02-15T00:00:00"/>
    <n v="3"/>
    <s v="Delivered"/>
    <s v="VIC"/>
    <s v="44704 Park Avenue"/>
    <s v="Geelong"/>
    <n v="3220"/>
    <n v="250"/>
    <n v="750"/>
    <s v="+61 2 8240 3829"/>
  </r>
  <r>
    <n v="3186"/>
    <s v="Lynch"/>
    <s v="Xander Lynch"/>
    <s v="Xander"/>
    <n v="1419"/>
    <x v="4"/>
    <x v="127"/>
    <n v="3"/>
    <x v="2"/>
    <x v="6"/>
    <n v="0.25"/>
    <n v="360"/>
    <n v="1440"/>
    <n v="1080"/>
    <s v="Kelly"/>
    <n v="1419"/>
    <s v="Mentoring program"/>
    <d v="2024-07-27T00:00:00"/>
    <n v="1"/>
    <s v="Service Booked"/>
    <s v="TAS"/>
    <s v="93495 Elizabeth Street"/>
    <s v="Launceston"/>
    <n v="7250"/>
    <n v="1200"/>
    <n v="1200"/>
    <s v="+61 5 6136 5152"/>
  </r>
  <r>
    <n v="3187"/>
    <s v="Escobar"/>
    <s v="Declan Escobar"/>
    <s v="Declan"/>
    <n v="1420"/>
    <x v="2"/>
    <x v="117"/>
    <n v="1"/>
    <x v="2"/>
    <x v="4"/>
    <n v="0.25"/>
    <n v="151.75"/>
    <n v="607"/>
    <n v="455.25"/>
    <s v="Priscilla"/>
    <n v="1420"/>
    <s v="LinkedIn profile"/>
    <d v="2024-12-13T00:00:00"/>
    <n v="3"/>
    <s v="Service Booked"/>
    <s v="QLD"/>
    <s v="76917 Park Avenue"/>
    <s v="Brisbane"/>
    <n v="4000"/>
    <n v="300"/>
    <n v="900"/>
    <s v="+61 4 7131 2101"/>
  </r>
  <r>
    <n v="3188"/>
    <s v="Fisher"/>
    <s v="Zara Fisher"/>
    <s v="Zara"/>
    <n v="1421"/>
    <x v="4"/>
    <x v="161"/>
    <n v="2"/>
    <x v="1"/>
    <x v="5"/>
    <n v="0.25"/>
    <n v="135.25"/>
    <n v="541"/>
    <n v="405.75"/>
    <s v="Brian"/>
    <n v="1421"/>
    <s v="Mentoring program"/>
    <d v="2024-12-18T00:00:00"/>
    <n v="3"/>
    <s v="In Progress"/>
    <s v="SA"/>
    <s v="79066 George Street"/>
    <s v="Whyalla"/>
    <n v="5600"/>
    <n v="1200"/>
    <n v="3600"/>
    <s v="+61 9 9505 4724"/>
  </r>
  <r>
    <n v="3189"/>
    <s v="Gould"/>
    <s v="Lyra Gould"/>
    <s v="Lyra"/>
    <n v="1422"/>
    <x v="3"/>
    <x v="162"/>
    <n v="2"/>
    <x v="3"/>
    <x v="7"/>
    <n v="0.2"/>
    <n v="188.8"/>
    <n v="944"/>
    <n v="755.2"/>
    <s v="Kelly"/>
    <n v="1422"/>
    <s v="Networking Strategy"/>
    <d v="2024-07-25T00:00:00"/>
    <n v="1"/>
    <s v="Cancelled"/>
    <s v="NT"/>
    <s v="92951 Elizabeth Street"/>
    <s v="Darwin"/>
    <n v="800"/>
    <n v="250"/>
    <n v="250"/>
    <s v="+61 2 3456 7586"/>
  </r>
  <r>
    <n v="3190"/>
    <s v="Contreras"/>
    <s v="Addison Contreras"/>
    <s v="Addison"/>
    <n v="1423"/>
    <x v="4"/>
    <x v="6"/>
    <n v="1"/>
    <x v="2"/>
    <x v="1"/>
    <n v="0.25"/>
    <n v="25.75"/>
    <n v="103"/>
    <n v="77.25"/>
    <s v="Priscilla"/>
    <n v="1423"/>
    <s v="Mentoring program"/>
    <d v="2024-03-18T00:00:00"/>
    <n v="1"/>
    <s v="Service Booked"/>
    <s v="ACT"/>
    <s v="96865 Park Avenue"/>
    <s v="Canberra"/>
    <n v="2600"/>
    <n v="1200"/>
    <n v="1200"/>
    <s v="+61 8 4883 7717"/>
  </r>
  <r>
    <n v="3191"/>
    <s v="Burke"/>
    <s v="Charles Burke"/>
    <s v="Charles"/>
    <n v="1424"/>
    <x v="1"/>
    <x v="51"/>
    <n v="2"/>
    <x v="1"/>
    <x v="7"/>
    <n v="0.3"/>
    <n v="39"/>
    <n v="130"/>
    <n v="91"/>
    <s v="Daniel"/>
    <n v="1424"/>
    <s v="Resume + LinkedIn Profile"/>
    <d v="2024-01-30T00:00:00"/>
    <n v="2"/>
    <s v="In Progress"/>
    <s v="NT"/>
    <s v="31375 George Street"/>
    <s v="Darwin"/>
    <n v="800"/>
    <n v="800"/>
    <n v="1600"/>
    <s v="+61 3 7387 1747"/>
  </r>
  <r>
    <n v="3192"/>
    <s v="Owens"/>
    <s v="Maximus Owens"/>
    <s v="Maximus"/>
    <n v="1425"/>
    <x v="1"/>
    <x v="22"/>
    <n v="3"/>
    <x v="2"/>
    <x v="3"/>
    <n v="0.3"/>
    <n v="182.4"/>
    <n v="608"/>
    <n v="425.6"/>
    <s v="Brian"/>
    <n v="1425"/>
    <s v="Resume + LinkedIn Profile"/>
    <d v="2024-04-18T00:00:00"/>
    <n v="2"/>
    <s v="Service Booked"/>
    <s v="VIC"/>
    <s v="62344 Main Street"/>
    <s v="Ballarat"/>
    <n v="3350"/>
    <n v="800"/>
    <n v="1600"/>
    <s v="+61 4 1752 6729"/>
  </r>
  <r>
    <n v="3193"/>
    <s v="Foster"/>
    <s v="Sadie Foster"/>
    <s v="Sadie"/>
    <n v="1426"/>
    <x v="5"/>
    <x v="163"/>
    <n v="3"/>
    <x v="0"/>
    <x v="4"/>
    <n v="0.3"/>
    <n v="491.09999999999997"/>
    <n v="1637"/>
    <n v="1145.9000000000001"/>
    <s v="Priscilla"/>
    <n v="1426"/>
    <s v="Resume (service fee)"/>
    <d v="2024-03-23T00:00:00"/>
    <n v="3"/>
    <s v="Delivered"/>
    <s v="QLD"/>
    <s v="9535 Park Avenue"/>
    <s v="Brisbane"/>
    <n v="4000"/>
    <n v="600"/>
    <n v="1800"/>
    <s v="+61 9 5577 2262"/>
  </r>
  <r>
    <n v="3194"/>
    <s v="Carpenter"/>
    <s v="Sloane Carpenter"/>
    <s v="Sloane"/>
    <n v="1427"/>
    <x v="3"/>
    <x v="48"/>
    <n v="2"/>
    <x v="2"/>
    <x v="3"/>
    <n v="0.2"/>
    <n v="240.4"/>
    <n v="1202"/>
    <n v="961.6"/>
    <s v="Daniel"/>
    <n v="1427"/>
    <s v="Networking Strategy"/>
    <d v="2024-02-18T00:00:00"/>
    <n v="3"/>
    <s v="Service Booked"/>
    <s v="VIC"/>
    <s v="4523 George Street"/>
    <s v="Melbourne"/>
    <n v="3000"/>
    <n v="250"/>
    <n v="750"/>
    <s v="+61 7 6539 2509"/>
  </r>
  <r>
    <n v="3195"/>
    <s v="Reyna"/>
    <s v="Heidi Reyna"/>
    <s v="Heidi"/>
    <n v="1428"/>
    <x v="0"/>
    <x v="164"/>
    <n v="1"/>
    <x v="0"/>
    <x v="0"/>
    <n v="0.1"/>
    <n v="130.4"/>
    <n v="1304"/>
    <n v="1173.5999999999999"/>
    <s v="Priscilla"/>
    <n v="1428"/>
    <s v="Interview Prep"/>
    <d v="2024-05-15T00:00:00"/>
    <n v="3"/>
    <s v="Delivered"/>
    <s v="WA"/>
    <s v="21571 Main Street"/>
    <s v="Fremantle"/>
    <n v="6160"/>
    <n v="250"/>
    <n v="750"/>
    <s v="+61 4 3452 1800"/>
  </r>
  <r>
    <n v="3196"/>
    <s v="Weaver"/>
    <s v="Hallie Weaver"/>
    <s v="Hallie"/>
    <n v="1429"/>
    <x v="4"/>
    <x v="165"/>
    <n v="2"/>
    <x v="0"/>
    <x v="5"/>
    <n v="0.25"/>
    <n v="412"/>
    <n v="1648"/>
    <n v="1236"/>
    <s v="Daniel"/>
    <n v="1429"/>
    <s v="Mentoring program"/>
    <d v="2024-09-10T00:00:00"/>
    <n v="3"/>
    <s v="Delivered"/>
    <s v="SA"/>
    <s v="70998 Park Avenue"/>
    <s v="Mount Gambier"/>
    <n v="5290"/>
    <n v="1200"/>
    <n v="3600"/>
    <s v="+61 7 6237 2109"/>
  </r>
  <r>
    <n v="3197"/>
    <s v="Jensen"/>
    <s v="Jason Jensen"/>
    <s v="Jason"/>
    <n v="1430"/>
    <x v="4"/>
    <x v="138"/>
    <n v="1"/>
    <x v="0"/>
    <x v="2"/>
    <n v="0.25"/>
    <n v="323.25"/>
    <n v="1293"/>
    <n v="969.75"/>
    <s v="Terrence"/>
    <n v="1430"/>
    <s v="Mentoring program"/>
    <d v="2024-06-19T00:00:00"/>
    <n v="3"/>
    <s v="Delivered"/>
    <s v="NSW"/>
    <s v="8167 King Street"/>
    <s v="Sydney"/>
    <n v="2000"/>
    <n v="1200"/>
    <n v="3600"/>
    <s v="+61 8 3965 4830"/>
  </r>
  <r>
    <n v="3198"/>
    <s v="Ayala"/>
    <s v="Elaina Ayala"/>
    <s v="Elaina"/>
    <n v="1431"/>
    <x v="4"/>
    <x v="54"/>
    <n v="2"/>
    <x v="2"/>
    <x v="7"/>
    <n v="0.25"/>
    <n v="303.5"/>
    <n v="1214"/>
    <n v="910.5"/>
    <s v="Priscilla"/>
    <n v="1431"/>
    <s v="Mentoring program"/>
    <d v="2024-10-24T00:00:00"/>
    <n v="1"/>
    <s v="Service Booked"/>
    <s v="NT"/>
    <s v="15747 Park Avenue"/>
    <s v="Alice Springs"/>
    <n v="870"/>
    <n v="1200"/>
    <n v="1200"/>
    <s v="+61 7 7352 3406"/>
  </r>
  <r>
    <n v="3199"/>
    <s v="Walton"/>
    <s v="Genevieve Walton"/>
    <s v="Genevieve"/>
    <n v="1432"/>
    <x v="4"/>
    <x v="138"/>
    <n v="3"/>
    <x v="2"/>
    <x v="0"/>
    <n v="0.25"/>
    <n v="354.5"/>
    <n v="1418"/>
    <n v="1063.5"/>
    <s v="Daniel"/>
    <n v="1432"/>
    <s v="Mentoring program"/>
    <d v="2024-06-19T00:00:00"/>
    <n v="2"/>
    <s v="Service Booked"/>
    <s v="WA"/>
    <s v="38796 King Street"/>
    <s v="Broome"/>
    <n v="6725"/>
    <n v="1200"/>
    <n v="2400"/>
    <s v="+61 5 8029 9708"/>
  </r>
  <r>
    <n v="3200"/>
    <s v="Kirk"/>
    <s v="Mathias Kirk"/>
    <s v="Mathias"/>
    <n v="1433"/>
    <x v="5"/>
    <x v="166"/>
    <n v="2"/>
    <x v="2"/>
    <x v="2"/>
    <n v="0.3"/>
    <n v="465.59999999999997"/>
    <n v="1552"/>
    <n v="1086.4000000000001"/>
    <s v="Kelly"/>
    <n v="1433"/>
    <s v="Resume (service fee)"/>
    <d v="2024-10-09T00:00:00"/>
    <n v="3"/>
    <s v="Service Booked"/>
    <s v="NSW"/>
    <s v="72046 George Street"/>
    <s v="Wollongong"/>
    <n v="2500"/>
    <n v="600"/>
    <n v="1800"/>
    <s v="+61 3 3758 3336"/>
  </r>
  <r>
    <n v="3201"/>
    <s v="Terrell"/>
    <s v="Isabelle Terrell"/>
    <s v="Isabelle"/>
    <n v="1434"/>
    <x v="0"/>
    <x v="167"/>
    <n v="1"/>
    <x v="3"/>
    <x v="3"/>
    <n v="0.1"/>
    <n v="5"/>
    <n v="50"/>
    <n v="45"/>
    <s v="Kelly"/>
    <n v="1434"/>
    <s v="Interview Prep"/>
    <d v="2024-05-13T00:00:00"/>
    <n v="2"/>
    <s v="Cancelled"/>
    <s v="VIC"/>
    <s v="87002 Park Avenue"/>
    <s v="Melbourne"/>
    <n v="3000"/>
    <n v="250"/>
    <n v="500"/>
    <s v="+61 3 2969 3359"/>
  </r>
  <r>
    <n v="3202"/>
    <s v="Norris"/>
    <s v="Kobe Norris"/>
    <s v="Kobe"/>
    <n v="1435"/>
    <x v="2"/>
    <x v="159"/>
    <n v="2"/>
    <x v="0"/>
    <x v="4"/>
    <n v="0.25"/>
    <n v="279.25"/>
    <n v="1117"/>
    <n v="837.75"/>
    <s v="Brian"/>
    <n v="1435"/>
    <s v="LinkedIn profile"/>
    <d v="2024-03-12T00:00:00"/>
    <n v="1"/>
    <s v="Delivered"/>
    <s v="QLD"/>
    <s v="67405 Main Street"/>
    <s v="Cairns"/>
    <n v="4870"/>
    <n v="300"/>
    <n v="300"/>
    <s v="+61 2 7701 2644"/>
  </r>
  <r>
    <n v="3203"/>
    <s v="Huerta"/>
    <s v="Avianna Huerta"/>
    <s v="Avianna"/>
    <n v="1436"/>
    <x v="4"/>
    <x v="168"/>
    <n v="2"/>
    <x v="1"/>
    <x v="1"/>
    <n v="0.25"/>
    <n v="238.5"/>
    <n v="954"/>
    <n v="715.5"/>
    <s v="Brian"/>
    <n v="1436"/>
    <s v="Mentoring program"/>
    <d v="2024-10-31T00:00:00"/>
    <n v="2"/>
    <s v="In Progress"/>
    <s v="ACT"/>
    <s v="15747 Elizabeth Street"/>
    <s v="Canberra"/>
    <n v="2600"/>
    <n v="1200"/>
    <n v="2400"/>
    <s v="+61 6 2915 6519"/>
  </r>
  <r>
    <n v="3204"/>
    <s v="Hail"/>
    <s v="Raymond Hail"/>
    <s v="Raymond"/>
    <n v="1437"/>
    <x v="3"/>
    <x v="125"/>
    <n v="1"/>
    <x v="0"/>
    <x v="7"/>
    <n v="0.2"/>
    <n v="138.4"/>
    <n v="692"/>
    <n v="553.6"/>
    <s v="Daniel"/>
    <n v="1437"/>
    <s v="Networking Strategy"/>
    <d v="2024-02-22T00:00:00"/>
    <n v="2"/>
    <s v="Delivered"/>
    <s v="NT"/>
    <s v="72041 King Street"/>
    <s v="Alice Springs"/>
    <n v="870"/>
    <n v="250"/>
    <n v="500"/>
    <s v="+61 6 4634 7533"/>
  </r>
  <r>
    <n v="3205"/>
    <s v="Bauer"/>
    <s v="Melanie Bauer"/>
    <s v="Melanie"/>
    <n v="1438"/>
    <x v="0"/>
    <x v="169"/>
    <n v="3"/>
    <x v="2"/>
    <x v="4"/>
    <n v="0.1"/>
    <n v="143.6"/>
    <n v="1436"/>
    <n v="1292.4000000000001"/>
    <s v="Kelly"/>
    <n v="1438"/>
    <s v="Interview Prep"/>
    <d v="2024-10-10T00:00:00"/>
    <n v="1"/>
    <s v="Service Booked"/>
    <s v="QLD"/>
    <s v="71842 George Street"/>
    <s v="Cairns"/>
    <n v="4870"/>
    <n v="250"/>
    <n v="250"/>
    <s v="+61 5 4174 9967"/>
  </r>
  <r>
    <n v="3206"/>
    <s v="English"/>
    <s v="Jordan English"/>
    <s v="Jordan"/>
    <n v="1439"/>
    <x v="3"/>
    <x v="79"/>
    <n v="2"/>
    <x v="0"/>
    <x v="6"/>
    <n v="0.2"/>
    <n v="259.40000000000003"/>
    <n v="1297"/>
    <n v="1037.5999999999999"/>
    <s v="Priscilla"/>
    <n v="1439"/>
    <s v="Networking Strategy"/>
    <d v="2024-08-14T00:00:00"/>
    <n v="2"/>
    <s v="Delivered"/>
    <s v="TAS"/>
    <s v="58474 George Street"/>
    <s v="Hobart"/>
    <n v="7000"/>
    <n v="250"/>
    <n v="500"/>
    <s v="+61 8 9010 3405"/>
  </r>
  <r>
    <n v="3207"/>
    <s v="Allen"/>
    <s v="Dakota Allen"/>
    <s v="Dakota"/>
    <n v="1440"/>
    <x v="4"/>
    <x v="170"/>
    <n v="2"/>
    <x v="3"/>
    <x v="0"/>
    <n v="0.25"/>
    <n v="252.75"/>
    <n v="1011"/>
    <n v="758.25"/>
    <s v="Priscilla"/>
    <n v="1440"/>
    <s v="Mentoring program"/>
    <d v="2024-08-31T00:00:00"/>
    <n v="3"/>
    <s v="Cancelled"/>
    <s v="WA"/>
    <s v="19470 Park Avenue"/>
    <s v="Perth"/>
    <n v="6000"/>
    <n v="1200"/>
    <n v="3600"/>
    <s v="+61 7 7390 8269"/>
  </r>
  <r>
    <n v="3208"/>
    <s v="Benson"/>
    <s v="Victor Benson"/>
    <s v="Victor"/>
    <n v="1441"/>
    <x v="0"/>
    <x v="84"/>
    <n v="1"/>
    <x v="2"/>
    <x v="4"/>
    <n v="0.1"/>
    <n v="122.80000000000001"/>
    <n v="1228"/>
    <n v="1105.2"/>
    <s v="Priscilla"/>
    <n v="1441"/>
    <s v="Interview Prep"/>
    <d v="2024-01-23T00:00:00"/>
    <n v="2"/>
    <s v="Service Booked"/>
    <s v="QLD"/>
    <s v="18703 George Street"/>
    <s v="Cairns"/>
    <n v="4870"/>
    <n v="250"/>
    <n v="500"/>
    <s v="+61 7 7986 1424"/>
  </r>
  <r>
    <n v="3209"/>
    <s v="Blankenship"/>
    <s v="Gabriel Blankenship"/>
    <s v="Gabriel"/>
    <n v="1442"/>
    <x v="1"/>
    <x v="171"/>
    <n v="3"/>
    <x v="0"/>
    <x v="3"/>
    <n v="0.3"/>
    <n v="228.29999999999998"/>
    <n v="761"/>
    <n v="532.70000000000005"/>
    <s v="Terrence"/>
    <n v="1442"/>
    <s v="Resume + LinkedIn Profile"/>
    <d v="2024-03-06T00:00:00"/>
    <n v="2"/>
    <s v="Delivered"/>
    <s v="VIC"/>
    <s v="74782 King Street"/>
    <s v="Melbourne"/>
    <n v="3000"/>
    <n v="800"/>
    <n v="1600"/>
    <s v="+61 6 9826 5838"/>
  </r>
  <r>
    <n v="3210"/>
    <s v="Cunningham"/>
    <s v="Julia Cunningham"/>
    <s v="Julia"/>
    <n v="1443"/>
    <x v="4"/>
    <x v="172"/>
    <n v="2"/>
    <x v="0"/>
    <x v="0"/>
    <n v="0.25"/>
    <n v="116.5"/>
    <n v="466"/>
    <n v="349.5"/>
    <s v="Daniel"/>
    <n v="1443"/>
    <s v="Mentoring program"/>
    <d v="2024-03-05T00:00:00"/>
    <n v="3"/>
    <s v="Delivered"/>
    <s v="WA"/>
    <s v="56662 King Street"/>
    <s v="Broome"/>
    <n v="6725"/>
    <n v="1200"/>
    <n v="3600"/>
    <s v="+61 2 7558 4740"/>
  </r>
  <r>
    <n v="3211"/>
    <s v="Cantu"/>
    <s v="Callen Cantu"/>
    <s v="Callen"/>
    <n v="1444"/>
    <x v="2"/>
    <x v="173"/>
    <n v="2"/>
    <x v="0"/>
    <x v="0"/>
    <n v="0.25"/>
    <n v="79.75"/>
    <n v="319"/>
    <n v="239.25"/>
    <s v="Brian"/>
    <n v="1444"/>
    <s v="LinkedIn profile"/>
    <d v="2024-09-18T00:00:00"/>
    <n v="2"/>
    <s v="Delivered"/>
    <s v="WA"/>
    <s v="33800 George Street"/>
    <s v="Broome"/>
    <n v="6725"/>
    <n v="300"/>
    <n v="600"/>
    <s v="+61 3 7806 9582"/>
  </r>
  <r>
    <n v="3212"/>
    <s v="Stewart"/>
    <s v="Nylah Stewart"/>
    <s v="Nylah"/>
    <n v="1445"/>
    <x v="5"/>
    <x v="61"/>
    <n v="3"/>
    <x v="2"/>
    <x v="7"/>
    <n v="0.3"/>
    <n v="17.099999999999998"/>
    <n v="57"/>
    <n v="39.900000000000006"/>
    <s v="Kelly"/>
    <n v="1445"/>
    <s v="Resume (service fee)"/>
    <d v="2024-09-05T00:00:00"/>
    <n v="3"/>
    <s v="Service Booked"/>
    <s v="NT"/>
    <s v="72622 King Street"/>
    <s v="Alice Springs"/>
    <n v="870"/>
    <n v="600"/>
    <n v="1800"/>
    <s v="+61 8 6360 8797"/>
  </r>
  <r>
    <n v="3213"/>
    <s v="Rich"/>
    <s v="Paul Rich"/>
    <s v="Paul"/>
    <n v="1446"/>
    <x v="1"/>
    <x v="174"/>
    <n v="3"/>
    <x v="0"/>
    <x v="5"/>
    <n v="0.3"/>
    <n v="451.5"/>
    <n v="1505"/>
    <n v="1053.5"/>
    <s v="Brian"/>
    <n v="1446"/>
    <s v="Resume + LinkedIn Profile"/>
    <d v="2024-03-13T00:00:00"/>
    <n v="1"/>
    <s v="Delivered"/>
    <s v="SA"/>
    <s v="56698 George Street"/>
    <s v="Adelaide"/>
    <n v="5000"/>
    <n v="800"/>
    <n v="800"/>
    <s v="+61 2 9769 1187"/>
  </r>
  <r>
    <n v="3214"/>
    <s v="Monroe"/>
    <s v="Marco Monroe"/>
    <s v="Marco"/>
    <n v="1447"/>
    <x v="3"/>
    <x v="135"/>
    <n v="3"/>
    <x v="0"/>
    <x v="4"/>
    <n v="0.2"/>
    <n v="147.80000000000001"/>
    <n v="739"/>
    <n v="591.20000000000005"/>
    <s v="Terrence"/>
    <n v="1447"/>
    <s v="Networking Strategy"/>
    <d v="2024-08-16T00:00:00"/>
    <n v="2"/>
    <s v="Delivered"/>
    <s v="QLD"/>
    <s v="24900 Elizabeth Street"/>
    <s v="Brisbane"/>
    <n v="4000"/>
    <n v="250"/>
    <n v="500"/>
    <s v="+61 6 3126 8733"/>
  </r>
  <r>
    <n v="3215"/>
    <s v="Cherry"/>
    <s v="Diego Cherry"/>
    <s v="Diego"/>
    <n v="1448"/>
    <x v="2"/>
    <x v="175"/>
    <n v="3"/>
    <x v="2"/>
    <x v="3"/>
    <n v="0.25"/>
    <n v="443"/>
    <n v="1772"/>
    <n v="1329"/>
    <s v="Priscilla"/>
    <n v="1448"/>
    <s v="LinkedIn profile"/>
    <d v="2024-08-06T00:00:00"/>
    <n v="2"/>
    <s v="Service Booked"/>
    <s v="VIC"/>
    <s v="68827 Main Street"/>
    <s v="Ballarat"/>
    <n v="3350"/>
    <n v="300"/>
    <n v="600"/>
    <s v="+61 3 4611 4540"/>
  </r>
  <r>
    <n v="3216"/>
    <s v="Mitchell"/>
    <s v="Ailani Mitchell"/>
    <s v="Ailani"/>
    <n v="1449"/>
    <x v="4"/>
    <x v="87"/>
    <n v="1"/>
    <x v="2"/>
    <x v="7"/>
    <n v="0.25"/>
    <n v="83.75"/>
    <n v="335"/>
    <n v="251.25"/>
    <s v="Kelly"/>
    <n v="1449"/>
    <s v="Mentoring program"/>
    <d v="2024-09-25T00:00:00"/>
    <n v="3"/>
    <s v="Service Booked"/>
    <s v="NT"/>
    <s v="82476 King Street"/>
    <s v="Alice Springs"/>
    <n v="870"/>
    <n v="1200"/>
    <n v="3600"/>
    <s v="+61 2 1751 6920"/>
  </r>
  <r>
    <n v="3217"/>
    <s v="Dunlap"/>
    <s v="Amira Dunlap"/>
    <s v="Amira"/>
    <n v="1450"/>
    <x v="4"/>
    <x v="176"/>
    <n v="2"/>
    <x v="1"/>
    <x v="7"/>
    <n v="0.25"/>
    <n v="407"/>
    <n v="1628"/>
    <n v="1221"/>
    <s v="Daniel"/>
    <n v="1450"/>
    <s v="Mentoring program"/>
    <d v="2024-11-15T00:00:00"/>
    <n v="1"/>
    <s v="In Progress"/>
    <s v="NT"/>
    <s v="99364 Main Street"/>
    <s v="Darwin"/>
    <n v="800"/>
    <n v="1200"/>
    <n v="1200"/>
    <s v="+61 6 5457 9565"/>
  </r>
  <r>
    <n v="3218"/>
    <s v="Thornton"/>
    <s v="Alaina Thornton"/>
    <s v="Alaina"/>
    <n v="1451"/>
    <x v="4"/>
    <x v="177"/>
    <n v="2"/>
    <x v="2"/>
    <x v="5"/>
    <n v="0.25"/>
    <n v="404.5"/>
    <n v="1618"/>
    <n v="1213.5"/>
    <s v="Priscilla"/>
    <n v="1451"/>
    <s v="Mentoring program"/>
    <d v="2024-09-19T00:00:00"/>
    <n v="3"/>
    <s v="Service Booked"/>
    <s v="SA"/>
    <s v="70198 Elizabeth Street"/>
    <s v="Mount Gambier"/>
    <n v="5290"/>
    <n v="1200"/>
    <n v="3600"/>
    <s v="+61 7 5958 7903"/>
  </r>
  <r>
    <n v="3219"/>
    <s v="Baker"/>
    <s v="King Baker"/>
    <s v="King"/>
    <n v="1452"/>
    <x v="2"/>
    <x v="178"/>
    <n v="1"/>
    <x v="0"/>
    <x v="3"/>
    <n v="0.25"/>
    <n v="420.75"/>
    <n v="1683"/>
    <n v="1262.25"/>
    <s v="Brian"/>
    <n v="1452"/>
    <s v="LinkedIn profile"/>
    <d v="2024-12-05T00:00:00"/>
    <n v="2"/>
    <s v="Delivered"/>
    <s v="VIC"/>
    <s v="95350 Elizabeth Street"/>
    <s v="Ballarat"/>
    <n v="3350"/>
    <n v="300"/>
    <n v="600"/>
    <s v="+61 3 3946 1798"/>
  </r>
  <r>
    <n v="3220"/>
    <s v="Sierra"/>
    <s v="Dante Sierra"/>
    <s v="Dante"/>
    <n v="1453"/>
    <x v="4"/>
    <x v="179"/>
    <n v="2"/>
    <x v="2"/>
    <x v="6"/>
    <n v="0.25"/>
    <n v="396.5"/>
    <n v="1586"/>
    <n v="1189.5"/>
    <s v="Brian"/>
    <n v="1453"/>
    <s v="Mentoring program"/>
    <d v="2024-04-28T00:00:00"/>
    <n v="2"/>
    <s v="Service Booked"/>
    <s v="TAS"/>
    <s v="87660 Elizabeth Street"/>
    <s v="Hobart"/>
    <n v="7000"/>
    <n v="1200"/>
    <n v="2400"/>
    <s v="+61 3 8776 2770"/>
  </r>
  <r>
    <n v="3221"/>
    <s v="Griffith"/>
    <s v="Kashton Griffith"/>
    <s v="Kashton"/>
    <n v="1454"/>
    <x v="5"/>
    <x v="155"/>
    <n v="1"/>
    <x v="1"/>
    <x v="5"/>
    <n v="0.3"/>
    <n v="26.099999999999998"/>
    <n v="87"/>
    <n v="60.900000000000006"/>
    <s v="Terrence"/>
    <n v="1454"/>
    <s v="Resume (service fee)"/>
    <d v="2024-11-03T00:00:00"/>
    <n v="1"/>
    <s v="In Progress"/>
    <s v="SA"/>
    <s v="5589 Park Avenue"/>
    <s v="Whyalla"/>
    <n v="5600"/>
    <n v="600"/>
    <n v="600"/>
    <s v="+61 3 3845 6066"/>
  </r>
  <r>
    <n v="3222"/>
    <s v="James"/>
    <s v="Madison James"/>
    <s v="Madison"/>
    <n v="1455"/>
    <x v="3"/>
    <x v="17"/>
    <n v="2"/>
    <x v="0"/>
    <x v="2"/>
    <n v="0.2"/>
    <n v="291.60000000000002"/>
    <n v="1458"/>
    <n v="1166.4000000000001"/>
    <s v="Kelly"/>
    <n v="1455"/>
    <s v="Networking Strategy"/>
    <d v="2024-08-20T00:00:00"/>
    <n v="2"/>
    <s v="Delivered"/>
    <s v="NSW"/>
    <s v="52198 Elizabeth Street"/>
    <s v="Sydney"/>
    <n v="2000"/>
    <n v="250"/>
    <n v="500"/>
    <s v="+61 2 5542 6542"/>
  </r>
  <r>
    <n v="3223"/>
    <s v="Miles"/>
    <s v="Lewis Miles"/>
    <s v="Lewis"/>
    <n v="1456"/>
    <x v="3"/>
    <x v="180"/>
    <n v="1"/>
    <x v="1"/>
    <x v="5"/>
    <n v="0.2"/>
    <n v="296.40000000000003"/>
    <n v="1482"/>
    <n v="1185.5999999999999"/>
    <s v="Kelly"/>
    <n v="1456"/>
    <s v="Networking Strategy"/>
    <d v="2024-02-11T00:00:00"/>
    <n v="3"/>
    <s v="In Progress"/>
    <s v="SA"/>
    <s v="40604 King Street"/>
    <s v="Mount Gambier"/>
    <n v="5290"/>
    <n v="250"/>
    <n v="750"/>
    <s v="+61 4 1034 4670"/>
  </r>
  <r>
    <n v="3224"/>
    <s v="Booth"/>
    <s v="Karter Booth"/>
    <s v="Karter"/>
    <n v="1457"/>
    <x v="4"/>
    <x v="3"/>
    <n v="3"/>
    <x v="1"/>
    <x v="4"/>
    <n v="0.25"/>
    <n v="363.25"/>
    <n v="1453"/>
    <n v="1089.75"/>
    <s v="Terrence"/>
    <n v="1457"/>
    <s v="Mentoring program"/>
    <d v="2024-06-26T00:00:00"/>
    <n v="1"/>
    <s v="In Progress"/>
    <s v="QLD"/>
    <s v="63957 King Street"/>
    <s v="Brisbane"/>
    <n v="4000"/>
    <n v="1200"/>
    <n v="1200"/>
    <s v="+61 4 8695 2168"/>
  </r>
  <r>
    <n v="3225"/>
    <s v="Jordan"/>
    <s v="Fernando Jordan"/>
    <s v="Fernando"/>
    <n v="1458"/>
    <x v="4"/>
    <x v="158"/>
    <n v="2"/>
    <x v="2"/>
    <x v="3"/>
    <n v="0.25"/>
    <n v="220.5"/>
    <n v="882"/>
    <n v="661.5"/>
    <s v="Brian"/>
    <n v="1458"/>
    <s v="Mentoring program"/>
    <d v="2024-07-03T00:00:00"/>
    <n v="2"/>
    <s v="Service Booked"/>
    <s v="VIC"/>
    <s v="89320 King Street"/>
    <s v="Ballarat"/>
    <n v="3350"/>
    <n v="1200"/>
    <n v="2400"/>
    <s v="+61 2 3527 5145"/>
  </r>
  <r>
    <n v="3226"/>
    <s v="Baker"/>
    <s v="Marley Baker"/>
    <s v="Marley"/>
    <n v="1459"/>
    <x v="1"/>
    <x v="10"/>
    <n v="1"/>
    <x v="2"/>
    <x v="6"/>
    <n v="0.3"/>
    <n v="457.2"/>
    <n v="1524"/>
    <n v="1066.8"/>
    <s v="Kelly"/>
    <n v="1459"/>
    <s v="Resume + LinkedIn Profile"/>
    <d v="2024-05-02T00:00:00"/>
    <n v="2"/>
    <s v="Service Booked"/>
    <s v="TAS"/>
    <s v="83005 Elizabeth Street"/>
    <s v="Devonport"/>
    <n v="7310"/>
    <n v="800"/>
    <n v="1600"/>
    <s v="+61 4 7413 3436"/>
  </r>
  <r>
    <n v="3227"/>
    <s v="Sanders"/>
    <s v="Lukas Sanders"/>
    <s v="Lukas"/>
    <n v="1460"/>
    <x v="5"/>
    <x v="148"/>
    <n v="1"/>
    <x v="2"/>
    <x v="4"/>
    <n v="0.3"/>
    <n v="290.39999999999998"/>
    <n v="968"/>
    <n v="677.6"/>
    <s v="Brian"/>
    <n v="1460"/>
    <s v="Resume (service fee)"/>
    <d v="2024-01-07T00:00:00"/>
    <n v="1"/>
    <s v="Service Booked"/>
    <s v="QLD"/>
    <s v="14286 George Street"/>
    <s v="Brisbane"/>
    <n v="4000"/>
    <n v="600"/>
    <n v="600"/>
    <s v="+61 7 8920 6050"/>
  </r>
  <r>
    <n v="3228"/>
    <s v="Orozco"/>
    <s v="River Orozco"/>
    <s v="River"/>
    <n v="1461"/>
    <x v="3"/>
    <x v="157"/>
    <n v="3"/>
    <x v="2"/>
    <x v="0"/>
    <n v="0.2"/>
    <n v="145"/>
    <n v="725"/>
    <n v="580"/>
    <s v="Terrence"/>
    <n v="1461"/>
    <s v="Networking Strategy"/>
    <d v="2024-04-09T00:00:00"/>
    <n v="3"/>
    <s v="Service Booked"/>
    <s v="WA"/>
    <s v="36180 Park Avenue"/>
    <s v="Perth"/>
    <n v="6000"/>
    <n v="250"/>
    <n v="750"/>
    <s v="+61 9 9604 2224"/>
  </r>
  <r>
    <n v="3229"/>
    <s v="Nuñez"/>
    <s v="Mackenzie Nuñez"/>
    <s v="Mackenzie"/>
    <n v="1462"/>
    <x v="0"/>
    <x v="8"/>
    <n v="2"/>
    <x v="0"/>
    <x v="5"/>
    <n v="0.1"/>
    <n v="138.4"/>
    <n v="1384"/>
    <n v="1245.5999999999999"/>
    <s v="Priscilla"/>
    <n v="1462"/>
    <s v="Interview Prep"/>
    <d v="2024-02-08T00:00:00"/>
    <n v="3"/>
    <s v="Delivered"/>
    <s v="SA"/>
    <s v="40342 Elizabeth Street"/>
    <s v="Whyalla"/>
    <n v="5600"/>
    <n v="250"/>
    <n v="750"/>
    <s v="+61 2 7351 2472"/>
  </r>
  <r>
    <n v="3230"/>
    <s v="Dixon"/>
    <s v="Stevie Dixon"/>
    <s v="Stevie"/>
    <n v="1463"/>
    <x v="1"/>
    <x v="108"/>
    <n v="3"/>
    <x v="0"/>
    <x v="3"/>
    <n v="0.3"/>
    <n v="139.79999999999998"/>
    <n v="466"/>
    <n v="326.20000000000005"/>
    <s v="Daniel"/>
    <n v="1463"/>
    <s v="Resume + LinkedIn Profile"/>
    <d v="2024-07-08T00:00:00"/>
    <n v="2"/>
    <s v="Delivered"/>
    <s v="VIC"/>
    <s v="6497 George Street"/>
    <s v="Ballarat"/>
    <n v="3350"/>
    <n v="800"/>
    <n v="1600"/>
    <s v="+61 3 3445 1836"/>
  </r>
  <r>
    <n v="3231"/>
    <s v="Spencer"/>
    <s v="Rosemary Spencer"/>
    <s v="Rosemary"/>
    <n v="1464"/>
    <x v="2"/>
    <x v="177"/>
    <n v="3"/>
    <x v="2"/>
    <x v="1"/>
    <n v="0.25"/>
    <n v="56.75"/>
    <n v="227"/>
    <n v="170.25"/>
    <s v="Terrence"/>
    <n v="1464"/>
    <s v="LinkedIn profile"/>
    <d v="2024-09-19T00:00:00"/>
    <n v="3"/>
    <s v="Service Booked"/>
    <s v="ACT"/>
    <s v="70610 Main Street"/>
    <s v="Canberra"/>
    <n v="2600"/>
    <n v="300"/>
    <n v="900"/>
    <s v="+61 9 9556 2575"/>
  </r>
  <r>
    <n v="3232"/>
    <s v="Ellison"/>
    <s v="Zayn Ellison"/>
    <s v="Zayn"/>
    <n v="1465"/>
    <x v="4"/>
    <x v="181"/>
    <n v="1"/>
    <x v="2"/>
    <x v="6"/>
    <n v="0.25"/>
    <n v="296.75"/>
    <n v="1187"/>
    <n v="890.25"/>
    <s v="Priscilla"/>
    <n v="1465"/>
    <s v="Mentoring program"/>
    <d v="2024-09-06T00:00:00"/>
    <n v="2"/>
    <s v="Service Booked"/>
    <s v="TAS"/>
    <s v="88071 Elizabeth Street"/>
    <s v="Devonport"/>
    <n v="7310"/>
    <n v="1200"/>
    <n v="2400"/>
    <s v="+61 7 9920 4262"/>
  </r>
  <r>
    <n v="3233"/>
    <s v="Santiago"/>
    <s v="Kobe Santiago"/>
    <s v="Kobe"/>
    <n v="1466"/>
    <x v="0"/>
    <x v="155"/>
    <n v="2"/>
    <x v="0"/>
    <x v="1"/>
    <n v="0.1"/>
    <n v="54.300000000000004"/>
    <n v="543"/>
    <n v="488.7"/>
    <s v="Daniel"/>
    <n v="1466"/>
    <s v="Interview Prep"/>
    <d v="2024-11-03T00:00:00"/>
    <n v="3"/>
    <s v="Delivered"/>
    <s v="ACT"/>
    <s v="23219 George Street"/>
    <s v="Canberra"/>
    <n v="2600"/>
    <n v="250"/>
    <n v="750"/>
    <s v="+61 6 1213 4289"/>
  </r>
  <r>
    <n v="3234"/>
    <s v="Bean"/>
    <s v="Cataleya Bean"/>
    <s v="Cataleya"/>
    <n v="1467"/>
    <x v="0"/>
    <x v="146"/>
    <n v="3"/>
    <x v="2"/>
    <x v="5"/>
    <n v="0.1"/>
    <n v="91.100000000000009"/>
    <n v="911"/>
    <n v="819.9"/>
    <s v="Priscilla"/>
    <n v="1467"/>
    <s v="Interview Prep"/>
    <d v="2024-02-16T00:00:00"/>
    <n v="2"/>
    <s v="Service Booked"/>
    <s v="SA"/>
    <s v="66601 Park Avenue"/>
    <s v="Whyalla"/>
    <n v="5600"/>
    <n v="250"/>
    <n v="500"/>
    <s v="+61 3 4425 6625"/>
  </r>
  <r>
    <n v="3235"/>
    <s v="Blevins"/>
    <s v="Collin Blevins"/>
    <s v="Collin"/>
    <n v="1468"/>
    <x v="0"/>
    <x v="182"/>
    <n v="1"/>
    <x v="0"/>
    <x v="6"/>
    <n v="0.1"/>
    <n v="76.5"/>
    <n v="765"/>
    <n v="688.5"/>
    <s v="Brian"/>
    <n v="1468"/>
    <s v="Interview Prep"/>
    <d v="2024-06-25T00:00:00"/>
    <n v="2"/>
    <s v="Delivered"/>
    <s v="TAS"/>
    <s v="98545 Elizabeth Street"/>
    <s v="Launceston"/>
    <n v="7250"/>
    <n v="250"/>
    <n v="500"/>
    <s v="+61 3 2472 9476"/>
  </r>
  <r>
    <n v="3236"/>
    <s v="Jordan"/>
    <s v="Daisy Jordan"/>
    <s v="Daisy"/>
    <n v="1469"/>
    <x v="5"/>
    <x v="53"/>
    <n v="2"/>
    <x v="3"/>
    <x v="7"/>
    <n v="0.3"/>
    <n v="60.3"/>
    <n v="201"/>
    <n v="140.69999999999999"/>
    <s v="Daniel"/>
    <n v="1469"/>
    <s v="Resume (service fee)"/>
    <d v="2024-08-27T00:00:00"/>
    <n v="2"/>
    <s v="Cancelled"/>
    <s v="NT"/>
    <s v="16299 King Street"/>
    <s v="Darwin"/>
    <n v="800"/>
    <n v="600"/>
    <n v="1200"/>
    <s v="+61 9 2905 3791"/>
  </r>
  <r>
    <n v="3237"/>
    <s v="Burton"/>
    <s v="Grady Burton"/>
    <s v="Grady"/>
    <n v="1470"/>
    <x v="2"/>
    <x v="169"/>
    <n v="1"/>
    <x v="0"/>
    <x v="6"/>
    <n v="0.25"/>
    <n v="111.25"/>
    <n v="445"/>
    <n v="333.75"/>
    <s v="Kelly"/>
    <n v="1470"/>
    <s v="LinkedIn profile"/>
    <d v="2024-10-10T00:00:00"/>
    <n v="1"/>
    <s v="Delivered"/>
    <s v="TAS"/>
    <s v="84789 Main Street"/>
    <s v="Devonport"/>
    <n v="7310"/>
    <n v="300"/>
    <n v="300"/>
    <s v="+61 3 1847 7499"/>
  </r>
  <r>
    <n v="3238"/>
    <s v="Jacobs"/>
    <s v="Thomas Jacobs"/>
    <s v="Thomas"/>
    <n v="1471"/>
    <x v="4"/>
    <x v="183"/>
    <n v="1"/>
    <x v="0"/>
    <x v="5"/>
    <n v="0.25"/>
    <n v="389.5"/>
    <n v="1558"/>
    <n v="1168.5"/>
    <s v="Terrence"/>
    <n v="1471"/>
    <s v="Mentoring program"/>
    <d v="2024-05-05T00:00:00"/>
    <n v="2"/>
    <s v="Delivered"/>
    <s v="SA"/>
    <s v="67667 Park Avenue"/>
    <s v="Mount Gambier"/>
    <n v="5290"/>
    <n v="1200"/>
    <n v="2400"/>
    <s v="+61 4 2886 2825"/>
  </r>
  <r>
    <n v="3239"/>
    <s v="Garza"/>
    <s v="Natalia Garza"/>
    <s v="Natalia"/>
    <n v="1472"/>
    <x v="0"/>
    <x v="184"/>
    <n v="1"/>
    <x v="0"/>
    <x v="2"/>
    <n v="0.1"/>
    <n v="54.400000000000006"/>
    <n v="544"/>
    <n v="489.6"/>
    <s v="Terrence"/>
    <n v="1472"/>
    <s v="Interview Prep"/>
    <d v="2024-05-22T00:00:00"/>
    <n v="3"/>
    <s v="Delivered"/>
    <s v="NSW"/>
    <s v="43934 Park Avenue"/>
    <s v="Sydney"/>
    <n v="2000"/>
    <n v="250"/>
    <n v="750"/>
    <s v="+61 3 4517 5236"/>
  </r>
  <r>
    <n v="3240"/>
    <s v="Newman"/>
    <s v="Celine Newman"/>
    <s v="Celine"/>
    <n v="1473"/>
    <x v="3"/>
    <x v="91"/>
    <n v="1"/>
    <x v="0"/>
    <x v="0"/>
    <n v="0.2"/>
    <n v="329.8"/>
    <n v="1649"/>
    <n v="1319.2"/>
    <s v="Daniel"/>
    <n v="1473"/>
    <s v="Networking Strategy"/>
    <d v="2024-08-15T00:00:00"/>
    <n v="2"/>
    <s v="Delivered"/>
    <s v="WA"/>
    <s v="75213 Main Street"/>
    <s v="Fremantle"/>
    <n v="6160"/>
    <n v="250"/>
    <n v="500"/>
    <s v="+61 2 6518 4178"/>
  </r>
  <r>
    <n v="3241"/>
    <s v="Robbins"/>
    <s v="Alex Robbins"/>
    <s v="Alex"/>
    <n v="1474"/>
    <x v="1"/>
    <x v="185"/>
    <n v="2"/>
    <x v="2"/>
    <x v="4"/>
    <n v="0.3"/>
    <n v="240"/>
    <n v="800"/>
    <n v="560"/>
    <s v="Priscilla"/>
    <n v="1474"/>
    <s v="Resume + LinkedIn Profile"/>
    <d v="2024-05-16T00:00:00"/>
    <n v="3"/>
    <s v="Service Booked"/>
    <s v="QLD"/>
    <s v="29935 Main Street"/>
    <s v="Brisbane"/>
    <n v="4000"/>
    <n v="800"/>
    <n v="2400"/>
    <s v="+61 3 4093 9473"/>
  </r>
  <r>
    <n v="3242"/>
    <s v="Sexton"/>
    <s v="Meadow Sexton"/>
    <s v="Meadow"/>
    <n v="1475"/>
    <x v="0"/>
    <x v="118"/>
    <n v="3"/>
    <x v="0"/>
    <x v="2"/>
    <n v="0.1"/>
    <n v="179"/>
    <n v="1790"/>
    <n v="1611"/>
    <s v="Kelly"/>
    <n v="1475"/>
    <s v="Interview Prep"/>
    <d v="2024-01-01T00:00:00"/>
    <n v="3"/>
    <s v="Delivered"/>
    <s v="NSW"/>
    <s v="46175 Park Avenue"/>
    <s v="Newcastle"/>
    <n v="2300"/>
    <n v="250"/>
    <n v="750"/>
    <s v="+61 3 7293 1088"/>
  </r>
  <r>
    <n v="3243"/>
    <s v="Ponce"/>
    <s v="Lucille Ponce"/>
    <s v="Lucille"/>
    <n v="1476"/>
    <x v="2"/>
    <x v="43"/>
    <n v="2"/>
    <x v="0"/>
    <x v="4"/>
    <n v="0.25"/>
    <n v="219.75"/>
    <n v="879"/>
    <n v="659.25"/>
    <s v="Brian"/>
    <n v="1476"/>
    <s v="LinkedIn profile"/>
    <d v="2024-12-22T00:00:00"/>
    <n v="1"/>
    <s v="Delivered"/>
    <s v="QLD"/>
    <s v="14043 King Street"/>
    <s v="Gold Coast"/>
    <n v="4217"/>
    <n v="300"/>
    <n v="300"/>
    <s v="+61 3 3373 3712"/>
  </r>
  <r>
    <n v="3244"/>
    <s v="Gonzales"/>
    <s v="Cairo Gonzales"/>
    <s v="Cairo"/>
    <n v="1477"/>
    <x v="0"/>
    <x v="66"/>
    <n v="2"/>
    <x v="0"/>
    <x v="1"/>
    <n v="0.1"/>
    <n v="173.20000000000002"/>
    <n v="1732"/>
    <n v="1558.8"/>
    <s v="Terrence"/>
    <n v="1477"/>
    <s v="Interview Prep"/>
    <d v="2024-03-03T00:00:00"/>
    <n v="3"/>
    <s v="Delivered"/>
    <s v="ACT"/>
    <s v="19685 Park Avenue"/>
    <s v="Canberra"/>
    <n v="2600"/>
    <n v="250"/>
    <n v="750"/>
    <s v="+61 7 9640 2971"/>
  </r>
  <r>
    <n v="3245"/>
    <s v="Mejia"/>
    <s v="Desmond Mejia"/>
    <s v="Desmond"/>
    <n v="1478"/>
    <x v="4"/>
    <x v="41"/>
    <n v="1"/>
    <x v="1"/>
    <x v="0"/>
    <n v="0.25"/>
    <n v="368.5"/>
    <n v="1474"/>
    <n v="1105.5"/>
    <s v="Brian"/>
    <n v="1478"/>
    <s v="Mentoring program"/>
    <d v="2024-09-15T00:00:00"/>
    <n v="2"/>
    <s v="In Progress"/>
    <s v="WA"/>
    <s v="51799 King Street"/>
    <s v="Broome"/>
    <n v="6725"/>
    <n v="1200"/>
    <n v="2400"/>
    <s v="+61 6 4484 3145"/>
  </r>
  <r>
    <n v="3246"/>
    <s v="Foster"/>
    <s v="Joy Foster"/>
    <s v="Joy"/>
    <n v="1479"/>
    <x v="0"/>
    <x v="186"/>
    <n v="2"/>
    <x v="1"/>
    <x v="4"/>
    <n v="0.1"/>
    <n v="103.4"/>
    <n v="1034"/>
    <n v="930.6"/>
    <s v="Brian"/>
    <n v="1479"/>
    <s v="Interview Prep"/>
    <d v="2024-11-26T00:00:00"/>
    <n v="2"/>
    <s v="In Progress"/>
    <s v="QLD"/>
    <s v="24866 George Street"/>
    <s v="Brisbane"/>
    <n v="4000"/>
    <n v="250"/>
    <n v="500"/>
    <s v="+61 8 4452 9285"/>
  </r>
  <r>
    <n v="3247"/>
    <s v="Bowers"/>
    <s v="Elaina Bowers"/>
    <s v="Elaina"/>
    <n v="1480"/>
    <x v="1"/>
    <x v="187"/>
    <n v="3"/>
    <x v="0"/>
    <x v="4"/>
    <n v="0.3"/>
    <n v="355.5"/>
    <n v="1185"/>
    <n v="829.5"/>
    <s v="Brian"/>
    <n v="1480"/>
    <s v="Resume + LinkedIn Profile"/>
    <d v="2024-06-14T00:00:00"/>
    <n v="2"/>
    <s v="Delivered"/>
    <s v="QLD"/>
    <s v="85866 Park Avenue"/>
    <s v="Gold Coast"/>
    <n v="4217"/>
    <n v="800"/>
    <n v="1600"/>
    <s v="+61 2 8619 1250"/>
  </r>
  <r>
    <n v="3248"/>
    <s v="Frazier"/>
    <s v="Ella Frazier"/>
    <s v="Ella"/>
    <n v="1481"/>
    <x v="4"/>
    <x v="188"/>
    <n v="1"/>
    <x v="2"/>
    <x v="7"/>
    <n v="0.25"/>
    <n v="211.5"/>
    <n v="846"/>
    <n v="634.5"/>
    <s v="Terrence"/>
    <n v="1481"/>
    <s v="Mentoring program"/>
    <d v="2024-11-07T00:00:00"/>
    <n v="1"/>
    <s v="Service Booked"/>
    <s v="NT"/>
    <s v="4375 Park Avenue"/>
    <s v="Darwin"/>
    <n v="800"/>
    <n v="1200"/>
    <n v="1200"/>
    <s v="+61 7 4908 1904"/>
  </r>
  <r>
    <n v="3249"/>
    <s v="Sparks"/>
    <s v="Christian Sparks"/>
    <s v="Christian"/>
    <n v="1482"/>
    <x v="3"/>
    <x v="94"/>
    <n v="2"/>
    <x v="0"/>
    <x v="3"/>
    <n v="0.2"/>
    <n v="238"/>
    <n v="1190"/>
    <n v="952"/>
    <s v="Priscilla"/>
    <n v="1482"/>
    <s v="Networking Strategy"/>
    <d v="2024-11-23T00:00:00"/>
    <n v="2"/>
    <s v="Delivered"/>
    <s v="VIC"/>
    <s v="69165 King Street"/>
    <s v="Geelong"/>
    <n v="3220"/>
    <n v="250"/>
    <n v="500"/>
    <s v="+61 5 3183 4910"/>
  </r>
  <r>
    <n v="3250"/>
    <s v="Villarreal"/>
    <s v="Damian Villarreal"/>
    <s v="Damian"/>
    <n v="1483"/>
    <x v="3"/>
    <x v="46"/>
    <n v="3"/>
    <x v="0"/>
    <x v="7"/>
    <n v="0.2"/>
    <n v="155.80000000000001"/>
    <n v="779"/>
    <n v="623.20000000000005"/>
    <s v="Priscilla"/>
    <n v="1483"/>
    <s v="Networking Strategy"/>
    <d v="2024-05-24T00:00:00"/>
    <n v="2"/>
    <s v="Delivered"/>
    <s v="NT"/>
    <s v="4566 King Street"/>
    <s v="Alice Springs"/>
    <n v="870"/>
    <n v="250"/>
    <n v="500"/>
    <s v="+61 4 4772 1999"/>
  </r>
  <r>
    <n v="3251"/>
    <s v="Acevedo"/>
    <s v="King Acevedo"/>
    <s v="King"/>
    <n v="1484"/>
    <x v="4"/>
    <x v="189"/>
    <n v="1"/>
    <x v="0"/>
    <x v="4"/>
    <n v="0.25"/>
    <n v="80.25"/>
    <n v="321"/>
    <n v="240.75"/>
    <s v="Priscilla"/>
    <n v="1484"/>
    <s v="Mentoring program"/>
    <d v="2024-02-28T00:00:00"/>
    <n v="3"/>
    <s v="Delivered"/>
    <s v="QLD"/>
    <s v="40063 Elizabeth Street"/>
    <s v="Brisbane"/>
    <n v="4000"/>
    <n v="1200"/>
    <n v="3600"/>
    <s v="+61 3 4926 7730"/>
  </r>
  <r>
    <n v="3252"/>
    <s v="Lozano"/>
    <s v="Lorenzo Lozano"/>
    <s v="Lorenzo"/>
    <n v="1485"/>
    <x v="0"/>
    <x v="190"/>
    <n v="1"/>
    <x v="2"/>
    <x v="4"/>
    <n v="0.1"/>
    <n v="23.5"/>
    <n v="235"/>
    <n v="211.5"/>
    <s v="Priscilla"/>
    <n v="1485"/>
    <s v="Interview Prep"/>
    <d v="2024-04-27T00:00:00"/>
    <n v="2"/>
    <s v="Service Booked"/>
    <s v="QLD"/>
    <s v="78175 Main Street"/>
    <s v="Brisbane"/>
    <n v="4000"/>
    <n v="250"/>
    <n v="500"/>
    <s v="+61 4 6823 8737"/>
  </r>
  <r>
    <n v="3253"/>
    <s v="Mcpherson"/>
    <s v="Tucker Mcpherson"/>
    <s v="Tucker"/>
    <n v="1486"/>
    <x v="5"/>
    <x v="57"/>
    <n v="3"/>
    <x v="2"/>
    <x v="0"/>
    <n v="0.3"/>
    <n v="375.3"/>
    <n v="1251"/>
    <n v="875.7"/>
    <s v="Daniel"/>
    <n v="1486"/>
    <s v="Resume (service fee)"/>
    <d v="2024-11-16T00:00:00"/>
    <n v="1"/>
    <s v="Service Booked"/>
    <s v="WA"/>
    <s v="42868 George Street"/>
    <s v="Perth"/>
    <n v="6000"/>
    <n v="600"/>
    <n v="600"/>
    <s v="+61 7 7282 1265"/>
  </r>
  <r>
    <n v="3254"/>
    <s v="Blankenship"/>
    <s v="Jade Blankenship"/>
    <s v="Jade"/>
    <n v="1487"/>
    <x v="2"/>
    <x v="191"/>
    <n v="1"/>
    <x v="0"/>
    <x v="3"/>
    <n v="0.25"/>
    <n v="326.25"/>
    <n v="1305"/>
    <n v="978.75"/>
    <s v="Kelly"/>
    <n v="1487"/>
    <s v="LinkedIn profile"/>
    <d v="2024-09-02T00:00:00"/>
    <n v="3"/>
    <s v="Delivered"/>
    <s v="VIC"/>
    <s v="3101 Main Street"/>
    <s v="Ballarat"/>
    <n v="3350"/>
    <n v="300"/>
    <n v="900"/>
    <s v="+61 8 3270 4332"/>
  </r>
  <r>
    <n v="3255"/>
    <s v="Riley"/>
    <s v="Amaya Riley"/>
    <s v="Amaya"/>
    <n v="1488"/>
    <x v="0"/>
    <x v="177"/>
    <n v="2"/>
    <x v="2"/>
    <x v="3"/>
    <n v="0.1"/>
    <n v="9.7000000000000011"/>
    <n v="97"/>
    <n v="87.3"/>
    <s v="Kelly"/>
    <n v="1488"/>
    <s v="Interview Prep"/>
    <d v="2024-09-19T00:00:00"/>
    <n v="3"/>
    <s v="Service Booked"/>
    <s v="VIC"/>
    <s v="10096 King Street"/>
    <s v="Melbourne"/>
    <n v="3000"/>
    <n v="250"/>
    <n v="750"/>
    <s v="+61 2 5022 1308"/>
  </r>
  <r>
    <n v="3256"/>
    <s v="Bruce"/>
    <s v="Adan Bruce"/>
    <s v="Adan"/>
    <n v="1489"/>
    <x v="3"/>
    <x v="20"/>
    <n v="1"/>
    <x v="0"/>
    <x v="0"/>
    <n v="0.2"/>
    <n v="306.60000000000002"/>
    <n v="1533"/>
    <n v="1226.4000000000001"/>
    <s v="Terrence"/>
    <n v="1489"/>
    <s v="Networking Strategy"/>
    <d v="2024-11-19T00:00:00"/>
    <n v="2"/>
    <s v="Delivered"/>
    <s v="WA"/>
    <s v="25612 Park Avenue"/>
    <s v="Fremantle"/>
    <n v="6160"/>
    <n v="250"/>
    <n v="500"/>
    <s v="+61 6 5584 9269"/>
  </r>
  <r>
    <n v="3257"/>
    <s v="Williams"/>
    <s v="Alessandra Williams"/>
    <s v="Alessandra"/>
    <n v="1490"/>
    <x v="5"/>
    <x v="48"/>
    <n v="1"/>
    <x v="0"/>
    <x v="3"/>
    <n v="0.3"/>
    <n v="119.69999999999999"/>
    <n v="399"/>
    <n v="279.3"/>
    <s v="Kelly"/>
    <n v="1490"/>
    <s v="Resume (service fee)"/>
    <d v="2024-02-18T00:00:00"/>
    <n v="2"/>
    <s v="Delivered"/>
    <s v="VIC"/>
    <s v="36982 George Street"/>
    <s v="Ballarat"/>
    <n v="3350"/>
    <n v="600"/>
    <n v="1200"/>
    <s v="+61 6 2198 6361"/>
  </r>
  <r>
    <n v="3258"/>
    <s v="Weiss"/>
    <s v="Gideon Weiss"/>
    <s v="Gideon"/>
    <n v="1491"/>
    <x v="0"/>
    <x v="135"/>
    <n v="3"/>
    <x v="0"/>
    <x v="4"/>
    <n v="0.1"/>
    <n v="43"/>
    <n v="430"/>
    <n v="387"/>
    <s v="Terrence"/>
    <n v="1491"/>
    <s v="Interview Prep"/>
    <d v="2024-08-16T00:00:00"/>
    <n v="3"/>
    <s v="Delivered"/>
    <s v="QLD"/>
    <s v="87817 Park Avenue"/>
    <s v="Brisbane"/>
    <n v="4000"/>
    <n v="250"/>
    <n v="750"/>
    <s v="+61 9 8099 5014"/>
  </r>
  <r>
    <n v="3259"/>
    <s v="Bowen"/>
    <s v="Ryker Bowen"/>
    <s v="Ryker"/>
    <n v="1492"/>
    <x v="4"/>
    <x v="156"/>
    <n v="2"/>
    <x v="0"/>
    <x v="5"/>
    <n v="0.25"/>
    <n v="309.25"/>
    <n v="1237"/>
    <n v="927.75"/>
    <s v="Kelly"/>
    <n v="1492"/>
    <s v="Mentoring program"/>
    <d v="2024-03-04T00:00:00"/>
    <n v="3"/>
    <s v="Delivered"/>
    <s v="SA"/>
    <s v="21769 Park Avenue"/>
    <s v="Whyalla"/>
    <n v="5600"/>
    <n v="1200"/>
    <n v="3600"/>
    <s v="+61 9 4992 4841"/>
  </r>
  <r>
    <n v="3260"/>
    <s v="Dorsey"/>
    <s v="Callen Dorsey"/>
    <s v="Callen"/>
    <n v="1493"/>
    <x v="4"/>
    <x v="192"/>
    <n v="2"/>
    <x v="0"/>
    <x v="3"/>
    <n v="0.25"/>
    <n v="137.75"/>
    <n v="551"/>
    <n v="413.25"/>
    <s v="Terrence"/>
    <n v="1493"/>
    <s v="Mentoring program"/>
    <d v="2024-01-15T00:00:00"/>
    <n v="3"/>
    <s v="Delivered"/>
    <s v="VIC"/>
    <s v="57226 Main Street"/>
    <s v="Geelong"/>
    <n v="3220"/>
    <n v="1200"/>
    <n v="3600"/>
    <s v="+61 7 7758 6562"/>
  </r>
  <r>
    <n v="3261"/>
    <s v="Hartman"/>
    <s v="Manuel Hartman"/>
    <s v="Manuel"/>
    <n v="1494"/>
    <x v="3"/>
    <x v="56"/>
    <n v="3"/>
    <x v="0"/>
    <x v="7"/>
    <n v="0.2"/>
    <n v="337.8"/>
    <n v="1689"/>
    <n v="1351.2"/>
    <s v="Brian"/>
    <n v="1494"/>
    <s v="Networking Strategy"/>
    <d v="2024-03-20T00:00:00"/>
    <n v="3"/>
    <s v="Delivered"/>
    <s v="NT"/>
    <s v="67616 Elizabeth Street"/>
    <s v="Alice Springs"/>
    <n v="870"/>
    <n v="250"/>
    <n v="750"/>
    <s v="+61 7 3109 8008"/>
  </r>
  <r>
    <n v="3262"/>
    <s v="Coleman"/>
    <s v="Brian Coleman"/>
    <s v="Brian"/>
    <n v="1495"/>
    <x v="0"/>
    <x v="193"/>
    <n v="3"/>
    <x v="2"/>
    <x v="2"/>
    <n v="0.1"/>
    <n v="151.20000000000002"/>
    <n v="1512"/>
    <n v="1360.8"/>
    <s v="Terrence"/>
    <n v="1495"/>
    <s v="Interview Prep"/>
    <d v="2024-06-24T00:00:00"/>
    <n v="1"/>
    <s v="Service Booked"/>
    <s v="NSW"/>
    <s v="28702 George Street"/>
    <s v="Sydney"/>
    <n v="2000"/>
    <n v="250"/>
    <n v="250"/>
    <s v="+61 4 6123 6348"/>
  </r>
  <r>
    <n v="3263"/>
    <s v="Huang"/>
    <s v="Amanda Huang"/>
    <s v="Amanda"/>
    <n v="1496"/>
    <x v="2"/>
    <x v="194"/>
    <n v="1"/>
    <x v="2"/>
    <x v="1"/>
    <n v="0.25"/>
    <n v="168.75"/>
    <n v="675"/>
    <n v="506.25"/>
    <s v="Terrence"/>
    <n v="1496"/>
    <s v="LinkedIn profile"/>
    <d v="2024-12-06T00:00:00"/>
    <n v="1"/>
    <s v="Service Booked"/>
    <s v="ACT"/>
    <s v="86465 King Street"/>
    <s v="Canberra"/>
    <n v="2600"/>
    <n v="300"/>
    <n v="300"/>
    <s v="+61 9 4286 2796"/>
  </r>
  <r>
    <n v="3264"/>
    <s v="Jacobs"/>
    <s v="Marlee Jacobs"/>
    <s v="Marlee"/>
    <n v="1497"/>
    <x v="3"/>
    <x v="189"/>
    <n v="2"/>
    <x v="2"/>
    <x v="4"/>
    <n v="0.2"/>
    <n v="298.60000000000002"/>
    <n v="1493"/>
    <n v="1194.4000000000001"/>
    <s v="Terrence"/>
    <n v="1497"/>
    <s v="Networking Strategy"/>
    <d v="2024-02-28T00:00:00"/>
    <n v="3"/>
    <s v="Service Booked"/>
    <s v="QLD"/>
    <s v="48526 Main Street"/>
    <s v="Cairns"/>
    <n v="4870"/>
    <n v="250"/>
    <n v="750"/>
    <s v="+61 9 1722 1807"/>
  </r>
  <r>
    <n v="3265"/>
    <s v="Mcpherson"/>
    <s v="Xiomara Mcpherson"/>
    <s v="Xiomara"/>
    <n v="1498"/>
    <x v="1"/>
    <x v="195"/>
    <n v="2"/>
    <x v="0"/>
    <x v="0"/>
    <n v="0.3"/>
    <n v="414.59999999999997"/>
    <n v="1382"/>
    <n v="967.40000000000009"/>
    <s v="Kelly"/>
    <n v="1498"/>
    <s v="Resume + LinkedIn Profile"/>
    <d v="2024-04-13T00:00:00"/>
    <n v="3"/>
    <s v="Delivered"/>
    <s v="WA"/>
    <s v="2688 Park Avenue"/>
    <s v="Broome"/>
    <n v="6725"/>
    <n v="800"/>
    <n v="2400"/>
    <s v="+61 5 3246 1038"/>
  </r>
  <r>
    <n v="3266"/>
    <s v="Blevins"/>
    <s v="Logan Blevins"/>
    <s v="Logan"/>
    <n v="1499"/>
    <x v="4"/>
    <x v="168"/>
    <n v="3"/>
    <x v="2"/>
    <x v="3"/>
    <n v="0.25"/>
    <n v="86"/>
    <n v="344"/>
    <n v="258"/>
    <s v="Daniel"/>
    <n v="1499"/>
    <s v="Mentoring program"/>
    <d v="2024-10-31T00:00:00"/>
    <n v="1"/>
    <s v="Service Booked"/>
    <s v="VIC"/>
    <s v="75054 Main Street"/>
    <s v="Ballarat"/>
    <n v="3350"/>
    <n v="1200"/>
    <n v="1200"/>
    <s v="+61 2 5840 5898"/>
  </r>
  <r>
    <n v="3267"/>
    <s v="Kaur"/>
    <s v="Athena Kaur"/>
    <s v="Athena"/>
    <n v="1500"/>
    <x v="4"/>
    <x v="190"/>
    <n v="1"/>
    <x v="2"/>
    <x v="3"/>
    <n v="0.25"/>
    <n v="115.5"/>
    <n v="462"/>
    <n v="346.5"/>
    <s v="Kelly"/>
    <n v="1500"/>
    <s v="Mentoring program"/>
    <d v="2024-04-27T00:00:00"/>
    <n v="1"/>
    <s v="Service Booked"/>
    <s v="VIC"/>
    <s v="37590 King Street"/>
    <s v="Melbourne"/>
    <n v="3000"/>
    <n v="1200"/>
    <n v="1200"/>
    <s v="+61 6 2498 5764"/>
  </r>
  <r>
    <n v="3268"/>
    <s v="Conley"/>
    <s v="Elsie Conley"/>
    <s v="Elsie"/>
    <n v="1501"/>
    <x v="4"/>
    <x v="133"/>
    <n v="1"/>
    <x v="0"/>
    <x v="4"/>
    <n v="0.25"/>
    <n v="291.5"/>
    <n v="1166"/>
    <n v="874.5"/>
    <s v="Priscilla"/>
    <n v="1501"/>
    <s v="Mentoring program"/>
    <d v="2024-11-18T00:00:00"/>
    <n v="3"/>
    <s v="Delivered"/>
    <s v="QLD"/>
    <s v="88262 Park Avenue"/>
    <s v="Gold Coast"/>
    <n v="4217"/>
    <n v="1200"/>
    <n v="3600"/>
    <s v="+61 2 9687 2093"/>
  </r>
  <r>
    <n v="3269"/>
    <s v="Kramer"/>
    <s v="Emersyn Kramer"/>
    <s v="Emersyn"/>
    <n v="1502"/>
    <x v="3"/>
    <x v="29"/>
    <n v="1"/>
    <x v="2"/>
    <x v="1"/>
    <n v="0.2"/>
    <n v="129.4"/>
    <n v="647"/>
    <n v="517.6"/>
    <s v="Priscilla"/>
    <n v="1502"/>
    <s v="Networking Strategy"/>
    <d v="2024-03-09T00:00:00"/>
    <n v="2"/>
    <s v="Service Booked"/>
    <s v="ACT"/>
    <s v="68505 Elizabeth Street"/>
    <s v="Canberra"/>
    <n v="2600"/>
    <n v="250"/>
    <n v="500"/>
    <s v="+61 3 5307 5826"/>
  </r>
  <r>
    <n v="3270"/>
    <s v="Crosby"/>
    <s v="Talia Crosby"/>
    <s v="Talia"/>
    <n v="1503"/>
    <x v="2"/>
    <x v="175"/>
    <n v="3"/>
    <x v="2"/>
    <x v="1"/>
    <n v="0.25"/>
    <n v="309.5"/>
    <n v="1238"/>
    <n v="928.5"/>
    <s v="Brian"/>
    <n v="1503"/>
    <s v="LinkedIn profile"/>
    <d v="2024-08-06T00:00:00"/>
    <n v="2"/>
    <s v="Service Booked"/>
    <s v="ACT"/>
    <s v="60196 George Street"/>
    <s v="Canberra"/>
    <n v="2600"/>
    <n v="300"/>
    <n v="600"/>
    <s v="+61 3 8566 6434"/>
  </r>
  <r>
    <n v="3271"/>
    <s v="Carson"/>
    <s v="Charli Carson"/>
    <s v="Charli"/>
    <n v="1504"/>
    <x v="4"/>
    <x v="196"/>
    <n v="1"/>
    <x v="0"/>
    <x v="6"/>
    <n v="0.25"/>
    <n v="70"/>
    <n v="280"/>
    <n v="210"/>
    <s v="Kelly"/>
    <n v="1504"/>
    <s v="Mentoring program"/>
    <d v="2024-06-21T00:00:00"/>
    <n v="2"/>
    <s v="Delivered"/>
    <s v="TAS"/>
    <s v="59304 King Street"/>
    <s v="Hobart"/>
    <n v="7000"/>
    <n v="1200"/>
    <n v="2400"/>
    <s v="+61 8 8003 5827"/>
  </r>
  <r>
    <n v="3272"/>
    <s v="Duran"/>
    <s v="Emilia Duran"/>
    <s v="Emilia"/>
    <n v="1505"/>
    <x v="3"/>
    <x v="88"/>
    <n v="1"/>
    <x v="0"/>
    <x v="5"/>
    <n v="0.2"/>
    <n v="249.20000000000002"/>
    <n v="1246"/>
    <n v="996.8"/>
    <s v="Kelly"/>
    <n v="1505"/>
    <s v="Networking Strategy"/>
    <d v="2024-11-13T00:00:00"/>
    <n v="1"/>
    <s v="Delivered"/>
    <s v="SA"/>
    <s v="15120 Park Avenue"/>
    <s v="Mount Gambier"/>
    <n v="5290"/>
    <n v="250"/>
    <n v="250"/>
    <s v="+61 6 6534 6776"/>
  </r>
  <r>
    <n v="3273"/>
    <s v="Velasquez"/>
    <s v="Collin Velasquez"/>
    <s v="Collin"/>
    <n v="1506"/>
    <x v="0"/>
    <x v="197"/>
    <n v="1"/>
    <x v="2"/>
    <x v="2"/>
    <n v="0.1"/>
    <n v="126.10000000000001"/>
    <n v="1261"/>
    <n v="1134.9000000000001"/>
    <s v="Brian"/>
    <n v="1506"/>
    <s v="Interview Prep"/>
    <d v="2024-11-10T00:00:00"/>
    <n v="2"/>
    <s v="Service Booked"/>
    <s v="NSW"/>
    <s v="81105 Park Avenue"/>
    <s v="Newcastle"/>
    <n v="2300"/>
    <n v="250"/>
    <n v="500"/>
    <s v="+61 9 5020 1131"/>
  </r>
  <r>
    <n v="3274"/>
    <s v="Booker"/>
    <s v="Elise Booker"/>
    <s v="Elise"/>
    <n v="1507"/>
    <x v="4"/>
    <x v="41"/>
    <n v="3"/>
    <x v="0"/>
    <x v="3"/>
    <n v="0.25"/>
    <n v="325.75"/>
    <n v="1303"/>
    <n v="977.25"/>
    <s v="Priscilla"/>
    <n v="1507"/>
    <s v="Mentoring program"/>
    <d v="2024-09-15T00:00:00"/>
    <n v="3"/>
    <s v="Delivered"/>
    <s v="VIC"/>
    <s v="93472 George Street"/>
    <s v="Melbourne"/>
    <n v="3000"/>
    <n v="1200"/>
    <n v="3600"/>
    <s v="+61 3 4212 3879"/>
  </r>
  <r>
    <n v="3275"/>
    <s v="Sharp"/>
    <s v="Austin Sharp"/>
    <s v="Austin"/>
    <n v="1508"/>
    <x v="4"/>
    <x v="198"/>
    <n v="3"/>
    <x v="0"/>
    <x v="4"/>
    <n v="0.25"/>
    <n v="438.75"/>
    <n v="1755"/>
    <n v="1316.25"/>
    <s v="Priscilla"/>
    <n v="1508"/>
    <s v="Mentoring program"/>
    <d v="2024-09-04T00:00:00"/>
    <n v="1"/>
    <s v="Delivered"/>
    <s v="QLD"/>
    <s v="88665 King Street"/>
    <s v="Cairns"/>
    <n v="4870"/>
    <n v="1200"/>
    <n v="1200"/>
    <s v="+61 5 3952 8262"/>
  </r>
  <r>
    <n v="3276"/>
    <s v="Harding"/>
    <s v="Walter Harding"/>
    <s v="Walter"/>
    <n v="1509"/>
    <x v="1"/>
    <x v="199"/>
    <n v="1"/>
    <x v="0"/>
    <x v="0"/>
    <n v="0.3"/>
    <n v="352.5"/>
    <n v="1175"/>
    <n v="822.5"/>
    <s v="Terrence"/>
    <n v="1509"/>
    <s v="Resume + LinkedIn Profile"/>
    <d v="2024-01-16T00:00:00"/>
    <n v="3"/>
    <s v="Delivered"/>
    <s v="WA"/>
    <s v="99787 Main Street"/>
    <s v="Fremantle"/>
    <n v="6160"/>
    <n v="800"/>
    <n v="2400"/>
    <s v="+61 5 1871 7938"/>
  </r>
  <r>
    <n v="3277"/>
    <s v="Lowery"/>
    <s v="Isabelle Lowery"/>
    <s v="Isabelle"/>
    <n v="1510"/>
    <x v="3"/>
    <x v="200"/>
    <n v="1"/>
    <x v="1"/>
    <x v="1"/>
    <n v="0.2"/>
    <n v="200.4"/>
    <n v="1002"/>
    <n v="801.6"/>
    <s v="Priscilla"/>
    <n v="1510"/>
    <s v="Networking Strategy"/>
    <d v="2024-10-20T00:00:00"/>
    <n v="1"/>
    <s v="In Progress"/>
    <s v="ACT"/>
    <s v="58173 George Street"/>
    <s v="Canberra"/>
    <n v="2600"/>
    <n v="250"/>
    <n v="250"/>
    <s v="+61 9 5969 8091"/>
  </r>
  <r>
    <n v="3278"/>
    <s v="Huang"/>
    <s v="Lexi Huang"/>
    <s v="Lexi"/>
    <n v="1511"/>
    <x v="5"/>
    <x v="95"/>
    <n v="3"/>
    <x v="1"/>
    <x v="2"/>
    <n v="0.3"/>
    <n v="264.3"/>
    <n v="881"/>
    <n v="616.70000000000005"/>
    <s v="Kelly"/>
    <n v="1511"/>
    <s v="Resume (service fee)"/>
    <d v="2024-05-26T00:00:00"/>
    <n v="1"/>
    <s v="In Progress"/>
    <s v="NSW"/>
    <s v="62421 Main Street"/>
    <s v="Sydney"/>
    <n v="2000"/>
    <n v="600"/>
    <n v="600"/>
    <s v="+61 2 4143 8435"/>
  </r>
  <r>
    <n v="3279"/>
    <s v="Byrd"/>
    <s v="Charlotte Byrd"/>
    <s v="Charlotte"/>
    <n v="1512"/>
    <x v="2"/>
    <x v="201"/>
    <n v="2"/>
    <x v="0"/>
    <x v="7"/>
    <n v="0.25"/>
    <n v="14.25"/>
    <n v="57"/>
    <n v="42.75"/>
    <s v="Priscilla"/>
    <n v="1512"/>
    <s v="LinkedIn profile"/>
    <d v="2024-04-05T00:00:00"/>
    <n v="3"/>
    <s v="Delivered"/>
    <s v="NT"/>
    <s v="66264 George Street"/>
    <s v="Darwin"/>
    <n v="800"/>
    <n v="300"/>
    <n v="900"/>
    <s v="+61 5 1327 8746"/>
  </r>
  <r>
    <n v="3280"/>
    <s v="Peters"/>
    <s v="Selah Peters"/>
    <s v="Selah"/>
    <n v="1513"/>
    <x v="2"/>
    <x v="202"/>
    <n v="3"/>
    <x v="0"/>
    <x v="6"/>
    <n v="0.25"/>
    <n v="301.75"/>
    <n v="1207"/>
    <n v="905.25"/>
    <s v="Terrence"/>
    <n v="1513"/>
    <s v="LinkedIn profile"/>
    <d v="2024-07-31T00:00:00"/>
    <n v="1"/>
    <s v="Delivered"/>
    <s v="TAS"/>
    <s v="19032 George Street"/>
    <s v="Devonport"/>
    <n v="7310"/>
    <n v="300"/>
    <n v="300"/>
    <s v="+61 8 7906 3910"/>
  </r>
  <r>
    <n v="3281"/>
    <s v="Estes"/>
    <s v="Genesis Estes"/>
    <s v="Genesis"/>
    <n v="1514"/>
    <x v="1"/>
    <x v="203"/>
    <n v="3"/>
    <x v="0"/>
    <x v="1"/>
    <n v="0.3"/>
    <n v="431.09999999999997"/>
    <n v="1437"/>
    <n v="1005.9000000000001"/>
    <s v="Priscilla"/>
    <n v="1514"/>
    <s v="Resume + LinkedIn Profile"/>
    <d v="2024-02-12T00:00:00"/>
    <n v="3"/>
    <s v="Delivered"/>
    <s v="ACT"/>
    <s v="112 Elizabeth Street"/>
    <s v="Canberra"/>
    <n v="2600"/>
    <n v="800"/>
    <n v="2400"/>
    <s v="+61 5 9799 7727"/>
  </r>
  <r>
    <n v="3282"/>
    <s v="Dodson"/>
    <s v="Noah Dodson"/>
    <s v="Noah"/>
    <n v="1515"/>
    <x v="2"/>
    <x v="204"/>
    <n v="3"/>
    <x v="2"/>
    <x v="5"/>
    <n v="0.25"/>
    <n v="65"/>
    <n v="260"/>
    <n v="195"/>
    <s v="Terrence"/>
    <n v="1515"/>
    <s v="LinkedIn profile"/>
    <d v="2024-05-01T00:00:00"/>
    <n v="2"/>
    <s v="Service Booked"/>
    <s v="SA"/>
    <s v="10013 George Street"/>
    <s v="Whyalla"/>
    <n v="5600"/>
    <n v="300"/>
    <n v="600"/>
    <s v="+61 7 2362 2722"/>
  </r>
  <r>
    <n v="3283"/>
    <s v="Chandler"/>
    <s v="Gideon Chandler"/>
    <s v="Gideon"/>
    <n v="1516"/>
    <x v="2"/>
    <x v="205"/>
    <n v="1"/>
    <x v="3"/>
    <x v="1"/>
    <n v="0.25"/>
    <n v="100.75"/>
    <n v="403"/>
    <n v="302.25"/>
    <s v="Priscilla"/>
    <n v="1516"/>
    <s v="LinkedIn profile"/>
    <d v="2024-02-03T00:00:00"/>
    <n v="1"/>
    <s v="Cancelled"/>
    <s v="ACT"/>
    <s v="15242 Park Avenue"/>
    <s v="Canberra"/>
    <n v="2600"/>
    <n v="300"/>
    <n v="300"/>
    <s v="+61 6 8657 8263"/>
  </r>
  <r>
    <n v="3284"/>
    <s v="Kane"/>
    <s v="Nolan Kane"/>
    <s v="Nolan"/>
    <n v="1517"/>
    <x v="5"/>
    <x v="162"/>
    <n v="3"/>
    <x v="2"/>
    <x v="6"/>
    <n v="0.3"/>
    <n v="513.6"/>
    <n v="1712"/>
    <n v="1198.4000000000001"/>
    <s v="Daniel"/>
    <n v="1517"/>
    <s v="Resume (service fee)"/>
    <d v="2024-07-25T00:00:00"/>
    <n v="2"/>
    <s v="Service Booked"/>
    <s v="TAS"/>
    <s v="3562 George Street"/>
    <s v="Hobart"/>
    <n v="7000"/>
    <n v="600"/>
    <n v="1200"/>
    <s v="+61 4 9873 1337"/>
  </r>
  <r>
    <n v="3285"/>
    <s v="Logan"/>
    <s v="Kimberly Logan"/>
    <s v="Kimberly"/>
    <n v="1518"/>
    <x v="4"/>
    <x v="167"/>
    <n v="3"/>
    <x v="3"/>
    <x v="2"/>
    <n v="0.25"/>
    <n v="59.75"/>
    <n v="239"/>
    <n v="179.25"/>
    <s v="Terrence"/>
    <n v="1518"/>
    <s v="Mentoring program"/>
    <d v="2024-05-13T00:00:00"/>
    <n v="1"/>
    <s v="Cancelled"/>
    <s v="NSW"/>
    <s v="71615 Park Avenue"/>
    <s v="Sydney"/>
    <n v="2000"/>
    <n v="1200"/>
    <n v="1200"/>
    <s v="+61 4 9990 4432"/>
  </r>
  <r>
    <n v="3286"/>
    <s v="Beil"/>
    <s v="Kaleb Beil"/>
    <s v="Kaleb"/>
    <n v="1519"/>
    <x v="5"/>
    <x v="40"/>
    <n v="1"/>
    <x v="0"/>
    <x v="5"/>
    <n v="0.3"/>
    <n v="421.5"/>
    <n v="1405"/>
    <n v="983.5"/>
    <s v="Terrence"/>
    <n v="1519"/>
    <s v="Resume (service fee)"/>
    <d v="2024-10-07T00:00:00"/>
    <n v="1"/>
    <s v="Delivered"/>
    <s v="SA"/>
    <s v="80363 George Street"/>
    <s v="Mount Gambier"/>
    <n v="5290"/>
    <n v="600"/>
    <n v="600"/>
    <s v="+61 9 2100 9195"/>
  </r>
  <r>
    <n v="3287"/>
    <s v="Gibbs"/>
    <s v="Patrick Gibbs"/>
    <s v="Patrick"/>
    <n v="1520"/>
    <x v="3"/>
    <x v="206"/>
    <n v="2"/>
    <x v="2"/>
    <x v="5"/>
    <n v="0.2"/>
    <n v="198.60000000000002"/>
    <n v="993"/>
    <n v="794.4"/>
    <s v="Priscilla"/>
    <n v="1520"/>
    <s v="Networking Strategy"/>
    <d v="2024-05-04T00:00:00"/>
    <n v="2"/>
    <s v="Service Booked"/>
    <s v="SA"/>
    <s v="4570 Elizabeth Street"/>
    <s v="Adelaide"/>
    <n v="5000"/>
    <n v="250"/>
    <n v="500"/>
    <s v="+61 5 1284 3216"/>
  </r>
  <r>
    <n v="3288"/>
    <s v="Gallagher"/>
    <s v="Lennox Gallagher"/>
    <s v="Lennox"/>
    <n v="1521"/>
    <x v="4"/>
    <x v="207"/>
    <n v="2"/>
    <x v="0"/>
    <x v="3"/>
    <n v="0.25"/>
    <n v="133"/>
    <n v="532"/>
    <n v="399"/>
    <s v="Brian"/>
    <n v="1521"/>
    <s v="Mentoring program"/>
    <d v="2024-03-11T00:00:00"/>
    <n v="2"/>
    <s v="Delivered"/>
    <s v="VIC"/>
    <s v="68190 George Street"/>
    <s v="Ballarat"/>
    <n v="3350"/>
    <n v="1200"/>
    <n v="2400"/>
    <s v="+61 8 5090 9019"/>
  </r>
  <r>
    <n v="3289"/>
    <s v="Landry"/>
    <s v="Liam Landry"/>
    <s v="Liam"/>
    <n v="1522"/>
    <x v="4"/>
    <x v="151"/>
    <n v="3"/>
    <x v="2"/>
    <x v="3"/>
    <n v="0.25"/>
    <n v="132.5"/>
    <n v="530"/>
    <n v="397.5"/>
    <s v="Daniel"/>
    <n v="1522"/>
    <s v="Mentoring program"/>
    <d v="2024-03-21T00:00:00"/>
    <n v="3"/>
    <s v="Service Booked"/>
    <s v="VIC"/>
    <s v="60423 George Street"/>
    <s v="Geelong"/>
    <n v="3220"/>
    <n v="1200"/>
    <n v="3600"/>
    <s v="+61 9 7448 4994"/>
  </r>
  <r>
    <n v="3290"/>
    <s v="Horn"/>
    <s v="Damien Horn"/>
    <s v="Damien"/>
    <n v="1523"/>
    <x v="2"/>
    <x v="208"/>
    <n v="3"/>
    <x v="3"/>
    <x v="3"/>
    <n v="0.25"/>
    <n v="303.75"/>
    <n v="1215"/>
    <n v="911.25"/>
    <s v="Terrence"/>
    <n v="1523"/>
    <s v="LinkedIn profile"/>
    <d v="2024-07-23T00:00:00"/>
    <n v="1"/>
    <s v="Cancelled"/>
    <s v="VIC"/>
    <s v="75747 Park Avenue"/>
    <s v="Ballarat"/>
    <n v="3350"/>
    <n v="300"/>
    <n v="300"/>
    <s v="+61 5 5903 9622"/>
  </r>
  <r>
    <n v="3291"/>
    <s v="Black"/>
    <s v="Kimberly Black"/>
    <s v="Kimberly"/>
    <n v="1524"/>
    <x v="0"/>
    <x v="119"/>
    <n v="2"/>
    <x v="0"/>
    <x v="7"/>
    <n v="0.1"/>
    <n v="169.3"/>
    <n v="1693"/>
    <n v="1523.7"/>
    <s v="Priscilla"/>
    <n v="1524"/>
    <s v="Interview Prep"/>
    <d v="2024-01-19T00:00:00"/>
    <n v="1"/>
    <s v="Delivered"/>
    <s v="NT"/>
    <s v="36432 Main Street"/>
    <s v="Darwin"/>
    <n v="800"/>
    <n v="250"/>
    <n v="250"/>
    <s v="+61 5 1368 8804"/>
  </r>
  <r>
    <n v="3292"/>
    <s v="Donovan"/>
    <s v="Denver Donovan"/>
    <s v="Denver"/>
    <n v="1525"/>
    <x v="4"/>
    <x v="209"/>
    <n v="2"/>
    <x v="3"/>
    <x v="1"/>
    <n v="0.25"/>
    <n v="242.5"/>
    <n v="970"/>
    <n v="727.5"/>
    <s v="Brian"/>
    <n v="1525"/>
    <s v="Mentoring program"/>
    <d v="2024-11-17T00:00:00"/>
    <n v="2"/>
    <s v="Cancelled"/>
    <s v="ACT"/>
    <s v="25255 Park Avenue"/>
    <s v="Canberra"/>
    <n v="2600"/>
    <n v="1200"/>
    <n v="2400"/>
    <s v="+61 4 5490 8093"/>
  </r>
  <r>
    <n v="3293"/>
    <s v="Hunter"/>
    <s v="Luna Hunter"/>
    <s v="Luna"/>
    <n v="1526"/>
    <x v="3"/>
    <x v="60"/>
    <n v="2"/>
    <x v="0"/>
    <x v="1"/>
    <n v="0.2"/>
    <n v="92.600000000000009"/>
    <n v="463"/>
    <n v="370.4"/>
    <s v="Kelly"/>
    <n v="1526"/>
    <s v="Networking Strategy"/>
    <d v="2024-09-21T00:00:00"/>
    <n v="1"/>
    <s v="Delivered"/>
    <s v="ACT"/>
    <s v="25308 Park Avenue"/>
    <s v="Canberra"/>
    <n v="2600"/>
    <n v="250"/>
    <n v="250"/>
    <s v="+61 3 8829 8274"/>
  </r>
  <r>
    <n v="3294"/>
    <s v="Stanton"/>
    <s v="Piper Stanton"/>
    <s v="Piper"/>
    <n v="1527"/>
    <x v="5"/>
    <x v="55"/>
    <n v="1"/>
    <x v="0"/>
    <x v="1"/>
    <n v="0.3"/>
    <n v="310.8"/>
    <n v="1036"/>
    <n v="725.2"/>
    <s v="Priscilla"/>
    <n v="1527"/>
    <s v="Resume (service fee)"/>
    <d v="2024-02-04T00:00:00"/>
    <n v="2"/>
    <s v="Delivered"/>
    <s v="ACT"/>
    <s v="20758 Park Avenue"/>
    <s v="Canberra"/>
    <n v="2600"/>
    <n v="600"/>
    <n v="1200"/>
    <s v="+61 9 2280 7014"/>
  </r>
  <r>
    <n v="3295"/>
    <s v="Bartlett"/>
    <s v="Manuel Bartlett"/>
    <s v="Manuel"/>
    <n v="1528"/>
    <x v="4"/>
    <x v="210"/>
    <n v="1"/>
    <x v="0"/>
    <x v="4"/>
    <n v="0.25"/>
    <n v="152"/>
    <n v="608"/>
    <n v="456"/>
    <s v="Daniel"/>
    <n v="1528"/>
    <s v="Mentoring program"/>
    <d v="2024-10-11T00:00:00"/>
    <n v="3"/>
    <s v="Delivered"/>
    <s v="QLD"/>
    <s v="97402 Main Street"/>
    <s v="Cairns"/>
    <n v="4870"/>
    <n v="1200"/>
    <n v="3600"/>
    <s v="+61 2 5133 6518"/>
  </r>
  <r>
    <n v="3296"/>
    <s v="Nolan"/>
    <s v="Cooper Nolan"/>
    <s v="Cooper"/>
    <n v="1529"/>
    <x v="1"/>
    <x v="47"/>
    <n v="1"/>
    <x v="2"/>
    <x v="7"/>
    <n v="0.3"/>
    <n v="450.59999999999997"/>
    <n v="1502"/>
    <n v="1051.4000000000001"/>
    <s v="Brian"/>
    <n v="1529"/>
    <s v="Resume + LinkedIn Profile"/>
    <d v="2024-08-01T00:00:00"/>
    <n v="2"/>
    <s v="Service Booked"/>
    <s v="NT"/>
    <s v="4083 Elizabeth Street"/>
    <s v="Darwin"/>
    <n v="800"/>
    <n v="800"/>
    <n v="1600"/>
    <s v="+61 2 9313 3823"/>
  </r>
  <r>
    <n v="3297"/>
    <s v="Strong"/>
    <s v="Oaklee Strong"/>
    <s v="Oaklee"/>
    <n v="1530"/>
    <x v="4"/>
    <x v="91"/>
    <n v="1"/>
    <x v="0"/>
    <x v="1"/>
    <n v="0.25"/>
    <n v="377.5"/>
    <n v="1510"/>
    <n v="1132.5"/>
    <s v="Kelly"/>
    <n v="1530"/>
    <s v="Mentoring program"/>
    <d v="2024-08-15T00:00:00"/>
    <n v="3"/>
    <s v="Delivered"/>
    <s v="ACT"/>
    <s v="28845 Elizabeth Street"/>
    <s v="Canberra"/>
    <n v="2600"/>
    <n v="1200"/>
    <n v="3600"/>
    <s v="+61 3 1143 4289"/>
  </r>
  <r>
    <n v="3298"/>
    <s v="Sellers"/>
    <s v="Gael Sellers"/>
    <s v="Gael"/>
    <n v="1531"/>
    <x v="0"/>
    <x v="68"/>
    <n v="1"/>
    <x v="0"/>
    <x v="7"/>
    <n v="0.1"/>
    <n v="121"/>
    <n v="1210"/>
    <n v="1089"/>
    <s v="Brian"/>
    <n v="1531"/>
    <s v="Interview Prep"/>
    <d v="2024-10-29T00:00:00"/>
    <n v="3"/>
    <s v="Delivered"/>
    <s v="NT"/>
    <s v="95411 Park Avenue"/>
    <s v="Alice Springs"/>
    <n v="870"/>
    <n v="250"/>
    <n v="750"/>
    <s v="+61 2 9649 9859"/>
  </r>
  <r>
    <n v="3299"/>
    <s v="Prince"/>
    <s v="Willa Prince"/>
    <s v="Willa"/>
    <n v="1532"/>
    <x v="2"/>
    <x v="211"/>
    <n v="1"/>
    <x v="0"/>
    <x v="3"/>
    <n v="0.25"/>
    <n v="163.5"/>
    <n v="654"/>
    <n v="490.5"/>
    <s v="Terrence"/>
    <n v="1532"/>
    <s v="LinkedIn profile"/>
    <d v="2024-06-16T00:00:00"/>
    <n v="1"/>
    <s v="Delivered"/>
    <s v="VIC"/>
    <s v="42858 King Street"/>
    <s v="Ballarat"/>
    <n v="3350"/>
    <n v="300"/>
    <n v="300"/>
    <s v="+61 7 3522 1181"/>
  </r>
  <r>
    <n v="3300"/>
    <s v="Flowers"/>
    <s v="Killian Flowers"/>
    <s v="Killian"/>
    <n v="1533"/>
    <x v="2"/>
    <x v="212"/>
    <n v="1"/>
    <x v="2"/>
    <x v="4"/>
    <n v="0.25"/>
    <n v="120"/>
    <n v="480"/>
    <n v="360"/>
    <s v="Priscilla"/>
    <n v="1533"/>
    <s v="LinkedIn profile"/>
    <d v="2024-12-29T00:00:00"/>
    <n v="1"/>
    <s v="Service Booked"/>
    <s v="QLD"/>
    <s v="9065 Park Avenue"/>
    <s v="Cairns"/>
    <n v="4870"/>
    <n v="300"/>
    <n v="300"/>
    <s v="+61 7 7273 7374"/>
  </r>
  <r>
    <n v="3301"/>
    <s v="Henry"/>
    <s v="Cora Henry"/>
    <s v="Cora"/>
    <n v="1534"/>
    <x v="1"/>
    <x v="44"/>
    <n v="3"/>
    <x v="0"/>
    <x v="4"/>
    <n v="0.3"/>
    <n v="451.2"/>
    <n v="1504"/>
    <n v="1052.8"/>
    <s v="Kelly"/>
    <n v="1534"/>
    <s v="Resume + LinkedIn Profile"/>
    <d v="2024-09-28T00:00:00"/>
    <n v="1"/>
    <s v="Delivered"/>
    <s v="QLD"/>
    <s v="13464 George Street"/>
    <s v="Cairns"/>
    <n v="4870"/>
    <n v="800"/>
    <n v="800"/>
    <s v="+61 9 4336 5417"/>
  </r>
  <r>
    <n v="3302"/>
    <s v="Nash"/>
    <s v="Hayden Nash"/>
    <s v="Hayden"/>
    <n v="1535"/>
    <x v="5"/>
    <x v="36"/>
    <n v="1"/>
    <x v="0"/>
    <x v="3"/>
    <n v="0.3"/>
    <n v="500.09999999999997"/>
    <n v="1667"/>
    <n v="1166.9000000000001"/>
    <s v="Kelly"/>
    <n v="1535"/>
    <s v="Resume (service fee)"/>
    <d v="2024-01-06T00:00:00"/>
    <n v="1"/>
    <s v="Delivered"/>
    <s v="VIC"/>
    <s v="65163 King Street"/>
    <s v="Geelong"/>
    <n v="3220"/>
    <n v="600"/>
    <n v="600"/>
    <s v="+61 5 3300 3302"/>
  </r>
  <r>
    <n v="3303"/>
    <s v="Waller"/>
    <s v="Emerson Waller"/>
    <s v="Emerson"/>
    <n v="1536"/>
    <x v="3"/>
    <x v="98"/>
    <n v="1"/>
    <x v="1"/>
    <x v="4"/>
    <n v="0.2"/>
    <n v="84.600000000000009"/>
    <n v="423"/>
    <n v="338.4"/>
    <s v="Brian"/>
    <n v="1536"/>
    <s v="Networking Strategy"/>
    <d v="2024-12-25T00:00:00"/>
    <n v="3"/>
    <s v="In Progress"/>
    <s v="QLD"/>
    <s v="76403 George Street"/>
    <s v="Gold Coast"/>
    <n v="4217"/>
    <n v="250"/>
    <n v="750"/>
    <s v="+61 6 2050 9134"/>
  </r>
  <r>
    <n v="3304"/>
    <s v="Mahoney"/>
    <s v="Collins Mahoney"/>
    <s v="Collins"/>
    <n v="1537"/>
    <x v="0"/>
    <x v="22"/>
    <n v="1"/>
    <x v="0"/>
    <x v="3"/>
    <n v="0.1"/>
    <n v="142.5"/>
    <n v="1425"/>
    <n v="1282.5"/>
    <s v="Brian"/>
    <n v="1537"/>
    <s v="Interview Prep"/>
    <d v="2024-04-18T00:00:00"/>
    <n v="1"/>
    <s v="Delivered"/>
    <s v="VIC"/>
    <s v="37713 Elizabeth Street"/>
    <s v="Geelong"/>
    <n v="3220"/>
    <n v="250"/>
    <n v="250"/>
    <s v="+61 2 8634 4007"/>
  </r>
  <r>
    <n v="3305"/>
    <s v="Tate"/>
    <s v="Cora Tate"/>
    <s v="Cora"/>
    <n v="1538"/>
    <x v="1"/>
    <x v="126"/>
    <n v="2"/>
    <x v="2"/>
    <x v="0"/>
    <n v="0.3"/>
    <n v="51.9"/>
    <n v="173"/>
    <n v="121.1"/>
    <s v="Priscilla"/>
    <n v="1538"/>
    <s v="Resume + LinkedIn Profile"/>
    <d v="2024-04-23T00:00:00"/>
    <n v="1"/>
    <s v="Service Booked"/>
    <s v="WA"/>
    <s v="6150 Park Avenue"/>
    <s v="Perth"/>
    <n v="6000"/>
    <n v="800"/>
    <n v="800"/>
    <s v="+61 7 6349 8069"/>
  </r>
  <r>
    <n v="3306"/>
    <s v="Peña"/>
    <s v="Malachi Peña"/>
    <s v="Malachi"/>
    <n v="1539"/>
    <x v="2"/>
    <x v="50"/>
    <n v="3"/>
    <x v="0"/>
    <x v="1"/>
    <n v="0.25"/>
    <n v="400.75"/>
    <n v="1603"/>
    <n v="1202.25"/>
    <s v="Kelly"/>
    <n v="1539"/>
    <s v="LinkedIn profile"/>
    <d v="2024-02-02T00:00:00"/>
    <n v="2"/>
    <s v="Delivered"/>
    <s v="ACT"/>
    <s v="67041 Park Avenue"/>
    <s v="Canberra"/>
    <n v="2600"/>
    <n v="300"/>
    <n v="600"/>
    <s v="+61 7 5196 7639"/>
  </r>
  <r>
    <n v="3307"/>
    <s v="Daniels"/>
    <s v="Lilith Daniels"/>
    <s v="Lilith"/>
    <n v="1540"/>
    <x v="5"/>
    <x v="47"/>
    <n v="3"/>
    <x v="2"/>
    <x v="5"/>
    <n v="0.3"/>
    <n v="75"/>
    <n v="250"/>
    <n v="175"/>
    <s v="Terrence"/>
    <n v="1540"/>
    <s v="Resume (service fee)"/>
    <d v="2024-08-01T00:00:00"/>
    <n v="3"/>
    <s v="Service Booked"/>
    <s v="SA"/>
    <s v="63374 Main Street"/>
    <s v="Adelaide"/>
    <n v="5000"/>
    <n v="600"/>
    <n v="1800"/>
    <s v="+61 3 1640 3321"/>
  </r>
  <r>
    <n v="3308"/>
    <s v="Rivers"/>
    <s v="Kylo Rivers"/>
    <s v="Kylo"/>
    <n v="1541"/>
    <x v="2"/>
    <x v="87"/>
    <n v="2"/>
    <x v="0"/>
    <x v="7"/>
    <n v="0.25"/>
    <n v="257.75"/>
    <n v="1031"/>
    <n v="773.25"/>
    <s v="Daniel"/>
    <n v="1541"/>
    <s v="LinkedIn profile"/>
    <d v="2024-09-25T00:00:00"/>
    <n v="3"/>
    <s v="Delivered"/>
    <s v="NT"/>
    <s v="59341 Park Avenue"/>
    <s v="Alice Springs"/>
    <n v="870"/>
    <n v="300"/>
    <n v="900"/>
    <s v="+61 4 1023 5906"/>
  </r>
  <r>
    <n v="3309"/>
    <s v="Gates"/>
    <s v="Braxton Gates"/>
    <s v="Braxton"/>
    <n v="1542"/>
    <x v="1"/>
    <x v="170"/>
    <n v="1"/>
    <x v="0"/>
    <x v="7"/>
    <n v="0.3"/>
    <n v="536.1"/>
    <n v="1787"/>
    <n v="1250.9000000000001"/>
    <s v="Terrence"/>
    <n v="1542"/>
    <s v="Resume + LinkedIn Profile"/>
    <d v="2024-08-31T00:00:00"/>
    <n v="2"/>
    <s v="Delivered"/>
    <s v="NT"/>
    <s v="22709 King Street"/>
    <s v="Darwin"/>
    <n v="800"/>
    <n v="800"/>
    <n v="1600"/>
    <s v="+61 7 8557 1630"/>
  </r>
  <r>
    <n v="3310"/>
    <s v="Erickson"/>
    <s v="Andre Erickson"/>
    <s v="Andre"/>
    <n v="1543"/>
    <x v="3"/>
    <x v="185"/>
    <n v="3"/>
    <x v="3"/>
    <x v="3"/>
    <n v="0.2"/>
    <n v="205.4"/>
    <n v="1027"/>
    <n v="821.6"/>
    <s v="Kelly"/>
    <n v="1543"/>
    <s v="Networking Strategy"/>
    <d v="2024-05-16T00:00:00"/>
    <n v="2"/>
    <s v="Cancelled"/>
    <s v="VIC"/>
    <s v="40382 Elizabeth Street"/>
    <s v="Melbourne"/>
    <n v="3000"/>
    <n v="250"/>
    <n v="500"/>
    <s v="+61 6 3368 1313"/>
  </r>
  <r>
    <n v="3311"/>
    <s v="Chan"/>
    <s v="Cassidy Chan"/>
    <s v="Cassidy"/>
    <n v="1544"/>
    <x v="5"/>
    <x v="213"/>
    <n v="2"/>
    <x v="2"/>
    <x v="2"/>
    <n v="0.3"/>
    <n v="504.59999999999997"/>
    <n v="1682"/>
    <n v="1177.4000000000001"/>
    <s v="Priscilla"/>
    <n v="1544"/>
    <s v="Resume (service fee)"/>
    <d v="2024-09-27T00:00:00"/>
    <n v="2"/>
    <s v="Service Booked"/>
    <s v="NSW"/>
    <s v="44738 Main Street"/>
    <s v="Sydney"/>
    <n v="2000"/>
    <n v="600"/>
    <n v="1200"/>
    <s v="+61 2 5234 8935"/>
  </r>
  <r>
    <n v="3312"/>
    <s v="Odom"/>
    <s v="Annalise Odom"/>
    <s v="Annalise"/>
    <n v="1545"/>
    <x v="0"/>
    <x v="214"/>
    <n v="2"/>
    <x v="2"/>
    <x v="6"/>
    <n v="0.1"/>
    <n v="159.5"/>
    <n v="1595"/>
    <n v="1435.5"/>
    <s v="Priscilla"/>
    <n v="1545"/>
    <s v="Interview Prep"/>
    <d v="2024-04-19T00:00:00"/>
    <n v="3"/>
    <s v="Service Booked"/>
    <s v="TAS"/>
    <s v="11663 George Street"/>
    <s v="Hobart"/>
    <n v="7000"/>
    <n v="250"/>
    <n v="750"/>
    <s v="+61 6 6411 2548"/>
  </r>
  <r>
    <n v="3313"/>
    <s v="Kelly"/>
    <s v="Gregory Kelly"/>
    <s v="Gregory"/>
    <n v="1546"/>
    <x v="4"/>
    <x v="215"/>
    <n v="1"/>
    <x v="2"/>
    <x v="6"/>
    <n v="0.25"/>
    <n v="385"/>
    <n v="1540"/>
    <n v="1155"/>
    <s v="Priscilla"/>
    <n v="1546"/>
    <s v="Mentoring program"/>
    <d v="2024-08-21T00:00:00"/>
    <n v="1"/>
    <s v="Service Booked"/>
    <s v="TAS"/>
    <s v="14352 George Street"/>
    <s v="Devonport"/>
    <n v="7310"/>
    <n v="1200"/>
    <n v="1200"/>
    <s v="+61 3 8840 7087"/>
  </r>
  <r>
    <n v="3314"/>
    <s v="Wagner"/>
    <s v="Archer Wagner"/>
    <s v="Archer"/>
    <n v="1547"/>
    <x v="4"/>
    <x v="216"/>
    <n v="2"/>
    <x v="1"/>
    <x v="3"/>
    <n v="0.25"/>
    <n v="436.75"/>
    <n v="1747"/>
    <n v="1310.25"/>
    <s v="Terrence"/>
    <n v="1547"/>
    <s v="Mentoring program"/>
    <d v="2024-05-11T00:00:00"/>
    <n v="3"/>
    <s v="In Progress"/>
    <s v="VIC"/>
    <s v="96397 Park Avenue"/>
    <s v="Ballarat"/>
    <n v="3350"/>
    <n v="1200"/>
    <n v="3600"/>
    <s v="+61 9 4500 6422"/>
  </r>
  <r>
    <n v="3315"/>
    <s v="Kennedy"/>
    <s v="Hayden Kennedy"/>
    <s v="Hayden"/>
    <n v="1548"/>
    <x v="5"/>
    <x v="217"/>
    <n v="2"/>
    <x v="2"/>
    <x v="0"/>
    <n v="0.3"/>
    <n v="210.9"/>
    <n v="703"/>
    <n v="492.1"/>
    <s v="Brian"/>
    <n v="1548"/>
    <s v="Resume (service fee)"/>
    <d v="2024-05-09T00:00:00"/>
    <n v="3"/>
    <s v="Service Booked"/>
    <s v="WA"/>
    <s v="58819 George Street"/>
    <s v="Broome"/>
    <n v="6725"/>
    <n v="600"/>
    <n v="1800"/>
    <s v="+61 7 1210 5446"/>
  </r>
  <r>
    <n v="3316"/>
    <s v="Mccall"/>
    <s v="Weston Mccall"/>
    <s v="Weston"/>
    <n v="1549"/>
    <x v="3"/>
    <x v="133"/>
    <n v="3"/>
    <x v="3"/>
    <x v="3"/>
    <n v="0.2"/>
    <n v="22.8"/>
    <n v="114"/>
    <n v="91.2"/>
    <s v="Brian"/>
    <n v="1549"/>
    <s v="Networking Strategy"/>
    <d v="2024-11-18T00:00:00"/>
    <n v="1"/>
    <s v="Cancelled"/>
    <s v="VIC"/>
    <s v="59043 Elizabeth Street"/>
    <s v="Melbourne"/>
    <n v="3000"/>
    <n v="250"/>
    <n v="250"/>
    <s v="+61 7 6719 8414"/>
  </r>
  <r>
    <n v="3317"/>
    <s v="Case"/>
    <s v="Alana Case"/>
    <s v="Alana"/>
    <n v="1550"/>
    <x v="4"/>
    <x v="218"/>
    <n v="2"/>
    <x v="1"/>
    <x v="5"/>
    <n v="0.25"/>
    <n v="239.25"/>
    <n v="957"/>
    <n v="717.75"/>
    <s v="Priscilla"/>
    <n v="1550"/>
    <s v="Mentoring program"/>
    <d v="2024-03-22T00:00:00"/>
    <n v="1"/>
    <s v="In Progress"/>
    <s v="SA"/>
    <s v="69008 King Street"/>
    <s v="Mount Gambier"/>
    <n v="5290"/>
    <n v="1200"/>
    <n v="1200"/>
    <s v="+61 4 2106 2789"/>
  </r>
  <r>
    <n v="3318"/>
    <s v="Castillo"/>
    <s v="Milani Castillo"/>
    <s v="Milani"/>
    <n v="1551"/>
    <x v="0"/>
    <x v="219"/>
    <n v="3"/>
    <x v="0"/>
    <x v="2"/>
    <n v="0.1"/>
    <n v="90"/>
    <n v="900"/>
    <n v="810"/>
    <s v="Daniel"/>
    <n v="1551"/>
    <s v="Interview Prep"/>
    <d v="2024-07-11T00:00:00"/>
    <n v="1"/>
    <s v="Delivered"/>
    <s v="NSW"/>
    <s v="34383 Park Avenue"/>
    <s v="Newcastle"/>
    <n v="2300"/>
    <n v="250"/>
    <n v="250"/>
    <s v="+61 3 6647 6581"/>
  </r>
  <r>
    <n v="3319"/>
    <s v="Torres"/>
    <s v="Karson Torres"/>
    <s v="Karson"/>
    <n v="1552"/>
    <x v="3"/>
    <x v="50"/>
    <n v="1"/>
    <x v="2"/>
    <x v="3"/>
    <n v="0.2"/>
    <n v="170.60000000000002"/>
    <n v="853"/>
    <n v="682.4"/>
    <s v="Kelly"/>
    <n v="1552"/>
    <s v="Networking Strategy"/>
    <d v="2024-02-02T00:00:00"/>
    <n v="2"/>
    <s v="Service Booked"/>
    <s v="VIC"/>
    <s v="41795 George Street"/>
    <s v="Geelong"/>
    <n v="3220"/>
    <n v="250"/>
    <n v="500"/>
    <s v="+61 3 4440 2950"/>
  </r>
  <r>
    <n v="3320"/>
    <s v="Mitchell"/>
    <s v="Everett Mitchell"/>
    <s v="Everett"/>
    <n v="1553"/>
    <x v="4"/>
    <x v="43"/>
    <n v="2"/>
    <x v="0"/>
    <x v="5"/>
    <n v="0.25"/>
    <n v="363"/>
    <n v="1452"/>
    <n v="1089"/>
    <s v="Priscilla"/>
    <n v="1553"/>
    <s v="Mentoring program"/>
    <d v="2024-12-22T00:00:00"/>
    <n v="3"/>
    <s v="Delivered"/>
    <s v="SA"/>
    <s v="12482 King Street"/>
    <s v="Adelaide"/>
    <n v="5000"/>
    <n v="1200"/>
    <n v="3600"/>
    <s v="+61 2 8618 2977"/>
  </r>
  <r>
    <n v="3321"/>
    <s v="Singh"/>
    <s v="Paxton Singh"/>
    <s v="Paxton"/>
    <n v="1554"/>
    <x v="3"/>
    <x v="26"/>
    <n v="3"/>
    <x v="0"/>
    <x v="4"/>
    <n v="0.2"/>
    <n v="42.400000000000006"/>
    <n v="212"/>
    <n v="169.6"/>
    <s v="Kelly"/>
    <n v="1554"/>
    <s v="Networking Strategy"/>
    <d v="2024-01-10T00:00:00"/>
    <n v="1"/>
    <s v="Delivered"/>
    <s v="QLD"/>
    <s v="71340 Elizabeth Street"/>
    <s v="Cairns"/>
    <n v="4870"/>
    <n v="250"/>
    <n v="250"/>
    <s v="+61 9 2412 8119"/>
  </r>
  <r>
    <n v="3322"/>
    <s v="Parra"/>
    <s v="Kingston Parra"/>
    <s v="Kingston"/>
    <n v="1555"/>
    <x v="1"/>
    <x v="185"/>
    <n v="2"/>
    <x v="2"/>
    <x v="5"/>
    <n v="0.3"/>
    <n v="33.9"/>
    <n v="113"/>
    <n v="79.099999999999994"/>
    <s v="Terrence"/>
    <n v="1555"/>
    <s v="Resume + LinkedIn Profile"/>
    <d v="2024-05-16T00:00:00"/>
    <n v="3"/>
    <s v="Service Booked"/>
    <s v="SA"/>
    <s v="94632 George Street"/>
    <s v="Mount Gambier"/>
    <n v="5290"/>
    <n v="800"/>
    <n v="2400"/>
    <s v="+61 8 9300 6908"/>
  </r>
  <r>
    <n v="3323"/>
    <s v="Russo"/>
    <s v="Olivia Russo"/>
    <s v="Olivia"/>
    <n v="1556"/>
    <x v="1"/>
    <x v="45"/>
    <n v="3"/>
    <x v="2"/>
    <x v="0"/>
    <n v="0.3"/>
    <n v="385.2"/>
    <n v="1284"/>
    <n v="898.8"/>
    <s v="Brian"/>
    <n v="1556"/>
    <s v="Resume + LinkedIn Profile"/>
    <d v="2024-02-09T00:00:00"/>
    <n v="2"/>
    <s v="Service Booked"/>
    <s v="WA"/>
    <s v="95907 George Street"/>
    <s v="Perth"/>
    <n v="6000"/>
    <n v="800"/>
    <n v="1600"/>
    <s v="+61 3 9458 1914"/>
  </r>
  <r>
    <n v="3324"/>
    <s v="Mathews"/>
    <s v="Kendall Mathews"/>
    <s v="Kendall"/>
    <n v="1557"/>
    <x v="4"/>
    <x v="192"/>
    <n v="1"/>
    <x v="1"/>
    <x v="5"/>
    <n v="0.25"/>
    <n v="107.75"/>
    <n v="431"/>
    <n v="323.25"/>
    <s v="Daniel"/>
    <n v="1557"/>
    <s v="Mentoring program"/>
    <d v="2024-01-15T00:00:00"/>
    <n v="3"/>
    <s v="In Progress"/>
    <s v="SA"/>
    <s v="59008 King Street"/>
    <s v="Mount Gambier"/>
    <n v="5290"/>
    <n v="1200"/>
    <n v="3600"/>
    <s v="+61 9 2119 4832"/>
  </r>
  <r>
    <n v="3325"/>
    <s v="Tapia"/>
    <s v="Devin Tapia"/>
    <s v="Devin"/>
    <n v="1558"/>
    <x v="4"/>
    <x v="154"/>
    <n v="2"/>
    <x v="2"/>
    <x v="6"/>
    <n v="0.25"/>
    <n v="224.25"/>
    <n v="897"/>
    <n v="672.75"/>
    <s v="Terrence"/>
    <n v="1558"/>
    <s v="Mentoring program"/>
    <d v="2024-04-04T00:00:00"/>
    <n v="2"/>
    <s v="Service Booked"/>
    <s v="TAS"/>
    <s v="99844 George Street"/>
    <s v="Devonport"/>
    <n v="7310"/>
    <n v="1200"/>
    <n v="2400"/>
    <s v="+61 5 5371 2920"/>
  </r>
  <r>
    <n v="3326"/>
    <s v="Roberson"/>
    <s v="Fiona Roberson"/>
    <s v="Fiona"/>
    <n v="1559"/>
    <x v="5"/>
    <x v="220"/>
    <n v="2"/>
    <x v="0"/>
    <x v="2"/>
    <n v="0.3"/>
    <n v="503.09999999999997"/>
    <n v="1677"/>
    <n v="1173.9000000000001"/>
    <s v="Terrence"/>
    <n v="1559"/>
    <s v="Resume (service fee)"/>
    <d v="2024-06-13T00:00:00"/>
    <n v="3"/>
    <s v="Delivered"/>
    <s v="NSW"/>
    <s v="79637 Elizabeth Street"/>
    <s v="Wollongong"/>
    <n v="2500"/>
    <n v="600"/>
    <n v="1800"/>
    <s v="+61 9 7054 9665"/>
  </r>
  <r>
    <n v="3327"/>
    <s v="Patrick"/>
    <s v="Brinley Patrick"/>
    <s v="Brinley"/>
    <n v="1560"/>
    <x v="0"/>
    <x v="221"/>
    <n v="1"/>
    <x v="3"/>
    <x v="0"/>
    <n v="0.1"/>
    <n v="146.30000000000001"/>
    <n v="1463"/>
    <n v="1316.7"/>
    <s v="Priscilla"/>
    <n v="1560"/>
    <s v="Interview Prep"/>
    <d v="2024-05-30T00:00:00"/>
    <n v="1"/>
    <s v="Cancelled"/>
    <s v="WA"/>
    <s v="97480 Elizabeth Street"/>
    <s v="Broome"/>
    <n v="6725"/>
    <n v="250"/>
    <n v="250"/>
    <s v="+61 4 1065 9506"/>
  </r>
  <r>
    <n v="3328"/>
    <s v="Macdonald"/>
    <s v="Angelina Macdonald"/>
    <s v="Angelina"/>
    <n v="1561"/>
    <x v="1"/>
    <x v="151"/>
    <n v="1"/>
    <x v="0"/>
    <x v="1"/>
    <n v="0.3"/>
    <n v="454.2"/>
    <n v="1514"/>
    <n v="1059.8"/>
    <s v="Terrence"/>
    <n v="1561"/>
    <s v="Resume + LinkedIn Profile"/>
    <d v="2024-03-21T00:00:00"/>
    <n v="1"/>
    <s v="Delivered"/>
    <s v="ACT"/>
    <s v="55098 Elizabeth Street"/>
    <s v="Canberra"/>
    <n v="2600"/>
    <n v="800"/>
    <n v="800"/>
    <s v="+61 2 1988 4731"/>
  </r>
  <r>
    <n v="3329"/>
    <s v="Hester"/>
    <s v="Alora Hester"/>
    <s v="Alora"/>
    <n v="1562"/>
    <x v="3"/>
    <x v="202"/>
    <n v="1"/>
    <x v="1"/>
    <x v="2"/>
    <n v="0.2"/>
    <n v="270.60000000000002"/>
    <n v="1353"/>
    <n v="1082.4000000000001"/>
    <s v="Kelly"/>
    <n v="1562"/>
    <s v="Networking Strategy"/>
    <d v="2024-07-31T00:00:00"/>
    <n v="3"/>
    <s v="In Progress"/>
    <s v="NSW"/>
    <s v="28167 Elizabeth Street"/>
    <s v="Newcastle"/>
    <n v="2300"/>
    <n v="250"/>
    <n v="750"/>
    <s v="+61 6 3150 6885"/>
  </r>
  <r>
    <n v="3330"/>
    <s v="Levy"/>
    <s v="Aspen Levy"/>
    <s v="Aspen"/>
    <n v="1563"/>
    <x v="1"/>
    <x v="43"/>
    <n v="3"/>
    <x v="0"/>
    <x v="7"/>
    <n v="0.3"/>
    <n v="443.7"/>
    <n v="1479"/>
    <n v="1035.3"/>
    <s v="Brian"/>
    <n v="1563"/>
    <s v="Resume + LinkedIn Profile"/>
    <d v="2024-12-22T00:00:00"/>
    <n v="1"/>
    <s v="Delivered"/>
    <s v="NT"/>
    <s v="20808 Elizabeth Street"/>
    <s v="Alice Springs"/>
    <n v="870"/>
    <n v="800"/>
    <n v="800"/>
    <s v="+61 3 7821 3974"/>
  </r>
  <r>
    <n v="3331"/>
    <s v="Santana"/>
    <s v="Clark Santana"/>
    <s v="Clark"/>
    <n v="1564"/>
    <x v="5"/>
    <x v="222"/>
    <n v="1"/>
    <x v="0"/>
    <x v="0"/>
    <n v="0.3"/>
    <n v="58.5"/>
    <n v="195"/>
    <n v="136.5"/>
    <s v="Priscilla"/>
    <n v="1564"/>
    <s v="Resume (service fee)"/>
    <d v="2024-12-02T00:00:00"/>
    <n v="2"/>
    <s v="Delivered"/>
    <s v="WA"/>
    <s v="26056 King Street"/>
    <s v="Fremantle"/>
    <n v="6160"/>
    <n v="600"/>
    <n v="1200"/>
    <s v="+61 7 6006 3452"/>
  </r>
  <r>
    <n v="3332"/>
    <s v="Deleon"/>
    <s v="Daleyza Deleon"/>
    <s v="Daleyza"/>
    <n v="1565"/>
    <x v="1"/>
    <x v="76"/>
    <n v="3"/>
    <x v="0"/>
    <x v="5"/>
    <n v="0.3"/>
    <n v="109.8"/>
    <n v="366"/>
    <n v="256.2"/>
    <s v="Brian"/>
    <n v="1565"/>
    <s v="Resume + LinkedIn Profile"/>
    <d v="2024-12-16T00:00:00"/>
    <n v="2"/>
    <s v="Delivered"/>
    <s v="SA"/>
    <s v="11867 King Street"/>
    <s v="Mount Gambier"/>
    <n v="5290"/>
    <n v="800"/>
    <n v="1600"/>
    <s v="+61 6 5775 5635"/>
  </r>
  <r>
    <n v="3333"/>
    <s v="Harrell"/>
    <s v="Esteban Harrell"/>
    <s v="Esteban"/>
    <n v="1566"/>
    <x v="2"/>
    <x v="176"/>
    <n v="1"/>
    <x v="0"/>
    <x v="3"/>
    <n v="0.25"/>
    <n v="398.25"/>
    <n v="1593"/>
    <n v="1194.75"/>
    <s v="Daniel"/>
    <n v="1566"/>
    <s v="LinkedIn profile"/>
    <d v="2024-11-15T00:00:00"/>
    <n v="3"/>
    <s v="Delivered"/>
    <s v="VIC"/>
    <s v="52533 George Street"/>
    <s v="Ballarat"/>
    <n v="3350"/>
    <n v="300"/>
    <n v="900"/>
    <s v="+61 8 5398 4545"/>
  </r>
  <r>
    <n v="3334"/>
    <s v="Ashley"/>
    <s v="Zaire Ashley"/>
    <s v="Zaire"/>
    <n v="1567"/>
    <x v="3"/>
    <x v="122"/>
    <n v="1"/>
    <x v="1"/>
    <x v="7"/>
    <n v="0.2"/>
    <n v="134.80000000000001"/>
    <n v="674"/>
    <n v="539.20000000000005"/>
    <s v="Kelly"/>
    <n v="1567"/>
    <s v="Networking Strategy"/>
    <d v="2024-10-03T00:00:00"/>
    <n v="2"/>
    <s v="In Progress"/>
    <s v="NT"/>
    <s v="8187 Elizabeth Street"/>
    <s v="Darwin"/>
    <n v="800"/>
    <n v="250"/>
    <n v="500"/>
    <s v="+61 8 6692 5490"/>
  </r>
  <r>
    <n v="3335"/>
    <s v="Miranda"/>
    <s v="Diego Miranda"/>
    <s v="Diego"/>
    <n v="1568"/>
    <x v="1"/>
    <x v="157"/>
    <n v="2"/>
    <x v="0"/>
    <x v="2"/>
    <n v="0.3"/>
    <n v="323.09999999999997"/>
    <n v="1077"/>
    <n v="753.90000000000009"/>
    <s v="Kelly"/>
    <n v="1568"/>
    <s v="Resume + LinkedIn Profile"/>
    <d v="2024-04-09T00:00:00"/>
    <n v="2"/>
    <s v="Delivered"/>
    <s v="NSW"/>
    <s v="92421 Elizabeth Street"/>
    <s v="Sydney"/>
    <n v="2000"/>
    <n v="800"/>
    <n v="1600"/>
    <s v="+61 2 9690 7644"/>
  </r>
  <r>
    <n v="3336"/>
    <s v="Potter"/>
    <s v="Niko Potter"/>
    <s v="Niko"/>
    <n v="1569"/>
    <x v="0"/>
    <x v="209"/>
    <n v="3"/>
    <x v="2"/>
    <x v="1"/>
    <n v="0.1"/>
    <n v="174.20000000000002"/>
    <n v="1742"/>
    <n v="1567.8"/>
    <s v="Brian"/>
    <n v="1569"/>
    <s v="Interview Prep"/>
    <d v="2024-11-17T00:00:00"/>
    <n v="2"/>
    <s v="Service Booked"/>
    <s v="ACT"/>
    <s v="58287 George Street"/>
    <s v="Canberra"/>
    <n v="2600"/>
    <n v="250"/>
    <n v="500"/>
    <s v="+61 7 5046 8274"/>
  </r>
  <r>
    <n v="3337"/>
    <s v="Wilkins"/>
    <s v="Maximus Wilkins"/>
    <s v="Maximus"/>
    <n v="1570"/>
    <x v="5"/>
    <x v="223"/>
    <n v="3"/>
    <x v="2"/>
    <x v="0"/>
    <n v="0.3"/>
    <n v="364.8"/>
    <n v="1216"/>
    <n v="851.2"/>
    <s v="Priscilla"/>
    <n v="1570"/>
    <s v="Resume (service fee)"/>
    <d v="2024-12-23T00:00:00"/>
    <n v="2"/>
    <s v="Service Booked"/>
    <s v="WA"/>
    <s v="1150 Park Avenue"/>
    <s v="Fremantle"/>
    <n v="6160"/>
    <n v="600"/>
    <n v="1200"/>
    <s v="+61 9 7457 6647"/>
  </r>
  <r>
    <n v="3338"/>
    <s v="Watts"/>
    <s v="Paris Watts"/>
    <s v="Paris"/>
    <n v="1571"/>
    <x v="4"/>
    <x v="28"/>
    <n v="1"/>
    <x v="2"/>
    <x v="1"/>
    <n v="0.25"/>
    <n v="77.25"/>
    <n v="309"/>
    <n v="231.75"/>
    <s v="Terrence"/>
    <n v="1571"/>
    <s v="Mentoring program"/>
    <d v="2024-08-25T00:00:00"/>
    <n v="1"/>
    <s v="Service Booked"/>
    <s v="ACT"/>
    <s v="70834 George Street"/>
    <s v="Canberra"/>
    <n v="2600"/>
    <n v="1200"/>
    <n v="1200"/>
    <s v="+61 3 9120 2817"/>
  </r>
  <r>
    <n v="3339"/>
    <s v="Hammond"/>
    <s v="Rosie Hammond"/>
    <s v="Rosie"/>
    <n v="1572"/>
    <x v="1"/>
    <x v="83"/>
    <n v="1"/>
    <x v="2"/>
    <x v="6"/>
    <n v="0.3"/>
    <n v="28.2"/>
    <n v="94"/>
    <n v="65.8"/>
    <s v="Kelly"/>
    <n v="1572"/>
    <s v="Resume + LinkedIn Profile"/>
    <d v="2024-04-29T00:00:00"/>
    <n v="3"/>
    <s v="Service Booked"/>
    <s v="TAS"/>
    <s v="49586 Elizabeth Street"/>
    <s v="Launceston"/>
    <n v="7250"/>
    <n v="800"/>
    <n v="2400"/>
    <s v="+61 5 5286 2417"/>
  </r>
  <r>
    <n v="3340"/>
    <s v="Pham"/>
    <s v="Mackenzie Pham"/>
    <s v="Mackenzie"/>
    <n v="1573"/>
    <x v="0"/>
    <x v="150"/>
    <n v="3"/>
    <x v="0"/>
    <x v="4"/>
    <n v="0.1"/>
    <n v="138.9"/>
    <n v="1389"/>
    <n v="1250.0999999999999"/>
    <s v="Kelly"/>
    <n v="1573"/>
    <s v="Interview Prep"/>
    <d v="2024-04-03T00:00:00"/>
    <n v="1"/>
    <s v="Delivered"/>
    <s v="QLD"/>
    <s v="16532 George Street"/>
    <s v="Gold Coast"/>
    <n v="4217"/>
    <n v="250"/>
    <n v="250"/>
    <s v="+61 3 3116 8053"/>
  </r>
  <r>
    <n v="3341"/>
    <s v="Keller"/>
    <s v="Aylin Keller"/>
    <s v="Aylin"/>
    <n v="1574"/>
    <x v="5"/>
    <x v="224"/>
    <n v="3"/>
    <x v="1"/>
    <x v="6"/>
    <n v="0.3"/>
    <n v="299.09999999999997"/>
    <n v="997"/>
    <n v="697.90000000000009"/>
    <s v="Brian"/>
    <n v="1574"/>
    <s v="Resume (service fee)"/>
    <d v="2024-12-30T00:00:00"/>
    <n v="3"/>
    <s v="In Progress"/>
    <s v="TAS"/>
    <s v="97108 King Street"/>
    <s v="Launceston"/>
    <n v="7250"/>
    <n v="600"/>
    <n v="1800"/>
    <s v="+61 3 4947 5283"/>
  </r>
  <r>
    <n v="3342"/>
    <s v="Nuñez"/>
    <s v="Juliana Nuñez"/>
    <s v="Juliana"/>
    <n v="1575"/>
    <x v="1"/>
    <x v="196"/>
    <n v="1"/>
    <x v="0"/>
    <x v="1"/>
    <n v="0.3"/>
    <n v="168.9"/>
    <n v="563"/>
    <n v="394.1"/>
    <s v="Brian"/>
    <n v="1575"/>
    <s v="Resume + LinkedIn Profile"/>
    <d v="2024-06-21T00:00:00"/>
    <n v="3"/>
    <s v="Delivered"/>
    <s v="ACT"/>
    <s v="18723 George Street"/>
    <s v="Canberra"/>
    <n v="2600"/>
    <n v="800"/>
    <n v="2400"/>
    <s v="+61 6 6394 2679"/>
  </r>
  <r>
    <n v="3343"/>
    <s v="Ramirez"/>
    <s v="Robert Ramirez"/>
    <s v="Robert"/>
    <n v="1576"/>
    <x v="3"/>
    <x v="225"/>
    <n v="3"/>
    <x v="0"/>
    <x v="7"/>
    <n v="0.2"/>
    <n v="178"/>
    <n v="890"/>
    <n v="712"/>
    <s v="Terrence"/>
    <n v="1576"/>
    <s v="Networking Strategy"/>
    <d v="2024-02-24T00:00:00"/>
    <n v="2"/>
    <s v="Delivered"/>
    <s v="NT"/>
    <s v="37481 Main Street"/>
    <s v="Darwin"/>
    <n v="800"/>
    <n v="250"/>
    <n v="500"/>
    <s v="+61 4 9070 8038"/>
  </r>
  <r>
    <n v="3344"/>
    <s v="Reeves"/>
    <s v="Ezequiel Reeves"/>
    <s v="Ezequiel"/>
    <n v="1577"/>
    <x v="4"/>
    <x v="170"/>
    <n v="2"/>
    <x v="2"/>
    <x v="3"/>
    <n v="0.25"/>
    <n v="400.5"/>
    <n v="1602"/>
    <n v="1201.5"/>
    <s v="Kelly"/>
    <n v="1577"/>
    <s v="Mentoring program"/>
    <d v="2024-08-31T00:00:00"/>
    <n v="1"/>
    <s v="Service Booked"/>
    <s v="VIC"/>
    <s v="36464 George Street"/>
    <s v="Ballarat"/>
    <n v="3350"/>
    <n v="1200"/>
    <n v="1200"/>
    <s v="+61 7 3030 3275"/>
  </r>
  <r>
    <n v="3345"/>
    <s v="Escobar"/>
    <s v="Dahlia Escobar"/>
    <s v="Dahlia"/>
    <n v="1578"/>
    <x v="1"/>
    <x v="226"/>
    <n v="1"/>
    <x v="3"/>
    <x v="5"/>
    <n v="0.3"/>
    <n v="30.9"/>
    <n v="103"/>
    <n v="72.099999999999994"/>
    <s v="Brian"/>
    <n v="1578"/>
    <s v="Resume + LinkedIn Profile"/>
    <d v="2024-06-17T00:00:00"/>
    <n v="2"/>
    <s v="Cancelled"/>
    <s v="SA"/>
    <s v="56165 Park Avenue"/>
    <s v="Mount Gambier"/>
    <n v="5290"/>
    <n v="800"/>
    <n v="1600"/>
    <s v="+61 8 7267 1640"/>
  </r>
  <r>
    <n v="3346"/>
    <s v="Sanchez"/>
    <s v="Maya Sanchez"/>
    <s v="Maya"/>
    <n v="1579"/>
    <x v="4"/>
    <x v="89"/>
    <n v="2"/>
    <x v="1"/>
    <x v="5"/>
    <n v="0.25"/>
    <n v="103.75"/>
    <n v="415"/>
    <n v="311.25"/>
    <s v="Brian"/>
    <n v="1579"/>
    <s v="Mentoring program"/>
    <d v="2024-03-08T00:00:00"/>
    <n v="1"/>
    <s v="In Progress"/>
    <s v="SA"/>
    <s v="40799 Park Avenue"/>
    <s v="Adelaide"/>
    <n v="5000"/>
    <n v="1200"/>
    <n v="1200"/>
    <s v="+61 8 8094 2946"/>
  </r>
  <r>
    <n v="3347"/>
    <s v="Cardenas"/>
    <s v="Ayla Cardenas"/>
    <s v="Ayla"/>
    <n v="1580"/>
    <x v="2"/>
    <x v="227"/>
    <n v="3"/>
    <x v="0"/>
    <x v="7"/>
    <n v="0.25"/>
    <n v="229.5"/>
    <n v="918"/>
    <n v="688.5"/>
    <s v="Kelly"/>
    <n v="1580"/>
    <s v="LinkedIn profile"/>
    <d v="2024-03-28T00:00:00"/>
    <n v="3"/>
    <s v="Delivered"/>
    <s v="NT"/>
    <s v="46981 King Street"/>
    <s v="Alice Springs"/>
    <n v="870"/>
    <n v="300"/>
    <n v="900"/>
    <s v="+61 2 7006 2780"/>
  </r>
  <r>
    <n v="3348"/>
    <s v="Wilson"/>
    <s v="Santiago Wilson"/>
    <s v="Santiago"/>
    <n v="1581"/>
    <x v="5"/>
    <x v="228"/>
    <n v="2"/>
    <x v="2"/>
    <x v="7"/>
    <n v="0.3"/>
    <n v="122.1"/>
    <n v="407"/>
    <n v="284.89999999999998"/>
    <s v="Priscilla"/>
    <n v="1581"/>
    <s v="Resume (service fee)"/>
    <d v="2024-11-08T00:00:00"/>
    <n v="3"/>
    <s v="Service Booked"/>
    <s v="NT"/>
    <s v="77176 Elizabeth Street"/>
    <s v="Alice Springs"/>
    <n v="870"/>
    <n v="600"/>
    <n v="1800"/>
    <s v="+61 9 2184 6402"/>
  </r>
  <r>
    <n v="3349"/>
    <s v="Blevins"/>
    <s v="Alejandro Blevins"/>
    <s v="Alejandro"/>
    <n v="1582"/>
    <x v="4"/>
    <x v="229"/>
    <n v="1"/>
    <x v="2"/>
    <x v="6"/>
    <n v="0.25"/>
    <n v="176"/>
    <n v="704"/>
    <n v="528"/>
    <s v="Daniel"/>
    <n v="1582"/>
    <s v="Mentoring program"/>
    <d v="2024-09-29T00:00:00"/>
    <n v="1"/>
    <s v="Service Booked"/>
    <s v="TAS"/>
    <s v="48102 Park Avenue"/>
    <s v="Hobart"/>
    <n v="7000"/>
    <n v="1200"/>
    <n v="1200"/>
    <s v="+61 2 4745 3970"/>
  </r>
  <r>
    <n v="3350"/>
    <s v="Leon"/>
    <s v="Elliott Leon"/>
    <s v="Elliott"/>
    <n v="1583"/>
    <x v="5"/>
    <x v="230"/>
    <n v="2"/>
    <x v="2"/>
    <x v="5"/>
    <n v="0.3"/>
    <n v="176.4"/>
    <n v="588"/>
    <n v="411.6"/>
    <s v="Daniel"/>
    <n v="1583"/>
    <s v="Resume (service fee)"/>
    <d v="2024-10-25T00:00:00"/>
    <n v="3"/>
    <s v="Service Booked"/>
    <s v="SA"/>
    <s v="52113 Elizabeth Street"/>
    <s v="Mount Gambier"/>
    <n v="5290"/>
    <n v="600"/>
    <n v="1800"/>
    <s v="+61 3 6601 4019"/>
  </r>
  <r>
    <n v="3351"/>
    <s v="Cooper"/>
    <s v="Nasir Cooper"/>
    <s v="Nasir"/>
    <n v="1584"/>
    <x v="2"/>
    <x v="31"/>
    <n v="3"/>
    <x v="0"/>
    <x v="5"/>
    <n v="0.25"/>
    <n v="264.5"/>
    <n v="1058"/>
    <n v="793.5"/>
    <s v="Terrence"/>
    <n v="1584"/>
    <s v="LinkedIn profile"/>
    <d v="2024-10-23T00:00:00"/>
    <n v="3"/>
    <s v="Delivered"/>
    <s v="SA"/>
    <s v="70174 King Street"/>
    <s v="Adelaide"/>
    <n v="5000"/>
    <n v="300"/>
    <n v="900"/>
    <s v="+61 5 7953 3343"/>
  </r>
  <r>
    <n v="3352"/>
    <s v="Norman"/>
    <s v="Calvin Norman"/>
    <s v="Calvin"/>
    <n v="1585"/>
    <x v="4"/>
    <x v="83"/>
    <n v="2"/>
    <x v="3"/>
    <x v="0"/>
    <n v="0.25"/>
    <n v="173"/>
    <n v="692"/>
    <n v="519"/>
    <s v="Priscilla"/>
    <n v="1585"/>
    <s v="Mentoring program"/>
    <d v="2024-04-29T00:00:00"/>
    <n v="1"/>
    <s v="Cancelled"/>
    <s v="WA"/>
    <s v="74413 Park Avenue"/>
    <s v="Fremantle"/>
    <n v="6160"/>
    <n v="1200"/>
    <n v="1200"/>
    <s v="+61 3 4860 1426"/>
  </r>
  <r>
    <n v="3353"/>
    <s v="Cherry"/>
    <s v="Aspen Cherry"/>
    <s v="Aspen"/>
    <n v="1586"/>
    <x v="1"/>
    <x v="226"/>
    <n v="3"/>
    <x v="3"/>
    <x v="1"/>
    <n v="0.3"/>
    <n v="491.7"/>
    <n v="1639"/>
    <n v="1147.3"/>
    <s v="Brian"/>
    <n v="1586"/>
    <s v="Resume + LinkedIn Profile"/>
    <d v="2024-06-17T00:00:00"/>
    <n v="1"/>
    <s v="Cancelled"/>
    <s v="ACT"/>
    <s v="27216 King Street"/>
    <s v="Canberra"/>
    <n v="2600"/>
    <n v="800"/>
    <n v="800"/>
    <s v="+61 9 1519 7172"/>
  </r>
  <r>
    <n v="3354"/>
    <s v="Ellis"/>
    <s v="Esme Ellis"/>
    <s v="Esme"/>
    <n v="1587"/>
    <x v="4"/>
    <x v="72"/>
    <n v="1"/>
    <x v="0"/>
    <x v="2"/>
    <n v="0.25"/>
    <n v="295.25"/>
    <n v="1181"/>
    <n v="885.75"/>
    <s v="Terrence"/>
    <n v="1587"/>
    <s v="Mentoring program"/>
    <d v="2024-04-14T00:00:00"/>
    <n v="1"/>
    <s v="Delivered"/>
    <s v="NSW"/>
    <s v="59012 King Street"/>
    <s v="Sydney"/>
    <n v="2000"/>
    <n v="1200"/>
    <n v="1200"/>
    <s v="+61 8 6499 4080"/>
  </r>
  <r>
    <n v="3355"/>
    <s v="Vega"/>
    <s v="Blake Vega"/>
    <s v="Blake"/>
    <n v="1588"/>
    <x v="5"/>
    <x v="147"/>
    <n v="2"/>
    <x v="0"/>
    <x v="1"/>
    <n v="0.3"/>
    <n v="98.7"/>
    <n v="329"/>
    <n v="230.3"/>
    <s v="Priscilla"/>
    <n v="1588"/>
    <s v="Resume (service fee)"/>
    <d v="2024-09-17T00:00:00"/>
    <n v="2"/>
    <s v="Delivered"/>
    <s v="ACT"/>
    <s v="85293 King Street"/>
    <s v="Canberra"/>
    <n v="2600"/>
    <n v="600"/>
    <n v="1200"/>
    <s v="+61 5 6428 2775"/>
  </r>
  <r>
    <n v="3355"/>
    <s v="Vega"/>
    <s v="Blake Vega"/>
    <s v="Blake"/>
    <n v="1588"/>
    <x v="5"/>
    <x v="147"/>
    <n v="2"/>
    <x v="0"/>
    <x v="1"/>
    <n v="0.3"/>
    <n v="98.7"/>
    <n v="329"/>
    <n v="230.3"/>
    <s v="Priscilla"/>
    <n v="1588"/>
    <s v="LinkedIn profile"/>
    <d v="2024-01-26T00:00:00"/>
    <n v="2"/>
    <s v="Service Booked"/>
    <s v="QLD"/>
    <s v="49060 Elizabeth Street"/>
    <s v="Brisbane"/>
    <n v="4000"/>
    <n v="300"/>
    <n v="600"/>
    <s v="+61 4 6987 7057"/>
  </r>
  <r>
    <n v="3859"/>
    <s v="Vega"/>
    <s v="Blake Vega"/>
    <s v="Blake"/>
    <n v="1588"/>
    <x v="2"/>
    <x v="13"/>
    <n v="2"/>
    <x v="2"/>
    <x v="4"/>
    <n v="0.25"/>
    <n v="53.5"/>
    <n v="214"/>
    <n v="160.5"/>
    <s v="Kelly"/>
    <n v="1588"/>
    <s v="Resume (service fee)"/>
    <d v="2024-09-17T00:00:00"/>
    <n v="2"/>
    <s v="Delivered"/>
    <s v="ACT"/>
    <s v="85293 King Street"/>
    <s v="Canberra"/>
    <n v="2600"/>
    <n v="600"/>
    <n v="1200"/>
    <s v="+61 5 6428 2775"/>
  </r>
  <r>
    <n v="3859"/>
    <s v="Vega"/>
    <s v="Blake Vega"/>
    <s v="Blake"/>
    <n v="1588"/>
    <x v="2"/>
    <x v="13"/>
    <n v="2"/>
    <x v="2"/>
    <x v="4"/>
    <n v="0.25"/>
    <n v="53.5"/>
    <n v="214"/>
    <n v="160.5"/>
    <s v="Kelly"/>
    <n v="1588"/>
    <s v="LinkedIn profile"/>
    <d v="2024-01-26T00:00:00"/>
    <n v="2"/>
    <s v="Service Booked"/>
    <s v="QLD"/>
    <s v="49060 Elizabeth Street"/>
    <s v="Brisbane"/>
    <n v="4000"/>
    <n v="300"/>
    <n v="600"/>
    <s v="+61 4 6987 7057"/>
  </r>
  <r>
    <n v="3356"/>
    <s v="English"/>
    <s v="Oakley English"/>
    <s v="Oakley"/>
    <n v="1589"/>
    <x v="3"/>
    <x v="231"/>
    <n v="2"/>
    <x v="1"/>
    <x v="1"/>
    <n v="0.2"/>
    <n v="239.8"/>
    <n v="1199"/>
    <n v="959.2"/>
    <s v="Terrence"/>
    <n v="1589"/>
    <s v="Networking Strategy"/>
    <d v="2024-07-10T00:00:00"/>
    <n v="1"/>
    <s v="In Progress"/>
    <s v="ACT"/>
    <s v="4594 Park Avenue"/>
    <s v="Canberra"/>
    <n v="2600"/>
    <n v="250"/>
    <n v="250"/>
    <s v="+61 7 4679 4753"/>
  </r>
  <r>
    <n v="3357"/>
    <s v="Costa"/>
    <s v="Brynlee Costa"/>
    <s v="Brynlee"/>
    <n v="1590"/>
    <x v="3"/>
    <x v="232"/>
    <n v="2"/>
    <x v="2"/>
    <x v="4"/>
    <n v="0.2"/>
    <n v="97.800000000000011"/>
    <n v="489"/>
    <n v="391.2"/>
    <s v="Kelly"/>
    <n v="1590"/>
    <s v="Networking Strategy"/>
    <d v="2024-08-03T00:00:00"/>
    <n v="1"/>
    <s v="Service Booked"/>
    <s v="QLD"/>
    <s v="36000 Elizabeth Street"/>
    <s v="Brisbane"/>
    <n v="4000"/>
    <n v="250"/>
    <n v="250"/>
    <s v="+61 8 9620 5173"/>
  </r>
  <r>
    <n v="3358"/>
    <s v="Francis"/>
    <s v="Amir Francis"/>
    <s v="Amir"/>
    <n v="1591"/>
    <x v="2"/>
    <x v="233"/>
    <n v="1"/>
    <x v="0"/>
    <x v="1"/>
    <n v="0.25"/>
    <n v="97.75"/>
    <n v="391"/>
    <n v="293.25"/>
    <s v="Priscilla"/>
    <n v="1591"/>
    <s v="LinkedIn profile"/>
    <d v="2024-11-22T00:00:00"/>
    <n v="2"/>
    <s v="Delivered"/>
    <s v="ACT"/>
    <s v="68985 King Street"/>
    <s v="Canberra"/>
    <n v="2600"/>
    <n v="300"/>
    <n v="600"/>
    <s v="+61 8 1111 9888"/>
  </r>
  <r>
    <n v="3359"/>
    <s v="Wallace"/>
    <s v="Reid Wallace"/>
    <s v="Reid"/>
    <n v="1592"/>
    <x v="0"/>
    <x v="234"/>
    <n v="1"/>
    <x v="3"/>
    <x v="7"/>
    <n v="0.1"/>
    <n v="18.7"/>
    <n v="187"/>
    <n v="168.3"/>
    <s v="Terrence"/>
    <n v="1592"/>
    <s v="Interview Prep"/>
    <d v="2024-06-03T00:00:00"/>
    <n v="1"/>
    <s v="Cancelled"/>
    <s v="NT"/>
    <s v="50011 Main Street"/>
    <s v="Darwin"/>
    <n v="800"/>
    <n v="250"/>
    <n v="250"/>
    <s v="+61 2 4908 9219"/>
  </r>
  <r>
    <n v="3360"/>
    <s v="Johnston"/>
    <s v="Rebecca Johnston"/>
    <s v="Rebecca"/>
    <n v="1593"/>
    <x v="4"/>
    <x v="235"/>
    <n v="2"/>
    <x v="0"/>
    <x v="7"/>
    <n v="0.25"/>
    <n v="275"/>
    <n v="1100"/>
    <n v="825"/>
    <s v="Priscilla"/>
    <n v="1593"/>
    <s v="Mentoring program"/>
    <d v="2024-08-02T00:00:00"/>
    <n v="3"/>
    <s v="Delivered"/>
    <s v="NT"/>
    <s v="85432 George Street"/>
    <s v="Darwin"/>
    <n v="800"/>
    <n v="1200"/>
    <n v="3600"/>
    <s v="+61 4 4511 7994"/>
  </r>
  <r>
    <n v="3361"/>
    <s v="Palmer"/>
    <s v="Zuri Palmer"/>
    <s v="Zuri"/>
    <n v="1594"/>
    <x v="4"/>
    <x v="210"/>
    <n v="1"/>
    <x v="2"/>
    <x v="0"/>
    <n v="0.25"/>
    <n v="359.25"/>
    <n v="1437"/>
    <n v="1077.75"/>
    <s v="Daniel"/>
    <n v="1594"/>
    <s v="Mentoring program"/>
    <d v="2024-10-11T00:00:00"/>
    <n v="1"/>
    <s v="Service Booked"/>
    <s v="WA"/>
    <s v="35139 Park Avenue"/>
    <s v="Fremantle"/>
    <n v="6160"/>
    <n v="1200"/>
    <n v="1200"/>
    <s v="+61 2 6796 8985"/>
  </r>
  <r>
    <n v="3362"/>
    <s v="Piñeda"/>
    <s v="Kyler Piñeda"/>
    <s v="Kyler"/>
    <n v="1595"/>
    <x v="4"/>
    <x v="236"/>
    <n v="1"/>
    <x v="2"/>
    <x v="2"/>
    <n v="0.25"/>
    <n v="97.25"/>
    <n v="389"/>
    <n v="291.75"/>
    <s v="Terrence"/>
    <n v="1595"/>
    <s v="Mentoring program"/>
    <d v="2024-05-29T00:00:00"/>
    <n v="2"/>
    <s v="Service Booked"/>
    <s v="NSW"/>
    <s v="63743 King Street"/>
    <s v="Sydney"/>
    <n v="2000"/>
    <n v="1200"/>
    <n v="2400"/>
    <s v="+61 9 9300 4147"/>
  </r>
  <r>
    <n v="3363"/>
    <s v="Barrera"/>
    <s v="Lennox Barrera"/>
    <s v="Lennox"/>
    <n v="1596"/>
    <x v="5"/>
    <x v="196"/>
    <n v="2"/>
    <x v="3"/>
    <x v="7"/>
    <n v="0.3"/>
    <n v="208.79999999999998"/>
    <n v="696"/>
    <n v="487.20000000000005"/>
    <s v="Brian"/>
    <n v="1596"/>
    <s v="Resume (service fee)"/>
    <d v="2024-06-21T00:00:00"/>
    <n v="1"/>
    <s v="Cancelled"/>
    <s v="NT"/>
    <s v="95347 Park Avenue"/>
    <s v="Darwin"/>
    <n v="800"/>
    <n v="600"/>
    <n v="600"/>
    <s v="+61 3 8784 3604"/>
  </r>
  <r>
    <n v="3364"/>
    <s v="English"/>
    <s v="Holden English"/>
    <s v="Holden"/>
    <n v="1597"/>
    <x v="0"/>
    <x v="27"/>
    <n v="2"/>
    <x v="2"/>
    <x v="0"/>
    <n v="0.1"/>
    <n v="79.400000000000006"/>
    <n v="794"/>
    <n v="714.6"/>
    <s v="Terrence"/>
    <n v="1597"/>
    <s v="Interview Prep"/>
    <d v="2024-02-26T00:00:00"/>
    <n v="1"/>
    <s v="Service Booked"/>
    <s v="WA"/>
    <s v="44917 Elizabeth Street"/>
    <s v="Perth"/>
    <n v="6000"/>
    <n v="250"/>
    <n v="250"/>
    <s v="+61 9 2445 2988"/>
  </r>
  <r>
    <n v="3365"/>
    <s v="Stafford"/>
    <s v="Elaina Stafford"/>
    <s v="Elaina"/>
    <n v="1598"/>
    <x v="4"/>
    <x v="237"/>
    <n v="3"/>
    <x v="2"/>
    <x v="5"/>
    <n v="0.25"/>
    <n v="199.5"/>
    <n v="798"/>
    <n v="598.5"/>
    <s v="Brian"/>
    <n v="1598"/>
    <s v="Mentoring program"/>
    <d v="2024-10-17T00:00:00"/>
    <n v="3"/>
    <s v="Service Booked"/>
    <s v="SA"/>
    <s v="74581 George Street"/>
    <s v="Adelaide"/>
    <n v="5000"/>
    <n v="1200"/>
    <n v="3600"/>
    <s v="+61 3 1130 2035"/>
  </r>
  <r>
    <n v="3366"/>
    <s v="Smith"/>
    <s v="Ari Smith"/>
    <s v="Ari"/>
    <n v="1599"/>
    <x v="0"/>
    <x v="44"/>
    <n v="1"/>
    <x v="0"/>
    <x v="0"/>
    <n v="0.1"/>
    <n v="100.9"/>
    <n v="1009"/>
    <n v="908.1"/>
    <s v="Priscilla"/>
    <n v="1599"/>
    <s v="Interview Prep"/>
    <d v="2024-09-28T00:00:00"/>
    <n v="2"/>
    <s v="Delivered"/>
    <s v="WA"/>
    <s v="41826 King Street"/>
    <s v="Broome"/>
    <n v="6725"/>
    <n v="250"/>
    <n v="500"/>
    <s v="+61 9 3174 1558"/>
  </r>
  <r>
    <n v="3367"/>
    <s v="James"/>
    <s v="Parker James"/>
    <s v="Parker"/>
    <n v="1600"/>
    <x v="5"/>
    <x v="238"/>
    <n v="2"/>
    <x v="1"/>
    <x v="2"/>
    <n v="0.3"/>
    <n v="364.5"/>
    <n v="1215"/>
    <n v="850.5"/>
    <s v="Brian"/>
    <n v="1600"/>
    <s v="Resume (service fee)"/>
    <d v="2024-02-27T00:00:00"/>
    <n v="2"/>
    <s v="In Progress"/>
    <s v="NSW"/>
    <s v="88447 George Street"/>
    <s v="Newcastle"/>
    <n v="2300"/>
    <n v="600"/>
    <n v="1200"/>
    <s v="+61 5 6075 8503"/>
  </r>
  <r>
    <n v="3368"/>
    <s v="Hancock"/>
    <s v="Norah Hancock"/>
    <s v="Norah"/>
    <n v="1601"/>
    <x v="1"/>
    <x v="178"/>
    <n v="3"/>
    <x v="2"/>
    <x v="4"/>
    <n v="0.3"/>
    <n v="499.5"/>
    <n v="1665"/>
    <n v="1165.5"/>
    <s v="Kelly"/>
    <n v="1601"/>
    <s v="Resume + LinkedIn Profile"/>
    <d v="2024-12-05T00:00:00"/>
    <n v="1"/>
    <s v="Service Booked"/>
    <s v="QLD"/>
    <s v="10856 George Street"/>
    <s v="Gold Coast"/>
    <n v="4217"/>
    <n v="800"/>
    <n v="800"/>
    <s v="+61 2 5819 9002"/>
  </r>
  <r>
    <n v="3369"/>
    <s v="Coleman"/>
    <s v="Ruby Coleman"/>
    <s v="Ruby"/>
    <n v="1602"/>
    <x v="2"/>
    <x v="160"/>
    <n v="3"/>
    <x v="0"/>
    <x v="0"/>
    <n v="0.25"/>
    <n v="166.75"/>
    <n v="667"/>
    <n v="500.25"/>
    <s v="Brian"/>
    <n v="1602"/>
    <s v="LinkedIn profile"/>
    <d v="2024-02-15T00:00:00"/>
    <n v="2"/>
    <s v="Delivered"/>
    <s v="WA"/>
    <s v="75889 Park Avenue"/>
    <s v="Broome"/>
    <n v="6725"/>
    <n v="300"/>
    <n v="600"/>
    <s v="+61 8 5290 8659"/>
  </r>
  <r>
    <n v="3370"/>
    <s v="Boyle"/>
    <s v="Morgan Boyle"/>
    <s v="Morgan"/>
    <n v="1603"/>
    <x v="5"/>
    <x v="210"/>
    <n v="2"/>
    <x v="0"/>
    <x v="6"/>
    <n v="0.3"/>
    <n v="354"/>
    <n v="1180"/>
    <n v="826"/>
    <s v="Daniel"/>
    <n v="1603"/>
    <s v="Resume (service fee)"/>
    <d v="2024-10-11T00:00:00"/>
    <n v="2"/>
    <s v="Delivered"/>
    <s v="TAS"/>
    <s v="98743 Main Street"/>
    <s v="Launceston"/>
    <n v="7250"/>
    <n v="600"/>
    <n v="1200"/>
    <s v="+61 2 9924 8192"/>
  </r>
  <r>
    <n v="3371"/>
    <s v="Whitehead"/>
    <s v="Ayla Whitehead"/>
    <s v="Ayla"/>
    <n v="1604"/>
    <x v="4"/>
    <x v="222"/>
    <n v="2"/>
    <x v="2"/>
    <x v="0"/>
    <n v="0.25"/>
    <n v="121.25"/>
    <n v="485"/>
    <n v="363.75"/>
    <s v="Brian"/>
    <n v="1604"/>
    <s v="Mentoring program"/>
    <d v="2024-12-02T00:00:00"/>
    <n v="3"/>
    <s v="Service Booked"/>
    <s v="WA"/>
    <s v="80263 George Street"/>
    <s v="Fremantle"/>
    <n v="6160"/>
    <n v="1200"/>
    <n v="3600"/>
    <s v="+61 8 7711 5584"/>
  </r>
  <r>
    <n v="3372"/>
    <s v="Bernal"/>
    <s v="Koa Bernal"/>
    <s v="Koa"/>
    <n v="1605"/>
    <x v="4"/>
    <x v="239"/>
    <n v="3"/>
    <x v="2"/>
    <x v="3"/>
    <n v="0.25"/>
    <n v="75.25"/>
    <n v="301"/>
    <n v="225.75"/>
    <s v="Priscilla"/>
    <n v="1605"/>
    <s v="Mentoring program"/>
    <d v="2024-03-02T00:00:00"/>
    <n v="3"/>
    <s v="Service Booked"/>
    <s v="VIC"/>
    <s v="55667 George Street"/>
    <s v="Geelong"/>
    <n v="3220"/>
    <n v="1200"/>
    <n v="3600"/>
    <s v="+61 2 2252 8358"/>
  </r>
  <r>
    <n v="3373"/>
    <s v="Walsh"/>
    <s v="Patrick Walsh"/>
    <s v="Patrick"/>
    <n v="1606"/>
    <x v="5"/>
    <x v="240"/>
    <n v="3"/>
    <x v="2"/>
    <x v="6"/>
    <n v="0.3"/>
    <n v="365.4"/>
    <n v="1218"/>
    <n v="852.6"/>
    <s v="Kelly"/>
    <n v="1606"/>
    <s v="Resume (service fee)"/>
    <d v="2024-03-19T00:00:00"/>
    <n v="3"/>
    <s v="Service Booked"/>
    <s v="TAS"/>
    <s v="12797 George Street"/>
    <s v="Devonport"/>
    <n v="7310"/>
    <n v="600"/>
    <n v="1800"/>
    <s v="+61 4 5636 4220"/>
  </r>
  <r>
    <n v="3374"/>
    <s v="Portillo"/>
    <s v="Logan Portillo"/>
    <s v="Logan"/>
    <n v="1607"/>
    <x v="1"/>
    <x v="241"/>
    <n v="3"/>
    <x v="0"/>
    <x v="4"/>
    <n v="0.3"/>
    <n v="36.299999999999997"/>
    <n v="121"/>
    <n v="84.7"/>
    <s v="Priscilla"/>
    <n v="1607"/>
    <s v="Resume + LinkedIn Profile"/>
    <d v="2024-07-28T00:00:00"/>
    <n v="3"/>
    <s v="Delivered"/>
    <s v="QLD"/>
    <s v="2471 George Street"/>
    <s v="Cairns"/>
    <n v="4870"/>
    <n v="800"/>
    <n v="2400"/>
    <s v="+61 7 7463 1415"/>
  </r>
  <r>
    <n v="3375"/>
    <s v="Torres"/>
    <s v="Jensen Torres"/>
    <s v="Jensen"/>
    <n v="1608"/>
    <x v="0"/>
    <x v="242"/>
    <n v="1"/>
    <x v="2"/>
    <x v="0"/>
    <n v="0.1"/>
    <n v="68"/>
    <n v="680"/>
    <n v="612"/>
    <s v="Terrence"/>
    <n v="1608"/>
    <s v="Interview Prep"/>
    <d v="2024-03-26T00:00:00"/>
    <n v="3"/>
    <s v="Service Booked"/>
    <s v="WA"/>
    <s v="23847 Park Avenue"/>
    <s v="Perth"/>
    <n v="6000"/>
    <n v="250"/>
    <n v="750"/>
    <s v="+61 7 5239 9452"/>
  </r>
  <r>
    <n v="3376"/>
    <s v="Kline"/>
    <s v="Lana Kline"/>
    <s v="Lana"/>
    <n v="1609"/>
    <x v="5"/>
    <x v="243"/>
    <n v="2"/>
    <x v="1"/>
    <x v="6"/>
    <n v="0.3"/>
    <n v="165"/>
    <n v="550"/>
    <n v="385"/>
    <s v="Terrence"/>
    <n v="1609"/>
    <s v="Resume (service fee)"/>
    <d v="2024-08-22T00:00:00"/>
    <n v="2"/>
    <s v="In Progress"/>
    <s v="TAS"/>
    <s v="57972 Main Street"/>
    <s v="Devonport"/>
    <n v="7310"/>
    <n v="600"/>
    <n v="1200"/>
    <s v="+61 5 4500 9667"/>
  </r>
  <r>
    <n v="3377"/>
    <s v="Ahmed"/>
    <s v="Milani Ahmed"/>
    <s v="Milani"/>
    <n v="1610"/>
    <x v="2"/>
    <x v="244"/>
    <n v="1"/>
    <x v="1"/>
    <x v="5"/>
    <n v="0.25"/>
    <n v="266.25"/>
    <n v="1065"/>
    <n v="798.75"/>
    <s v="Brian"/>
    <n v="1610"/>
    <s v="LinkedIn profile"/>
    <d v="2024-10-01T00:00:00"/>
    <n v="3"/>
    <s v="In Progress"/>
    <s v="SA"/>
    <s v="3322 King Street"/>
    <s v="Whyalla"/>
    <n v="5600"/>
    <n v="300"/>
    <n v="900"/>
    <s v="+61 7 7693 6077"/>
  </r>
  <r>
    <n v="3378"/>
    <s v="Weber"/>
    <s v="Laura Weber"/>
    <s v="Laura"/>
    <n v="1611"/>
    <x v="4"/>
    <x v="245"/>
    <n v="2"/>
    <x v="3"/>
    <x v="1"/>
    <n v="0.25"/>
    <n v="96.75"/>
    <n v="387"/>
    <n v="290.25"/>
    <s v="Brian"/>
    <n v="1611"/>
    <s v="Mentoring program"/>
    <d v="2024-08-11T00:00:00"/>
    <n v="3"/>
    <s v="Cancelled"/>
    <s v="ACT"/>
    <s v="29797 George Street"/>
    <s v="Canberra"/>
    <n v="2600"/>
    <n v="1200"/>
    <n v="3600"/>
    <s v="+61 4 3669 2278"/>
  </r>
  <r>
    <n v="3379"/>
    <s v="Conner"/>
    <s v="Arthur Conner"/>
    <s v="Arthur"/>
    <n v="1612"/>
    <x v="4"/>
    <x v="141"/>
    <n v="3"/>
    <x v="0"/>
    <x v="5"/>
    <n v="0.25"/>
    <n v="79.25"/>
    <n v="317"/>
    <n v="237.75"/>
    <s v="Priscilla"/>
    <n v="1612"/>
    <s v="Mentoring program"/>
    <d v="2024-10-05T00:00:00"/>
    <n v="1"/>
    <s v="Delivered"/>
    <s v="SA"/>
    <s v="81022 George Street"/>
    <s v="Mount Gambier"/>
    <n v="5290"/>
    <n v="1200"/>
    <n v="1200"/>
    <s v="+61 8 7884 9125"/>
  </r>
  <r>
    <n v="3380"/>
    <s v="Reeves"/>
    <s v="Jayden Reeves"/>
    <s v="Jayden"/>
    <n v="1613"/>
    <x v="0"/>
    <x v="143"/>
    <n v="1"/>
    <x v="2"/>
    <x v="6"/>
    <n v="0.1"/>
    <n v="80.2"/>
    <n v="802"/>
    <n v="721.8"/>
    <s v="Priscilla"/>
    <n v="1613"/>
    <s v="Interview Prep"/>
    <d v="2024-06-28T00:00:00"/>
    <n v="3"/>
    <s v="Service Booked"/>
    <s v="TAS"/>
    <s v="13624 Main Street"/>
    <s v="Launceston"/>
    <n v="7250"/>
    <n v="250"/>
    <n v="750"/>
    <s v="+61 9 3338 2639"/>
  </r>
  <r>
    <n v="3381"/>
    <s v="Ávila"/>
    <s v="Karson Ávila"/>
    <s v="Karson"/>
    <n v="1614"/>
    <x v="0"/>
    <x v="241"/>
    <n v="2"/>
    <x v="3"/>
    <x v="5"/>
    <n v="0.1"/>
    <n v="32.200000000000003"/>
    <n v="322"/>
    <n v="289.8"/>
    <s v="Terrence"/>
    <n v="1614"/>
    <s v="Interview Prep"/>
    <d v="2024-07-28T00:00:00"/>
    <n v="2"/>
    <s v="Cancelled"/>
    <s v="SA"/>
    <s v="14632 Main Street"/>
    <s v="Adelaide"/>
    <n v="5000"/>
    <n v="250"/>
    <n v="500"/>
    <s v="+61 7 2857 1484"/>
  </r>
  <r>
    <n v="3383"/>
    <s v="Peterson"/>
    <s v="Armani Peterson"/>
    <s v="Armani"/>
    <n v="1615"/>
    <x v="1"/>
    <x v="90"/>
    <n v="1"/>
    <x v="2"/>
    <x v="6"/>
    <n v="0.3"/>
    <n v="141.29999999999998"/>
    <n v="471"/>
    <n v="329.70000000000005"/>
    <s v="Kelly"/>
    <n v="1615"/>
    <s v="Resume + LinkedIn Profile"/>
    <d v="2024-03-27T00:00:00"/>
    <n v="1"/>
    <s v="Service Booked"/>
    <s v="TAS"/>
    <s v="43867 Main Street"/>
    <s v="Devonport"/>
    <n v="7310"/>
    <n v="800"/>
    <n v="800"/>
    <s v="+61 8 6101 4143"/>
  </r>
  <r>
    <n v="3384"/>
    <s v="Oliver"/>
    <s v="Hattie Oliver"/>
    <s v="Hattie"/>
    <n v="1616"/>
    <x v="4"/>
    <x v="246"/>
    <n v="3"/>
    <x v="1"/>
    <x v="4"/>
    <n v="0.25"/>
    <n v="131.75"/>
    <n v="527"/>
    <n v="395.25"/>
    <s v="Terrence"/>
    <n v="1616"/>
    <s v="Mentoring program"/>
    <d v="2024-05-27T00:00:00"/>
    <n v="3"/>
    <s v="In Progress"/>
    <s v="QLD"/>
    <s v="93460 Park Avenue"/>
    <s v="Gold Coast"/>
    <n v="4217"/>
    <n v="1200"/>
    <n v="3600"/>
    <s v="+61 3 4000 7625"/>
  </r>
  <r>
    <n v="3385"/>
    <s v="Barajas"/>
    <s v="Teagan Barajas"/>
    <s v="Teagan"/>
    <n v="1617"/>
    <x v="4"/>
    <x v="42"/>
    <n v="2"/>
    <x v="2"/>
    <x v="6"/>
    <n v="0.25"/>
    <n v="38.5"/>
    <n v="154"/>
    <n v="115.5"/>
    <s v="Kelly"/>
    <n v="1617"/>
    <s v="Mentoring program"/>
    <d v="2024-11-09T00:00:00"/>
    <n v="3"/>
    <s v="Service Booked"/>
    <s v="TAS"/>
    <s v="59281 Elizabeth Street"/>
    <s v="Launceston"/>
    <n v="7250"/>
    <n v="1200"/>
    <n v="3600"/>
    <s v="+61 8 3890 2127"/>
  </r>
  <r>
    <n v="3386"/>
    <s v="Duran"/>
    <s v="Amara Duran"/>
    <s v="Amara"/>
    <n v="1618"/>
    <x v="2"/>
    <x v="247"/>
    <n v="1"/>
    <x v="0"/>
    <x v="1"/>
    <n v="0.25"/>
    <n v="386.5"/>
    <n v="1546"/>
    <n v="1159.5"/>
    <s v="Priscilla"/>
    <n v="1618"/>
    <s v="LinkedIn profile"/>
    <d v="2024-05-03T00:00:00"/>
    <n v="3"/>
    <s v="Delivered"/>
    <s v="ACT"/>
    <s v="82129 George Street"/>
    <s v="Canberra"/>
    <n v="2600"/>
    <n v="300"/>
    <n v="900"/>
    <s v="+61 2 4507 2353"/>
  </r>
  <r>
    <n v="3387"/>
    <s v="Poole"/>
    <s v="Damian Poole"/>
    <s v="Damian"/>
    <n v="1619"/>
    <x v="4"/>
    <x v="248"/>
    <n v="1"/>
    <x v="0"/>
    <x v="4"/>
    <n v="0.25"/>
    <n v="385.5"/>
    <n v="1542"/>
    <n v="1156.5"/>
    <s v="Daniel"/>
    <n v="1619"/>
    <s v="Mentoring program"/>
    <d v="2024-10-08T00:00:00"/>
    <n v="2"/>
    <s v="Delivered"/>
    <s v="QLD"/>
    <s v="96385 Main Street"/>
    <s v="Cairns"/>
    <n v="4870"/>
    <n v="1200"/>
    <n v="2400"/>
    <s v="+61 2 7077 8588"/>
  </r>
  <r>
    <n v="3388"/>
    <s v="Harvey"/>
    <s v="Lane Harvey"/>
    <s v="Lane"/>
    <n v="1620"/>
    <x v="5"/>
    <x v="1"/>
    <n v="1"/>
    <x v="3"/>
    <x v="5"/>
    <n v="0.3"/>
    <n v="95.7"/>
    <n v="319"/>
    <n v="223.3"/>
    <s v="Priscilla"/>
    <n v="1620"/>
    <s v="Resume (service fee)"/>
    <d v="2024-07-18T00:00:00"/>
    <n v="1"/>
    <s v="Cancelled"/>
    <s v="SA"/>
    <s v="55447 King Street"/>
    <s v="Whyalla"/>
    <n v="5600"/>
    <n v="600"/>
    <n v="600"/>
    <s v="+61 7 5660 3870"/>
  </r>
  <r>
    <n v="3389"/>
    <s v="Campbell"/>
    <s v="Angela Campbell"/>
    <s v="Angela"/>
    <n v="1621"/>
    <x v="4"/>
    <x v="249"/>
    <n v="2"/>
    <x v="3"/>
    <x v="2"/>
    <n v="0.25"/>
    <n v="24.75"/>
    <n v="99"/>
    <n v="74.25"/>
    <s v="Brian"/>
    <n v="1621"/>
    <s v="Mentoring program"/>
    <d v="2024-11-12T00:00:00"/>
    <n v="1"/>
    <s v="Cancelled"/>
    <s v="NSW"/>
    <s v="72009 Park Avenue"/>
    <s v="Wollongong"/>
    <n v="2500"/>
    <n v="1200"/>
    <n v="1200"/>
    <s v="+61 9 1644 6395"/>
  </r>
  <r>
    <n v="3390"/>
    <s v="Stuart"/>
    <s v="Molly Stuart"/>
    <s v="Molly"/>
    <n v="1622"/>
    <x v="5"/>
    <x v="34"/>
    <n v="1"/>
    <x v="2"/>
    <x v="5"/>
    <n v="0.3"/>
    <n v="279.3"/>
    <n v="931"/>
    <n v="651.70000000000005"/>
    <s v="Brian"/>
    <n v="1622"/>
    <s v="Resume (service fee)"/>
    <d v="2024-09-01T00:00:00"/>
    <n v="3"/>
    <s v="Service Booked"/>
    <s v="SA"/>
    <s v="99293 King Street"/>
    <s v="Whyalla"/>
    <n v="5600"/>
    <n v="600"/>
    <n v="1800"/>
    <s v="+61 3 2486 9758"/>
  </r>
  <r>
    <n v="3391"/>
    <s v="Blackwell"/>
    <s v="Adalynn Blackwell"/>
    <s v="Adalynn"/>
    <n v="1623"/>
    <x v="3"/>
    <x v="78"/>
    <n v="2"/>
    <x v="0"/>
    <x v="6"/>
    <n v="0.2"/>
    <n v="319.20000000000005"/>
    <n v="1596"/>
    <n v="1276.8"/>
    <s v="Brian"/>
    <n v="1623"/>
    <s v="Networking Strategy"/>
    <d v="2024-08-10T00:00:00"/>
    <n v="3"/>
    <s v="Delivered"/>
    <s v="TAS"/>
    <s v="30012 George Street"/>
    <s v="Hobart"/>
    <n v="7000"/>
    <n v="250"/>
    <n v="750"/>
    <s v="+61 7 3020 9401"/>
  </r>
  <r>
    <n v="3392"/>
    <s v="Burgess"/>
    <s v="Alexandria Burgess"/>
    <s v="Alexandria"/>
    <n v="1624"/>
    <x v="5"/>
    <x v="15"/>
    <n v="3"/>
    <x v="2"/>
    <x v="2"/>
    <n v="0.3"/>
    <n v="133.5"/>
    <n v="445"/>
    <n v="311.5"/>
    <s v="Priscilla"/>
    <n v="1624"/>
    <s v="Resume (service fee)"/>
    <d v="2024-08-13T00:00:00"/>
    <n v="1"/>
    <s v="Service Booked"/>
    <s v="NSW"/>
    <s v="36909 George Street"/>
    <s v="Wollongong"/>
    <n v="2500"/>
    <n v="600"/>
    <n v="600"/>
    <s v="+61 7 9192 1766"/>
  </r>
  <r>
    <n v="3393"/>
    <s v="Barajas"/>
    <s v="Avery Barajas"/>
    <s v="Avery"/>
    <n v="1625"/>
    <x v="3"/>
    <x v="250"/>
    <n v="3"/>
    <x v="3"/>
    <x v="3"/>
    <n v="0.2"/>
    <n v="102.80000000000001"/>
    <n v="514"/>
    <n v="411.2"/>
    <s v="Brian"/>
    <n v="1625"/>
    <s v="Networking Strategy"/>
    <d v="2024-05-31T00:00:00"/>
    <n v="3"/>
    <s v="Cancelled"/>
    <s v="VIC"/>
    <s v="32308 King Street"/>
    <s v="Ballarat"/>
    <n v="3350"/>
    <n v="250"/>
    <n v="750"/>
    <s v="+61 7 1106 4272"/>
  </r>
  <r>
    <n v="3394"/>
    <s v="Frost"/>
    <s v="Judah Frost"/>
    <s v="Judah"/>
    <n v="1626"/>
    <x v="5"/>
    <x v="176"/>
    <n v="1"/>
    <x v="2"/>
    <x v="0"/>
    <n v="0.3"/>
    <n v="240.89999999999998"/>
    <n v="803"/>
    <n v="562.1"/>
    <s v="Daniel"/>
    <n v="1626"/>
    <s v="Resume (service fee)"/>
    <d v="2024-11-15T00:00:00"/>
    <n v="1"/>
    <s v="Service Booked"/>
    <s v="WA"/>
    <s v="55994 Elizabeth Street"/>
    <s v="Fremantle"/>
    <n v="6160"/>
    <n v="600"/>
    <n v="600"/>
    <s v="+61 5 9106 3119"/>
  </r>
  <r>
    <n v="3395"/>
    <s v="Krueger"/>
    <s v="Kaia Krueger"/>
    <s v="Kaia"/>
    <n v="1627"/>
    <x v="4"/>
    <x v="251"/>
    <n v="1"/>
    <x v="0"/>
    <x v="7"/>
    <n v="0.25"/>
    <n v="10.25"/>
    <n v="41"/>
    <n v="30.75"/>
    <s v="Brian"/>
    <n v="1627"/>
    <s v="Mentoring program"/>
    <d v="2024-11-06T00:00:00"/>
    <n v="1"/>
    <s v="Delivered"/>
    <s v="NT"/>
    <s v="82175 Main Street"/>
    <s v="Darwin"/>
    <n v="800"/>
    <n v="1200"/>
    <n v="1200"/>
    <s v="+61 9 5269 3329"/>
  </r>
  <r>
    <n v="3396"/>
    <s v="Trejo"/>
    <s v="Josephine Trejo"/>
    <s v="Josephine"/>
    <n v="1628"/>
    <x v="1"/>
    <x v="7"/>
    <n v="1"/>
    <x v="2"/>
    <x v="3"/>
    <n v="0.3"/>
    <n v="269.09999999999997"/>
    <n v="897"/>
    <n v="627.90000000000009"/>
    <s v="Terrence"/>
    <n v="1628"/>
    <s v="Resume + LinkedIn Profile"/>
    <d v="2024-10-26T00:00:00"/>
    <n v="3"/>
    <s v="Service Booked"/>
    <s v="VIC"/>
    <s v="17570 Elizabeth Street"/>
    <s v="Ballarat"/>
    <n v="3350"/>
    <n v="800"/>
    <n v="2400"/>
    <s v="+61 5 2157 8545"/>
  </r>
  <r>
    <n v="3397"/>
    <s v="Bentley"/>
    <s v="Abel Bentley"/>
    <s v="Abel"/>
    <n v="1629"/>
    <x v="4"/>
    <x v="252"/>
    <n v="2"/>
    <x v="2"/>
    <x v="7"/>
    <n v="0.25"/>
    <n v="289.75"/>
    <n v="1159"/>
    <n v="869.25"/>
    <s v="Kelly"/>
    <n v="1629"/>
    <s v="Mentoring program"/>
    <d v="2024-02-19T00:00:00"/>
    <n v="3"/>
    <s v="Service Booked"/>
    <s v="NT"/>
    <s v="44466 Main Street"/>
    <s v="Alice Springs"/>
    <n v="870"/>
    <n v="1200"/>
    <n v="3600"/>
    <s v="+61 7 3763 6131"/>
  </r>
  <r>
    <n v="3398"/>
    <s v="Flowers"/>
    <s v="Kali Flowers"/>
    <s v="Kali"/>
    <n v="1630"/>
    <x v="5"/>
    <x v="253"/>
    <n v="3"/>
    <x v="2"/>
    <x v="0"/>
    <n v="0.3"/>
    <n v="414"/>
    <n v="1380"/>
    <n v="966"/>
    <s v="Terrence"/>
    <n v="1630"/>
    <s v="Resume (service fee)"/>
    <d v="2024-09-03T00:00:00"/>
    <n v="3"/>
    <s v="Service Booked"/>
    <s v="WA"/>
    <s v="86013 Park Avenue"/>
    <s v="Broome"/>
    <n v="6725"/>
    <n v="600"/>
    <n v="1800"/>
    <s v="+61 2 5122 7278"/>
  </r>
  <r>
    <n v="3399"/>
    <s v="Elliott"/>
    <s v="Cooper Elliott"/>
    <s v="Cooper"/>
    <n v="1631"/>
    <x v="2"/>
    <x v="254"/>
    <n v="2"/>
    <x v="0"/>
    <x v="6"/>
    <n v="0.25"/>
    <n v="198.5"/>
    <n v="794"/>
    <n v="595.5"/>
    <s v="Kelly"/>
    <n v="1631"/>
    <s v="LinkedIn profile"/>
    <d v="2024-03-24T00:00:00"/>
    <n v="3"/>
    <s v="Delivered"/>
    <s v="TAS"/>
    <s v="43628 Main Street"/>
    <s v="Hobart"/>
    <n v="7000"/>
    <n v="300"/>
    <n v="900"/>
    <s v="+61 4 2305 3310"/>
  </r>
  <r>
    <n v="3400"/>
    <s v="Combs"/>
    <s v="Grady Combs"/>
    <s v="Grady"/>
    <n v="1632"/>
    <x v="5"/>
    <x v="255"/>
    <n v="2"/>
    <x v="0"/>
    <x v="3"/>
    <n v="0.3"/>
    <n v="94.2"/>
    <n v="314"/>
    <n v="219.8"/>
    <s v="Terrence"/>
    <n v="1632"/>
    <s v="Resume (service fee)"/>
    <d v="2024-03-01T00:00:00"/>
    <n v="3"/>
    <s v="Delivered"/>
    <s v="VIC"/>
    <s v="44421 George Street"/>
    <s v="Melbourne"/>
    <n v="3000"/>
    <n v="600"/>
    <n v="1800"/>
    <s v="+61 8 7024 2977"/>
  </r>
  <r>
    <n v="3401"/>
    <s v="Landry"/>
    <s v="Dream Landry"/>
    <s v="Dream"/>
    <n v="1633"/>
    <x v="4"/>
    <x v="152"/>
    <n v="1"/>
    <x v="2"/>
    <x v="1"/>
    <n v="0.25"/>
    <n v="363.5"/>
    <n v="1454"/>
    <n v="1090.5"/>
    <s v="Brian"/>
    <n v="1633"/>
    <s v="Mentoring program"/>
    <d v="2024-11-11T00:00:00"/>
    <n v="3"/>
    <s v="Service Booked"/>
    <s v="ACT"/>
    <s v="46257 King Street"/>
    <s v="Canberra"/>
    <n v="2600"/>
    <n v="1200"/>
    <n v="3600"/>
    <s v="+61 8 7876 3764"/>
  </r>
  <r>
    <n v="3402"/>
    <s v="Haley"/>
    <s v="Nathan Haley"/>
    <s v="Nathan"/>
    <n v="1634"/>
    <x v="1"/>
    <x v="256"/>
    <n v="1"/>
    <x v="2"/>
    <x v="7"/>
    <n v="0.3"/>
    <n v="318.89999999999998"/>
    <n v="1063"/>
    <n v="744.1"/>
    <s v="Brian"/>
    <n v="1634"/>
    <s v="Resume + LinkedIn Profile"/>
    <d v="2024-05-07T00:00:00"/>
    <n v="3"/>
    <s v="Service Booked"/>
    <s v="NT"/>
    <s v="57829 George Street"/>
    <s v="Darwin"/>
    <n v="800"/>
    <n v="800"/>
    <n v="2400"/>
    <s v="+61 5 3170 3024"/>
  </r>
  <r>
    <n v="3403"/>
    <s v="Soto"/>
    <s v="Rory Soto"/>
    <s v="Rory"/>
    <n v="1635"/>
    <x v="4"/>
    <x v="28"/>
    <n v="3"/>
    <x v="0"/>
    <x v="3"/>
    <n v="0.25"/>
    <n v="141.5"/>
    <n v="566"/>
    <n v="424.5"/>
    <s v="Kelly"/>
    <n v="1635"/>
    <s v="Mentoring program"/>
    <d v="2024-08-25T00:00:00"/>
    <n v="2"/>
    <s v="Delivered"/>
    <s v="VIC"/>
    <s v="2961 Main Street"/>
    <s v="Melbourne"/>
    <n v="3000"/>
    <n v="1200"/>
    <n v="2400"/>
    <s v="+61 2 6331 7379"/>
  </r>
  <r>
    <n v="3404"/>
    <s v="Pierce"/>
    <s v="Bianca Pierce"/>
    <s v="Bianca"/>
    <n v="1636"/>
    <x v="0"/>
    <x v="257"/>
    <n v="3"/>
    <x v="3"/>
    <x v="3"/>
    <n v="0.1"/>
    <n v="39.1"/>
    <n v="391"/>
    <n v="351.9"/>
    <s v="Kelly"/>
    <n v="1636"/>
    <s v="Interview Prep"/>
    <d v="2024-07-30T00:00:00"/>
    <n v="2"/>
    <s v="Cancelled"/>
    <s v="VIC"/>
    <s v="40529 Park Avenue"/>
    <s v="Melbourne"/>
    <n v="3000"/>
    <n v="250"/>
    <n v="500"/>
    <s v="+61 7 9287 3004"/>
  </r>
  <r>
    <n v="3405"/>
    <s v="Cisneros"/>
    <s v="Garrett Cisneros"/>
    <s v="Garrett"/>
    <n v="1637"/>
    <x v="2"/>
    <x v="224"/>
    <n v="1"/>
    <x v="2"/>
    <x v="0"/>
    <n v="0.25"/>
    <n v="261.5"/>
    <n v="1046"/>
    <n v="784.5"/>
    <s v="Brian"/>
    <n v="1637"/>
    <s v="LinkedIn profile"/>
    <d v="2024-12-30T00:00:00"/>
    <n v="3"/>
    <s v="Service Booked"/>
    <s v="WA"/>
    <s v="19736 Main Street"/>
    <s v="Fremantle"/>
    <n v="6160"/>
    <n v="300"/>
    <n v="900"/>
    <s v="+61 6 2512 5782"/>
  </r>
  <r>
    <n v="3406"/>
    <s v="Zimmerman"/>
    <s v="Kaleb Zimmerman"/>
    <s v="Kaleb"/>
    <n v="1638"/>
    <x v="1"/>
    <x v="258"/>
    <n v="3"/>
    <x v="1"/>
    <x v="1"/>
    <n v="0.3"/>
    <n v="319.5"/>
    <n v="1065"/>
    <n v="745.5"/>
    <s v="Kelly"/>
    <n v="1638"/>
    <s v="Resume + LinkedIn Profile"/>
    <d v="2024-02-17T00:00:00"/>
    <n v="1"/>
    <s v="In Progress"/>
    <s v="ACT"/>
    <s v="44251 Park Avenue"/>
    <s v="Canberra"/>
    <n v="2600"/>
    <n v="800"/>
    <n v="800"/>
    <s v="+61 7 5781 4076"/>
  </r>
  <r>
    <n v="3407"/>
    <s v="Hahn"/>
    <s v="Stevie Hahn"/>
    <s v="Stevie"/>
    <n v="1639"/>
    <x v="3"/>
    <x v="160"/>
    <n v="2"/>
    <x v="3"/>
    <x v="3"/>
    <n v="0.2"/>
    <n v="253.60000000000002"/>
    <n v="1268"/>
    <n v="1014.4"/>
    <s v="Kelly"/>
    <n v="1639"/>
    <s v="Networking Strategy"/>
    <d v="2024-02-15T00:00:00"/>
    <n v="3"/>
    <s v="Cancelled"/>
    <s v="VIC"/>
    <s v="24225 George Street"/>
    <s v="Melbourne"/>
    <n v="3000"/>
    <n v="250"/>
    <n v="750"/>
    <s v="+61 2 2652 6129"/>
  </r>
  <r>
    <n v="3408"/>
    <s v="Gibson"/>
    <s v="Romeo Gibson"/>
    <s v="Romeo"/>
    <n v="1640"/>
    <x v="3"/>
    <x v="52"/>
    <n v="3"/>
    <x v="2"/>
    <x v="6"/>
    <n v="0.2"/>
    <n v="295"/>
    <n v="1475"/>
    <n v="1180"/>
    <s v="Priscilla"/>
    <n v="1640"/>
    <s v="Networking Strategy"/>
    <d v="2024-11-01T00:00:00"/>
    <n v="3"/>
    <s v="Service Booked"/>
    <s v="TAS"/>
    <s v="42347 Main Street"/>
    <s v="Launceston"/>
    <n v="7250"/>
    <n v="250"/>
    <n v="750"/>
    <s v="+61 9 8278 7118"/>
  </r>
  <r>
    <n v="3409"/>
    <s v="Rodriguez"/>
    <s v="August Rodriguez"/>
    <s v="August"/>
    <n v="1641"/>
    <x v="5"/>
    <x v="51"/>
    <n v="2"/>
    <x v="2"/>
    <x v="1"/>
    <n v="0.3"/>
    <n v="371.09999999999997"/>
    <n v="1237"/>
    <n v="865.90000000000009"/>
    <s v="Kelly"/>
    <n v="1641"/>
    <s v="Resume (service fee)"/>
    <d v="2024-01-30T00:00:00"/>
    <n v="2"/>
    <s v="Service Booked"/>
    <s v="ACT"/>
    <s v="88807 Main Street"/>
    <s v="Canberra"/>
    <n v="2600"/>
    <n v="600"/>
    <n v="1200"/>
    <s v="+61 4 2555 9635"/>
  </r>
  <r>
    <n v="3410"/>
    <s v="Wilkinson"/>
    <s v="Maeve Wilkinson"/>
    <s v="Maeve"/>
    <n v="1642"/>
    <x v="2"/>
    <x v="10"/>
    <n v="3"/>
    <x v="1"/>
    <x v="4"/>
    <n v="0.25"/>
    <n v="280"/>
    <n v="1120"/>
    <n v="840"/>
    <s v="Kelly"/>
    <n v="1642"/>
    <s v="LinkedIn profile"/>
    <d v="2024-05-02T00:00:00"/>
    <n v="3"/>
    <s v="In Progress"/>
    <s v="QLD"/>
    <s v="95919 King Street"/>
    <s v="Brisbane"/>
    <n v="4000"/>
    <n v="300"/>
    <n v="900"/>
    <s v="+61 3 8089 5868"/>
  </r>
  <r>
    <n v="3411"/>
    <s v="Combs"/>
    <s v="Alonzo Combs"/>
    <s v="Alonzo"/>
    <n v="1643"/>
    <x v="0"/>
    <x v="259"/>
    <n v="3"/>
    <x v="1"/>
    <x v="3"/>
    <n v="0.1"/>
    <n v="70.400000000000006"/>
    <n v="704"/>
    <n v="633.6"/>
    <s v="Kelly"/>
    <n v="1643"/>
    <s v="Interview Prep"/>
    <d v="2024-08-07T00:00:00"/>
    <n v="1"/>
    <s v="In Progress"/>
    <s v="VIC"/>
    <s v="80513 George Street"/>
    <s v="Geelong"/>
    <n v="3220"/>
    <n v="250"/>
    <n v="250"/>
    <s v="+61 7 7918 3121"/>
  </r>
  <r>
    <n v="3412"/>
    <s v="Archer"/>
    <s v="Layla Archer"/>
    <s v="Layla"/>
    <n v="1644"/>
    <x v="5"/>
    <x v="181"/>
    <n v="2"/>
    <x v="2"/>
    <x v="2"/>
    <n v="0.3"/>
    <n v="340.2"/>
    <n v="1134"/>
    <n v="793.8"/>
    <s v="Kelly"/>
    <n v="1644"/>
    <s v="Resume (service fee)"/>
    <d v="2024-09-06T00:00:00"/>
    <n v="1"/>
    <s v="Service Booked"/>
    <s v="NSW"/>
    <s v="81710 George Street"/>
    <s v="Wollongong"/>
    <n v="2500"/>
    <n v="600"/>
    <n v="600"/>
    <s v="+61 8 1062 8209"/>
  </r>
  <r>
    <n v="3413"/>
    <s v="Rocha"/>
    <s v="Londyn Rocha"/>
    <s v="Londyn"/>
    <n v="1645"/>
    <x v="4"/>
    <x v="258"/>
    <n v="3"/>
    <x v="0"/>
    <x v="6"/>
    <n v="0.25"/>
    <n v="380.75"/>
    <n v="1523"/>
    <n v="1142.25"/>
    <s v="Kelly"/>
    <n v="1645"/>
    <s v="Mentoring program"/>
    <d v="2024-02-17T00:00:00"/>
    <n v="3"/>
    <s v="Delivered"/>
    <s v="TAS"/>
    <s v="52732 Elizabeth Street"/>
    <s v="Hobart"/>
    <n v="7000"/>
    <n v="1200"/>
    <n v="3600"/>
    <s v="+61 9 2693 6370"/>
  </r>
  <r>
    <n v="3414"/>
    <s v="Berry"/>
    <s v="Miracle Berry"/>
    <s v="Miracle"/>
    <n v="1646"/>
    <x v="5"/>
    <x v="260"/>
    <n v="1"/>
    <x v="1"/>
    <x v="1"/>
    <n v="0.3"/>
    <n v="117"/>
    <n v="390"/>
    <n v="273"/>
    <s v="Priscilla"/>
    <n v="1646"/>
    <s v="Resume (service fee)"/>
    <d v="2024-02-06T00:00:00"/>
    <n v="3"/>
    <s v="In Progress"/>
    <s v="ACT"/>
    <s v="58174 King Street"/>
    <s v="Canberra"/>
    <n v="2600"/>
    <n v="600"/>
    <n v="1800"/>
    <s v="+61 7 2887 1005"/>
  </r>
  <r>
    <n v="3415"/>
    <s v="Mcintosh"/>
    <s v="Luna Mcintosh"/>
    <s v="Luna"/>
    <n v="1647"/>
    <x v="0"/>
    <x v="79"/>
    <n v="3"/>
    <x v="0"/>
    <x v="5"/>
    <n v="0.1"/>
    <n v="92.100000000000009"/>
    <n v="921"/>
    <n v="828.9"/>
    <s v="Kelly"/>
    <n v="1647"/>
    <s v="Interview Prep"/>
    <d v="2024-08-14T00:00:00"/>
    <n v="2"/>
    <s v="Delivered"/>
    <s v="SA"/>
    <s v="91954 King Street"/>
    <s v="Whyalla"/>
    <n v="5600"/>
    <n v="250"/>
    <n v="500"/>
    <s v="+61 3 5949 1538"/>
  </r>
  <r>
    <n v="3416"/>
    <s v="Daugherty"/>
    <s v="Noelle Daugherty"/>
    <s v="Noelle"/>
    <n v="1648"/>
    <x v="3"/>
    <x v="58"/>
    <n v="2"/>
    <x v="0"/>
    <x v="3"/>
    <n v="0.2"/>
    <n v="221.20000000000002"/>
    <n v="1106"/>
    <n v="884.8"/>
    <s v="Priscilla"/>
    <n v="1648"/>
    <s v="Networking Strategy"/>
    <d v="2024-06-04T00:00:00"/>
    <n v="1"/>
    <s v="Delivered"/>
    <s v="VIC"/>
    <s v="31282 King Street"/>
    <s v="Geelong"/>
    <n v="3220"/>
    <n v="250"/>
    <n v="250"/>
    <s v="+61 2 3884 6784"/>
  </r>
  <r>
    <n v="3417"/>
    <s v="Newton"/>
    <s v="Alessia Newton"/>
    <s v="Alessia"/>
    <n v="1649"/>
    <x v="0"/>
    <x v="120"/>
    <n v="1"/>
    <x v="2"/>
    <x v="4"/>
    <n v="0.1"/>
    <n v="98"/>
    <n v="980"/>
    <n v="882"/>
    <s v="Kelly"/>
    <n v="1649"/>
    <s v="Interview Prep"/>
    <d v="2024-08-17T00:00:00"/>
    <n v="1"/>
    <s v="Service Booked"/>
    <s v="QLD"/>
    <s v="77163 Elizabeth Street"/>
    <s v="Gold Coast"/>
    <n v="4217"/>
    <n v="250"/>
    <n v="250"/>
    <s v="+61 7 2588 8358"/>
  </r>
  <r>
    <n v="3418"/>
    <s v="Livingston"/>
    <s v="Chloe Livingston"/>
    <s v="Chloe"/>
    <n v="1650"/>
    <x v="1"/>
    <x v="69"/>
    <n v="1"/>
    <x v="2"/>
    <x v="5"/>
    <n v="0.3"/>
    <n v="347.7"/>
    <n v="1159"/>
    <n v="811.3"/>
    <s v="Kelly"/>
    <n v="1650"/>
    <s v="Resume + LinkedIn Profile"/>
    <d v="2024-12-31T00:00:00"/>
    <n v="2"/>
    <s v="Service Booked"/>
    <s v="SA"/>
    <s v="61986 Park Avenue"/>
    <s v="Adelaide"/>
    <n v="5000"/>
    <n v="800"/>
    <n v="1600"/>
    <s v="+61 3 2685 2177"/>
  </r>
  <r>
    <n v="3419"/>
    <s v="Stanley"/>
    <s v="Maxwell Stanley"/>
    <s v="Maxwell"/>
    <n v="1651"/>
    <x v="3"/>
    <x v="220"/>
    <n v="1"/>
    <x v="3"/>
    <x v="6"/>
    <n v="0.2"/>
    <n v="31"/>
    <n v="155"/>
    <n v="124"/>
    <s v="Daniel"/>
    <n v="1651"/>
    <s v="Networking Strategy"/>
    <d v="2024-06-13T00:00:00"/>
    <n v="2"/>
    <s v="Cancelled"/>
    <s v="TAS"/>
    <s v="68516 George Street"/>
    <s v="Devonport"/>
    <n v="7310"/>
    <n v="250"/>
    <n v="500"/>
    <s v="+61 6 3975 3891"/>
  </r>
  <r>
    <n v="3420"/>
    <s v="Hunter"/>
    <s v="Leon Hunter"/>
    <s v="Leon"/>
    <n v="1652"/>
    <x v="4"/>
    <x v="261"/>
    <n v="3"/>
    <x v="0"/>
    <x v="2"/>
    <n v="0.25"/>
    <n v="192.5"/>
    <n v="770"/>
    <n v="577.5"/>
    <s v="Kelly"/>
    <n v="1652"/>
    <s v="Mentoring program"/>
    <d v="2024-08-24T00:00:00"/>
    <n v="2"/>
    <s v="Delivered"/>
    <s v="NSW"/>
    <s v="70586 Elizabeth Street"/>
    <s v="Sydney"/>
    <n v="2000"/>
    <n v="1200"/>
    <n v="2400"/>
    <s v="+61 9 8047 1129"/>
  </r>
  <r>
    <n v="3421"/>
    <s v="Shepherd"/>
    <s v="Hayden Shepherd"/>
    <s v="Hayden"/>
    <n v="1653"/>
    <x v="1"/>
    <x v="7"/>
    <n v="2"/>
    <x v="1"/>
    <x v="0"/>
    <n v="0.3"/>
    <n v="514.19999999999993"/>
    <n v="1714"/>
    <n v="1199.8000000000002"/>
    <s v="Priscilla"/>
    <n v="1653"/>
    <s v="Resume + LinkedIn Profile"/>
    <d v="2024-10-26T00:00:00"/>
    <n v="3"/>
    <s v="In Progress"/>
    <s v="WA"/>
    <s v="10304 Elizabeth Street"/>
    <s v="Broome"/>
    <n v="6725"/>
    <n v="800"/>
    <n v="2400"/>
    <s v="+61 4 6190 4393"/>
  </r>
  <r>
    <n v="3422"/>
    <s v="Serrano"/>
    <s v="Nora Serrano"/>
    <s v="Nora"/>
    <n v="1654"/>
    <x v="4"/>
    <x v="262"/>
    <n v="3"/>
    <x v="0"/>
    <x v="0"/>
    <n v="0.25"/>
    <n v="32.25"/>
    <n v="129"/>
    <n v="96.75"/>
    <s v="Kelly"/>
    <n v="1654"/>
    <s v="Mentoring program"/>
    <d v="2024-05-10T00:00:00"/>
    <n v="1"/>
    <s v="Delivered"/>
    <s v="WA"/>
    <s v="51257 Park Avenue"/>
    <s v="Broome"/>
    <n v="6725"/>
    <n v="1200"/>
    <n v="1200"/>
    <s v="+61 6 1177 8268"/>
  </r>
  <r>
    <n v="3423"/>
    <s v="Fletcher"/>
    <s v="Lyra Fletcher"/>
    <s v="Lyra"/>
    <n v="1655"/>
    <x v="1"/>
    <x v="88"/>
    <n v="3"/>
    <x v="0"/>
    <x v="7"/>
    <n v="0.3"/>
    <n v="63.599999999999994"/>
    <n v="212"/>
    <n v="148.4"/>
    <s v="Daniel"/>
    <n v="1655"/>
    <s v="Resume + LinkedIn Profile"/>
    <d v="2024-11-13T00:00:00"/>
    <n v="3"/>
    <s v="Delivered"/>
    <s v="NT"/>
    <s v="41151 Main Street"/>
    <s v="Alice Springs"/>
    <n v="870"/>
    <n v="800"/>
    <n v="2400"/>
    <s v="+61 6 9030 8977"/>
  </r>
  <r>
    <n v="3424"/>
    <s v="Santiago"/>
    <s v="Charli Santiago"/>
    <s v="Charli"/>
    <n v="1656"/>
    <x v="3"/>
    <x v="227"/>
    <n v="2"/>
    <x v="2"/>
    <x v="4"/>
    <n v="0.2"/>
    <n v="83.4"/>
    <n v="417"/>
    <n v="333.6"/>
    <s v="Daniel"/>
    <n v="1656"/>
    <s v="Networking Strategy"/>
    <d v="2024-03-28T00:00:00"/>
    <n v="3"/>
    <s v="Service Booked"/>
    <s v="QLD"/>
    <s v="67310 Main Street"/>
    <s v="Cairns"/>
    <n v="4870"/>
    <n v="250"/>
    <n v="750"/>
    <s v="+61 4 8544 1955"/>
  </r>
  <r>
    <n v="3425"/>
    <s v="Leal"/>
    <s v="Enzo Leal"/>
    <s v="Enzo"/>
    <n v="1657"/>
    <x v="2"/>
    <x v="263"/>
    <n v="2"/>
    <x v="0"/>
    <x v="0"/>
    <n v="0.25"/>
    <n v="268.75"/>
    <n v="1075"/>
    <n v="806.25"/>
    <s v="Priscilla"/>
    <n v="1657"/>
    <s v="LinkedIn profile"/>
    <d v="2024-02-13T00:00:00"/>
    <n v="2"/>
    <s v="Delivered"/>
    <s v="WA"/>
    <s v="32118 Main Street"/>
    <s v="Perth"/>
    <n v="6000"/>
    <n v="300"/>
    <n v="600"/>
    <s v="+61 7 3240 9913"/>
  </r>
  <r>
    <n v="3426"/>
    <s v="Fitzgerald"/>
    <s v="Brooke Fitzgerald"/>
    <s v="Brooke"/>
    <n v="1658"/>
    <x v="1"/>
    <x v="41"/>
    <n v="3"/>
    <x v="3"/>
    <x v="6"/>
    <n v="0.3"/>
    <n v="71.099999999999994"/>
    <n v="237"/>
    <n v="165.9"/>
    <s v="Kelly"/>
    <n v="1658"/>
    <s v="Resume + LinkedIn Profile"/>
    <d v="2024-09-15T00:00:00"/>
    <n v="1"/>
    <s v="Cancelled"/>
    <s v="TAS"/>
    <s v="51055 Main Street"/>
    <s v="Launceston"/>
    <n v="7250"/>
    <n v="800"/>
    <n v="800"/>
    <s v="+61 2 2850 7800"/>
  </r>
  <r>
    <n v="3427"/>
    <s v="Robertson"/>
    <s v="Finn Robertson"/>
    <s v="Finn"/>
    <n v="1659"/>
    <x v="0"/>
    <x v="187"/>
    <n v="3"/>
    <x v="2"/>
    <x v="7"/>
    <n v="0.1"/>
    <n v="16.7"/>
    <n v="167"/>
    <n v="150.30000000000001"/>
    <s v="Kelly"/>
    <n v="1659"/>
    <s v="Interview Prep"/>
    <d v="2024-06-14T00:00:00"/>
    <n v="3"/>
    <s v="Service Booked"/>
    <s v="NT"/>
    <s v="93183 George Street"/>
    <s v="Alice Springs"/>
    <n v="870"/>
    <n v="250"/>
    <n v="750"/>
    <s v="+61 2 5851 5693"/>
  </r>
  <r>
    <n v="3428"/>
    <s v="Goodwin"/>
    <s v="Brody Goodwin"/>
    <s v="Brody"/>
    <n v="1660"/>
    <x v="2"/>
    <x v="264"/>
    <n v="3"/>
    <x v="2"/>
    <x v="6"/>
    <n v="0.25"/>
    <n v="12"/>
    <n v="48"/>
    <n v="36"/>
    <s v="Kelly"/>
    <n v="1660"/>
    <s v="LinkedIn profile"/>
    <d v="2024-12-01T00:00:00"/>
    <n v="2"/>
    <s v="Service Booked"/>
    <s v="TAS"/>
    <s v="63475 Park Avenue"/>
    <s v="Hobart"/>
    <n v="7000"/>
    <n v="300"/>
    <n v="600"/>
    <s v="+61 3 7098 2584"/>
  </r>
  <r>
    <n v="3429"/>
    <s v="Nuñez"/>
    <s v="Kyle Nuñez"/>
    <s v="Kyle"/>
    <n v="1661"/>
    <x v="3"/>
    <x v="69"/>
    <n v="3"/>
    <x v="1"/>
    <x v="2"/>
    <n v="0.2"/>
    <n v="63.6"/>
    <n v="318"/>
    <n v="254.4"/>
    <s v="Kelly"/>
    <n v="1661"/>
    <s v="Networking Strategy"/>
    <d v="2024-12-31T00:00:00"/>
    <n v="1"/>
    <s v="In Progress"/>
    <s v="NSW"/>
    <s v="24384 George Street"/>
    <s v="Newcastle"/>
    <n v="2300"/>
    <n v="250"/>
    <n v="250"/>
    <s v="+61 2 4201 8207"/>
  </r>
  <r>
    <n v="3430"/>
    <s v="Weber"/>
    <s v="Lennox Weber"/>
    <s v="Lennox"/>
    <n v="1662"/>
    <x v="5"/>
    <x v="236"/>
    <n v="2"/>
    <x v="0"/>
    <x v="1"/>
    <n v="0.3"/>
    <n v="520.79999999999995"/>
    <n v="1736"/>
    <n v="1215.2"/>
    <s v="Priscilla"/>
    <n v="1662"/>
    <s v="Resume (service fee)"/>
    <d v="2024-05-29T00:00:00"/>
    <n v="2"/>
    <s v="Delivered"/>
    <s v="ACT"/>
    <s v="9672 Elizabeth Street"/>
    <s v="Canberra"/>
    <n v="2600"/>
    <n v="600"/>
    <n v="1200"/>
    <s v="+61 8 9061 8391"/>
  </r>
  <r>
    <n v="3431"/>
    <s v="Maynard"/>
    <s v="Chloe Maynard"/>
    <s v="Chloe"/>
    <n v="1663"/>
    <x v="3"/>
    <x v="207"/>
    <n v="3"/>
    <x v="1"/>
    <x v="4"/>
    <n v="0.2"/>
    <n v="349.40000000000003"/>
    <n v="1747"/>
    <n v="1397.6"/>
    <s v="Terrence"/>
    <n v="1663"/>
    <s v="Networking Strategy"/>
    <d v="2024-03-11T00:00:00"/>
    <n v="2"/>
    <s v="In Progress"/>
    <s v="QLD"/>
    <s v="23102 George Street"/>
    <s v="Cairns"/>
    <n v="4870"/>
    <n v="250"/>
    <n v="500"/>
    <s v="+61 2 4069 7830"/>
  </r>
  <r>
    <n v="3432"/>
    <s v="Beil"/>
    <s v="Jasper Beil"/>
    <s v="Jasper"/>
    <n v="1664"/>
    <x v="2"/>
    <x v="80"/>
    <n v="1"/>
    <x v="0"/>
    <x v="0"/>
    <n v="0.25"/>
    <n v="356.25"/>
    <n v="1425"/>
    <n v="1068.75"/>
    <s v="Priscilla"/>
    <n v="1664"/>
    <s v="LinkedIn profile"/>
    <d v="2024-11-30T00:00:00"/>
    <n v="1"/>
    <s v="Delivered"/>
    <s v="WA"/>
    <s v="6340 Main Street"/>
    <s v="Fremantle"/>
    <n v="6160"/>
    <n v="300"/>
    <n v="300"/>
    <s v="+61 6 4768 8889"/>
  </r>
  <r>
    <n v="3433"/>
    <s v="Lee"/>
    <s v="Colin Lee"/>
    <s v="Colin"/>
    <n v="1665"/>
    <x v="2"/>
    <x v="265"/>
    <n v="1"/>
    <x v="0"/>
    <x v="4"/>
    <n v="0.25"/>
    <n v="309.75"/>
    <n v="1239"/>
    <n v="929.25"/>
    <s v="Daniel"/>
    <n v="1665"/>
    <s v="LinkedIn profile"/>
    <d v="2024-02-29T00:00:00"/>
    <n v="2"/>
    <s v="Delivered"/>
    <s v="QLD"/>
    <s v="82249 Park Avenue"/>
    <s v="Brisbane"/>
    <n v="4000"/>
    <n v="300"/>
    <n v="600"/>
    <s v="+61 2 6408 5571"/>
  </r>
  <r>
    <n v="3434"/>
    <s v="Sandoval"/>
    <s v="Kash Sandoval"/>
    <s v="Kash"/>
    <n v="1666"/>
    <x v="1"/>
    <x v="157"/>
    <n v="2"/>
    <x v="0"/>
    <x v="7"/>
    <n v="0.3"/>
    <n v="108"/>
    <n v="360"/>
    <n v="252"/>
    <s v="Daniel"/>
    <n v="1666"/>
    <s v="Resume + LinkedIn Profile"/>
    <d v="2024-04-09T00:00:00"/>
    <n v="2"/>
    <s v="Delivered"/>
    <s v="NT"/>
    <s v="45460 Park Avenue"/>
    <s v="Alice Springs"/>
    <n v="870"/>
    <n v="800"/>
    <n v="1600"/>
    <s v="+61 7 9853 6186"/>
  </r>
  <r>
    <n v="3435"/>
    <s v="Wolfe"/>
    <s v="Amari Wolfe"/>
    <s v="Amari"/>
    <n v="1667"/>
    <x v="1"/>
    <x v="102"/>
    <n v="1"/>
    <x v="0"/>
    <x v="2"/>
    <n v="0.3"/>
    <n v="54.9"/>
    <n v="183"/>
    <n v="128.1"/>
    <s v="Daniel"/>
    <n v="1667"/>
    <s v="Resume + LinkedIn Profile"/>
    <d v="2024-10-16T00:00:00"/>
    <n v="3"/>
    <s v="Delivered"/>
    <s v="NSW"/>
    <s v="16558 King Street"/>
    <s v="Newcastle"/>
    <n v="2300"/>
    <n v="800"/>
    <n v="2400"/>
    <s v="+61 5 7977 3185"/>
  </r>
  <r>
    <n v="3436"/>
    <s v="Molina"/>
    <s v="Gideon Molina"/>
    <s v="Gideon"/>
    <n v="1668"/>
    <x v="3"/>
    <x v="41"/>
    <n v="3"/>
    <x v="2"/>
    <x v="0"/>
    <n v="0.2"/>
    <n v="293"/>
    <n v="1465"/>
    <n v="1172"/>
    <s v="Priscilla"/>
    <n v="1668"/>
    <s v="Networking Strategy"/>
    <d v="2024-09-15T00:00:00"/>
    <n v="1"/>
    <s v="Service Booked"/>
    <s v="WA"/>
    <s v="64399 Elizabeth Street"/>
    <s v="Broome"/>
    <n v="6725"/>
    <n v="250"/>
    <n v="250"/>
    <s v="+61 7 4099 5063"/>
  </r>
  <r>
    <n v="3437"/>
    <s v="Walton"/>
    <s v="Rosie Walton"/>
    <s v="Rosie"/>
    <n v="1669"/>
    <x v="3"/>
    <x v="227"/>
    <n v="1"/>
    <x v="2"/>
    <x v="4"/>
    <n v="0.2"/>
    <n v="133.20000000000002"/>
    <n v="666"/>
    <n v="532.79999999999995"/>
    <s v="Terrence"/>
    <n v="1669"/>
    <s v="Networking Strategy"/>
    <d v="2024-03-28T00:00:00"/>
    <n v="1"/>
    <s v="Service Booked"/>
    <s v="QLD"/>
    <s v="75067 Main Street"/>
    <s v="Brisbane"/>
    <n v="4000"/>
    <n v="250"/>
    <n v="250"/>
    <s v="+61 8 7866 7637"/>
  </r>
  <r>
    <n v="3438"/>
    <s v="Rush"/>
    <s v="Heidi Rush"/>
    <s v="Heidi"/>
    <n v="1670"/>
    <x v="3"/>
    <x v="64"/>
    <n v="1"/>
    <x v="1"/>
    <x v="0"/>
    <n v="0.2"/>
    <n v="230.60000000000002"/>
    <n v="1153"/>
    <n v="922.4"/>
    <s v="Daniel"/>
    <n v="1670"/>
    <s v="Networking Strategy"/>
    <d v="2024-12-10T00:00:00"/>
    <n v="2"/>
    <s v="In Progress"/>
    <s v="WA"/>
    <s v="84197 George Street"/>
    <s v="Broome"/>
    <n v="6725"/>
    <n v="250"/>
    <n v="500"/>
    <s v="+61 3 1626 7924"/>
  </r>
  <r>
    <n v="3439"/>
    <s v="Harrison"/>
    <s v="Alison Harrison"/>
    <s v="Alison"/>
    <n v="1671"/>
    <x v="0"/>
    <x v="266"/>
    <n v="1"/>
    <x v="2"/>
    <x v="4"/>
    <n v="0.1"/>
    <n v="48.6"/>
    <n v="486"/>
    <n v="437.4"/>
    <s v="Daniel"/>
    <n v="1671"/>
    <s v="Interview Prep"/>
    <d v="2024-01-05T00:00:00"/>
    <n v="1"/>
    <s v="Service Booked"/>
    <s v="QLD"/>
    <s v="15952 George Street"/>
    <s v="Brisbane"/>
    <n v="4000"/>
    <n v="250"/>
    <n v="250"/>
    <s v="+61 9 5293 5625"/>
  </r>
  <r>
    <n v="3440"/>
    <s v="Anderson"/>
    <s v="Santino Anderson"/>
    <s v="Santino"/>
    <n v="1672"/>
    <x v="2"/>
    <x v="75"/>
    <n v="3"/>
    <x v="2"/>
    <x v="1"/>
    <n v="0.25"/>
    <n v="140.5"/>
    <n v="562"/>
    <n v="421.5"/>
    <s v="Terrence"/>
    <n v="1672"/>
    <s v="LinkedIn profile"/>
    <d v="2024-09-26T00:00:00"/>
    <n v="3"/>
    <s v="Service Booked"/>
    <s v="ACT"/>
    <s v="18405 King Street"/>
    <s v="Canberra"/>
    <n v="2600"/>
    <n v="300"/>
    <n v="900"/>
    <s v="+61 7 7635 8631"/>
  </r>
  <r>
    <n v="3441"/>
    <s v="Henderson"/>
    <s v="Armani Henderson"/>
    <s v="Armani"/>
    <n v="1673"/>
    <x v="4"/>
    <x v="215"/>
    <n v="1"/>
    <x v="0"/>
    <x v="4"/>
    <n v="0.25"/>
    <n v="237.25"/>
    <n v="949"/>
    <n v="711.75"/>
    <s v="Terrence"/>
    <n v="1673"/>
    <s v="Mentoring program"/>
    <d v="2024-08-21T00:00:00"/>
    <n v="3"/>
    <s v="Delivered"/>
    <s v="QLD"/>
    <s v="37317 Main Street"/>
    <s v="Cairns"/>
    <n v="4870"/>
    <n v="1200"/>
    <n v="3600"/>
    <s v="+61 3 2556 7203"/>
  </r>
  <r>
    <n v="3442"/>
    <s v="Dawson"/>
    <s v="Ismael Dawson"/>
    <s v="Ismael"/>
    <n v="1674"/>
    <x v="0"/>
    <x v="182"/>
    <n v="2"/>
    <x v="2"/>
    <x v="3"/>
    <n v="0.1"/>
    <n v="78.600000000000009"/>
    <n v="786"/>
    <n v="707.4"/>
    <s v="Terrence"/>
    <n v="1674"/>
    <s v="Interview Prep"/>
    <d v="2024-06-25T00:00:00"/>
    <n v="1"/>
    <s v="Service Booked"/>
    <s v="VIC"/>
    <s v="12063 Main Street"/>
    <s v="Ballarat"/>
    <n v="3350"/>
    <n v="250"/>
    <n v="250"/>
    <s v="+61 7 9486 1321"/>
  </r>
  <r>
    <n v="3443"/>
    <s v="Porter"/>
    <s v="Felix Porter"/>
    <s v="Felix"/>
    <n v="1675"/>
    <x v="4"/>
    <x v="176"/>
    <n v="2"/>
    <x v="0"/>
    <x v="3"/>
    <n v="0.25"/>
    <n v="204"/>
    <n v="816"/>
    <n v="612"/>
    <s v="Terrence"/>
    <n v="1675"/>
    <s v="Mentoring program"/>
    <d v="2024-11-15T00:00:00"/>
    <n v="2"/>
    <s v="Delivered"/>
    <s v="VIC"/>
    <s v="76258 George Street"/>
    <s v="Ballarat"/>
    <n v="3350"/>
    <n v="1200"/>
    <n v="2400"/>
    <s v="+61 3 1895 9485"/>
  </r>
  <r>
    <n v="3444"/>
    <s v="Singleton"/>
    <s v="Bradley Singleton"/>
    <s v="Bradley"/>
    <n v="1676"/>
    <x v="1"/>
    <x v="3"/>
    <n v="3"/>
    <x v="2"/>
    <x v="3"/>
    <n v="0.3"/>
    <n v="53.699999999999996"/>
    <n v="179"/>
    <n v="125.30000000000001"/>
    <s v="Daniel"/>
    <n v="1676"/>
    <s v="Resume + LinkedIn Profile"/>
    <d v="2024-06-26T00:00:00"/>
    <n v="2"/>
    <s v="Service Booked"/>
    <s v="VIC"/>
    <s v="15597 Main Street"/>
    <s v="Ballarat"/>
    <n v="3350"/>
    <n v="800"/>
    <n v="1600"/>
    <s v="+61 5 7109 6316"/>
  </r>
  <r>
    <n v="3445"/>
    <s v="Castro"/>
    <s v="Gregory Castro"/>
    <s v="Gregory"/>
    <n v="1677"/>
    <x v="4"/>
    <x v="82"/>
    <n v="3"/>
    <x v="2"/>
    <x v="2"/>
    <n v="0.25"/>
    <n v="144.25"/>
    <n v="577"/>
    <n v="432.75"/>
    <s v="Daniel"/>
    <n v="1677"/>
    <s v="Mentoring program"/>
    <d v="2024-07-15T00:00:00"/>
    <n v="1"/>
    <s v="Service Booked"/>
    <s v="NSW"/>
    <s v="62184 Park Avenue"/>
    <s v="Newcastle"/>
    <n v="2300"/>
    <n v="1200"/>
    <n v="1200"/>
    <s v="+61 2 2886 6912"/>
  </r>
  <r>
    <n v="3446"/>
    <s v="Riley"/>
    <s v="Brooklynn Riley"/>
    <s v="Brooklynn"/>
    <n v="1678"/>
    <x v="0"/>
    <x v="24"/>
    <n v="3"/>
    <x v="2"/>
    <x v="5"/>
    <n v="0.1"/>
    <n v="172.70000000000002"/>
    <n v="1727"/>
    <n v="1554.3"/>
    <s v="Daniel"/>
    <n v="1678"/>
    <s v="Interview Prep"/>
    <d v="2024-09-23T00:00:00"/>
    <n v="1"/>
    <s v="Service Booked"/>
    <s v="SA"/>
    <s v="6856 Main Street"/>
    <s v="Adelaide"/>
    <n v="5000"/>
    <n v="250"/>
    <n v="250"/>
    <s v="+61 3 8530 6068"/>
  </r>
  <r>
    <n v="3447"/>
    <s v="Kim"/>
    <s v="Ari Kim"/>
    <s v="Ari"/>
    <n v="1679"/>
    <x v="5"/>
    <x v="33"/>
    <n v="1"/>
    <x v="0"/>
    <x v="7"/>
    <n v="0.3"/>
    <n v="229.2"/>
    <n v="764"/>
    <n v="534.79999999999995"/>
    <s v="Daniel"/>
    <n v="1679"/>
    <s v="Resume (service fee)"/>
    <d v="2024-08-26T00:00:00"/>
    <n v="1"/>
    <s v="Delivered"/>
    <s v="NT"/>
    <s v="30763 Main Street"/>
    <s v="Alice Springs"/>
    <n v="870"/>
    <n v="600"/>
    <n v="600"/>
    <s v="+61 7 9371 4432"/>
  </r>
  <r>
    <n v="3448"/>
    <s v="Guerra"/>
    <s v="Briella Guerra"/>
    <s v="Briella"/>
    <n v="1680"/>
    <x v="0"/>
    <x v="8"/>
    <n v="2"/>
    <x v="1"/>
    <x v="2"/>
    <n v="0.1"/>
    <n v="28.6"/>
    <n v="286"/>
    <n v="257.39999999999998"/>
    <s v="Priscilla"/>
    <n v="1680"/>
    <s v="Interview Prep"/>
    <d v="2024-02-08T00:00:00"/>
    <n v="3"/>
    <s v="In Progress"/>
    <s v="NSW"/>
    <s v="99429 George Street"/>
    <s v="Newcastle"/>
    <n v="2300"/>
    <n v="250"/>
    <n v="750"/>
    <s v="+61 2 8216 7125"/>
  </r>
  <r>
    <n v="3449"/>
    <s v="Fischer"/>
    <s v="Jeremiah Fischer"/>
    <s v="Jeremiah"/>
    <n v="1681"/>
    <x v="2"/>
    <x v="182"/>
    <n v="1"/>
    <x v="3"/>
    <x v="4"/>
    <n v="0.25"/>
    <n v="411.5"/>
    <n v="1646"/>
    <n v="1234.5"/>
    <s v="Daniel"/>
    <n v="1681"/>
    <s v="LinkedIn profile"/>
    <d v="2024-06-25T00:00:00"/>
    <n v="2"/>
    <s v="Cancelled"/>
    <s v="QLD"/>
    <s v="79017 Main Street"/>
    <s v="Brisbane"/>
    <n v="4000"/>
    <n v="300"/>
    <n v="600"/>
    <s v="+61 6 9400 6376"/>
  </r>
  <r>
    <n v="3450"/>
    <s v="Collins"/>
    <s v="Alaya Collins"/>
    <s v="Alaya"/>
    <n v="1682"/>
    <x v="1"/>
    <x v="21"/>
    <n v="3"/>
    <x v="3"/>
    <x v="6"/>
    <n v="0.3"/>
    <n v="539.4"/>
    <n v="1798"/>
    <n v="1258.5999999999999"/>
    <s v="Kelly"/>
    <n v="1682"/>
    <s v="Resume + LinkedIn Profile"/>
    <d v="2024-06-15T00:00:00"/>
    <n v="2"/>
    <s v="Cancelled"/>
    <s v="TAS"/>
    <s v="83816 George Street"/>
    <s v="Devonport"/>
    <n v="7310"/>
    <n v="800"/>
    <n v="1600"/>
    <s v="+61 3 5897 6313"/>
  </r>
  <r>
    <n v="3451"/>
    <s v="Small"/>
    <s v="Ada Small"/>
    <s v="Ada"/>
    <n v="1683"/>
    <x v="3"/>
    <x v="203"/>
    <n v="2"/>
    <x v="0"/>
    <x v="4"/>
    <n v="0.2"/>
    <n v="302.2"/>
    <n v="1511"/>
    <n v="1208.8"/>
    <s v="Kelly"/>
    <n v="1683"/>
    <s v="Networking Strategy"/>
    <d v="2024-02-12T00:00:00"/>
    <n v="3"/>
    <s v="Delivered"/>
    <s v="QLD"/>
    <s v="29457 George Street"/>
    <s v="Gold Coast"/>
    <n v="4217"/>
    <n v="250"/>
    <n v="750"/>
    <s v="+61 8 9364 7186"/>
  </r>
  <r>
    <n v="3452"/>
    <s v="Perez"/>
    <s v="Aylin Perez"/>
    <s v="Aylin"/>
    <n v="1684"/>
    <x v="0"/>
    <x v="267"/>
    <n v="1"/>
    <x v="1"/>
    <x v="3"/>
    <n v="0.1"/>
    <n v="59.800000000000004"/>
    <n v="598"/>
    <n v="538.20000000000005"/>
    <s v="Terrence"/>
    <n v="1684"/>
    <s v="Interview Prep"/>
    <d v="2024-01-31T00:00:00"/>
    <n v="3"/>
    <s v="In Progress"/>
    <s v="VIC"/>
    <s v="6116 King Street"/>
    <s v="Geelong"/>
    <n v="3220"/>
    <n v="250"/>
    <n v="750"/>
    <s v="+61 5 4993 3912"/>
  </r>
  <r>
    <n v="3453"/>
    <s v="Greene"/>
    <s v="Chance Greene"/>
    <s v="Chance"/>
    <n v="1685"/>
    <x v="0"/>
    <x v="254"/>
    <n v="2"/>
    <x v="0"/>
    <x v="7"/>
    <n v="0.1"/>
    <n v="114.5"/>
    <n v="1145"/>
    <n v="1030.5"/>
    <s v="Daniel"/>
    <n v="1685"/>
    <s v="Interview Prep"/>
    <d v="2024-03-24T00:00:00"/>
    <n v="1"/>
    <s v="Delivered"/>
    <s v="NT"/>
    <s v="30446 Park Avenue"/>
    <s v="Darwin"/>
    <n v="800"/>
    <n v="250"/>
    <n v="250"/>
    <s v="+61 7 4333 1195"/>
  </r>
  <r>
    <n v="3454"/>
    <s v="Ballard"/>
    <s v="Rylie Ballard"/>
    <s v="Rylie"/>
    <n v="1686"/>
    <x v="4"/>
    <x v="7"/>
    <n v="2"/>
    <x v="0"/>
    <x v="7"/>
    <n v="0.25"/>
    <n v="254.25"/>
    <n v="1017"/>
    <n v="762.75"/>
    <s v="Daniel"/>
    <n v="1686"/>
    <s v="Mentoring program"/>
    <d v="2024-10-26T00:00:00"/>
    <n v="2"/>
    <s v="Delivered"/>
    <s v="NT"/>
    <s v="42498 George Street"/>
    <s v="Darwin"/>
    <n v="800"/>
    <n v="1200"/>
    <n v="2400"/>
    <s v="+61 7 6731 2160"/>
  </r>
  <r>
    <n v="3455"/>
    <s v="Nguyen"/>
    <s v="Kimberly Nguyen"/>
    <s v="Kimberly"/>
    <n v="1687"/>
    <x v="3"/>
    <x v="268"/>
    <n v="1"/>
    <x v="2"/>
    <x v="4"/>
    <n v="0.2"/>
    <n v="170.8"/>
    <n v="854"/>
    <n v="683.2"/>
    <s v="Terrence"/>
    <n v="1687"/>
    <s v="Networking Strategy"/>
    <d v="2024-05-12T00:00:00"/>
    <n v="1"/>
    <s v="Service Booked"/>
    <s v="QLD"/>
    <s v="93355 Elizabeth Street"/>
    <s v="Cairns"/>
    <n v="4870"/>
    <n v="250"/>
    <n v="250"/>
    <s v="+61 9 7705 8878"/>
  </r>
  <r>
    <n v="3456"/>
    <s v="Alfaro"/>
    <s v="Kobe Alfaro"/>
    <s v="Kobe"/>
    <n v="1688"/>
    <x v="3"/>
    <x v="138"/>
    <n v="2"/>
    <x v="0"/>
    <x v="7"/>
    <n v="0.2"/>
    <n v="152.80000000000001"/>
    <n v="764"/>
    <n v="611.20000000000005"/>
    <s v="Brian"/>
    <n v="1688"/>
    <s v="Networking Strategy"/>
    <d v="2024-06-19T00:00:00"/>
    <n v="3"/>
    <s v="Delivered"/>
    <s v="NT"/>
    <s v="59104 Park Avenue"/>
    <s v="Alice Springs"/>
    <n v="870"/>
    <n v="250"/>
    <n v="750"/>
    <s v="+61 5 2779 4599"/>
  </r>
  <r>
    <n v="3457"/>
    <s v="Hensley"/>
    <s v="Sienna Hensley"/>
    <s v="Sienna"/>
    <n v="1689"/>
    <x v="1"/>
    <x v="149"/>
    <n v="3"/>
    <x v="0"/>
    <x v="6"/>
    <n v="0.3"/>
    <n v="204.29999999999998"/>
    <n v="681"/>
    <n v="476.70000000000005"/>
    <s v="Kelly"/>
    <n v="1689"/>
    <s v="Resume + LinkedIn Profile"/>
    <d v="2024-10-06T00:00:00"/>
    <n v="3"/>
    <s v="Delivered"/>
    <s v="TAS"/>
    <s v="25905 King Street"/>
    <s v="Launceston"/>
    <n v="7250"/>
    <n v="800"/>
    <n v="2400"/>
    <s v="+61 5 7072 6820"/>
  </r>
  <r>
    <n v="3458"/>
    <s v="Stevenson"/>
    <s v="Landon Stevenson"/>
    <s v="Landon"/>
    <n v="1690"/>
    <x v="2"/>
    <x v="269"/>
    <n v="3"/>
    <x v="0"/>
    <x v="7"/>
    <n v="0.25"/>
    <n v="125.25"/>
    <n v="501"/>
    <n v="375.75"/>
    <s v="Priscilla"/>
    <n v="1690"/>
    <s v="LinkedIn profile"/>
    <d v="2024-07-24T00:00:00"/>
    <n v="2"/>
    <s v="Delivered"/>
    <s v="NT"/>
    <s v="23259 Park Avenue"/>
    <s v="Darwin"/>
    <n v="800"/>
    <n v="300"/>
    <n v="600"/>
    <s v="+61 9 6186 6315"/>
  </r>
  <r>
    <n v="3459"/>
    <s v="Pruitt"/>
    <s v="Jax Pruitt"/>
    <s v="Jax"/>
    <n v="1691"/>
    <x v="2"/>
    <x v="239"/>
    <n v="1"/>
    <x v="2"/>
    <x v="7"/>
    <n v="0.25"/>
    <n v="403.75"/>
    <n v="1615"/>
    <n v="1211.25"/>
    <s v="Daniel"/>
    <n v="1691"/>
    <s v="LinkedIn profile"/>
    <d v="2024-03-02T00:00:00"/>
    <n v="1"/>
    <s v="Service Booked"/>
    <s v="NT"/>
    <s v="93441 Main Street"/>
    <s v="Alice Springs"/>
    <n v="870"/>
    <n v="300"/>
    <n v="300"/>
    <s v="+61 2 8781 5658"/>
  </r>
  <r>
    <n v="3460"/>
    <s v="Best"/>
    <s v="Aubrey Best"/>
    <s v="Aubrey"/>
    <n v="1692"/>
    <x v="5"/>
    <x v="219"/>
    <n v="3"/>
    <x v="2"/>
    <x v="5"/>
    <n v="0.3"/>
    <n v="247.5"/>
    <n v="825"/>
    <n v="577.5"/>
    <s v="Kelly"/>
    <n v="1692"/>
    <s v="Resume (service fee)"/>
    <d v="2024-07-11T00:00:00"/>
    <n v="2"/>
    <s v="Service Booked"/>
    <s v="SA"/>
    <s v="4970 Main Street"/>
    <s v="Whyalla"/>
    <n v="5600"/>
    <n v="600"/>
    <n v="1200"/>
    <s v="+61 2 4369 6515"/>
  </r>
  <r>
    <n v="3461"/>
    <s v="Barrett"/>
    <s v="Emanuel Barrett"/>
    <s v="Emanuel"/>
    <n v="1693"/>
    <x v="4"/>
    <x v="152"/>
    <n v="3"/>
    <x v="2"/>
    <x v="5"/>
    <n v="0.25"/>
    <n v="184.25"/>
    <n v="737"/>
    <n v="552.75"/>
    <s v="Kelly"/>
    <n v="1693"/>
    <s v="Mentoring program"/>
    <d v="2024-11-11T00:00:00"/>
    <n v="2"/>
    <s v="Service Booked"/>
    <s v="SA"/>
    <s v="73260 George Street"/>
    <s v="Whyalla"/>
    <n v="5600"/>
    <n v="1200"/>
    <n v="2400"/>
    <s v="+61 3 4111 7949"/>
  </r>
  <r>
    <n v="3462"/>
    <s v="Sandoval"/>
    <s v="Santiago Sandoval"/>
    <s v="Santiago"/>
    <n v="1694"/>
    <x v="4"/>
    <x v="240"/>
    <n v="3"/>
    <x v="1"/>
    <x v="6"/>
    <n v="0.25"/>
    <n v="316.75"/>
    <n v="1267"/>
    <n v="950.25"/>
    <s v="Terrence"/>
    <n v="1694"/>
    <s v="Mentoring program"/>
    <d v="2024-03-19T00:00:00"/>
    <n v="1"/>
    <s v="In Progress"/>
    <s v="TAS"/>
    <s v="99373 Main Street"/>
    <s v="Launceston"/>
    <n v="7250"/>
    <n v="1200"/>
    <n v="1200"/>
    <s v="+61 8 4776 5283"/>
  </r>
  <r>
    <n v="3463"/>
    <s v="Kaur"/>
    <s v="Matteo Kaur"/>
    <s v="Matteo"/>
    <n v="1695"/>
    <x v="2"/>
    <x v="270"/>
    <n v="1"/>
    <x v="0"/>
    <x v="0"/>
    <n v="0.25"/>
    <n v="30"/>
    <n v="120"/>
    <n v="90"/>
    <s v="Priscilla"/>
    <n v="1695"/>
    <s v="LinkedIn profile"/>
    <d v="2024-04-20T00:00:00"/>
    <n v="1"/>
    <s v="Delivered"/>
    <s v="WA"/>
    <s v="40214 George Street"/>
    <s v="Fremantle"/>
    <n v="6160"/>
    <n v="300"/>
    <n v="300"/>
    <s v="+61 4 2225 8852"/>
  </r>
  <r>
    <n v="3464"/>
    <s v="Barker"/>
    <s v="Richard Barker"/>
    <s v="Richard"/>
    <n v="1696"/>
    <x v="1"/>
    <x v="11"/>
    <n v="3"/>
    <x v="2"/>
    <x v="5"/>
    <n v="0.3"/>
    <n v="71.7"/>
    <n v="239"/>
    <n v="167.3"/>
    <s v="Brian"/>
    <n v="1696"/>
    <s v="Resume + LinkedIn Profile"/>
    <d v="2024-01-25T00:00:00"/>
    <n v="2"/>
    <s v="Service Booked"/>
    <s v="SA"/>
    <s v="59994 Elizabeth Street"/>
    <s v="Mount Gambier"/>
    <n v="5290"/>
    <n v="800"/>
    <n v="1600"/>
    <s v="+61 6 4383 6678"/>
  </r>
  <r>
    <n v="3465"/>
    <s v="Porter"/>
    <s v="Frances Porter"/>
    <s v="Frances"/>
    <n v="1697"/>
    <x v="3"/>
    <x v="125"/>
    <n v="1"/>
    <x v="2"/>
    <x v="2"/>
    <n v="0.2"/>
    <n v="193"/>
    <n v="965"/>
    <n v="772"/>
    <s v="Terrence"/>
    <n v="1697"/>
    <s v="Networking Strategy"/>
    <d v="2024-02-22T00:00:00"/>
    <n v="1"/>
    <s v="Service Booked"/>
    <s v="NSW"/>
    <s v="37577 Main Street"/>
    <s v="Wollongong"/>
    <n v="2500"/>
    <n v="250"/>
    <n v="250"/>
    <s v="+61 5 8906 3212"/>
  </r>
  <r>
    <n v="3466"/>
    <s v="Brown"/>
    <s v="Isabel Brown"/>
    <s v="Isabel"/>
    <n v="1698"/>
    <x v="3"/>
    <x v="6"/>
    <n v="1"/>
    <x v="2"/>
    <x v="3"/>
    <n v="0.2"/>
    <n v="108"/>
    <n v="540"/>
    <n v="432"/>
    <s v="Kelly"/>
    <n v="1698"/>
    <s v="Networking Strategy"/>
    <d v="2024-03-18T00:00:00"/>
    <n v="3"/>
    <s v="Service Booked"/>
    <s v="VIC"/>
    <s v="11820 Park Avenue"/>
    <s v="Geelong"/>
    <n v="3220"/>
    <n v="250"/>
    <n v="750"/>
    <s v="+61 2 1610 5076"/>
  </r>
  <r>
    <n v="3467"/>
    <s v="Strickland"/>
    <s v="Stephanie Strickland"/>
    <s v="Stephanie"/>
    <n v="1699"/>
    <x v="2"/>
    <x v="148"/>
    <n v="1"/>
    <x v="0"/>
    <x v="1"/>
    <n v="0.25"/>
    <n v="110.5"/>
    <n v="442"/>
    <n v="331.5"/>
    <s v="Daniel"/>
    <n v="1699"/>
    <s v="LinkedIn profile"/>
    <d v="2024-01-07T00:00:00"/>
    <n v="3"/>
    <s v="Delivered"/>
    <s v="ACT"/>
    <s v="62768 Park Avenue"/>
    <s v="Canberra"/>
    <n v="2600"/>
    <n v="300"/>
    <n v="900"/>
    <s v="+61 5 6212 2478"/>
  </r>
  <r>
    <n v="3468"/>
    <s v="Nash"/>
    <s v="Callie Nash"/>
    <s v="Callie"/>
    <n v="1700"/>
    <x v="3"/>
    <x v="167"/>
    <n v="1"/>
    <x v="2"/>
    <x v="5"/>
    <n v="0.2"/>
    <n v="143.4"/>
    <n v="717"/>
    <n v="573.6"/>
    <s v="Priscilla"/>
    <n v="1700"/>
    <s v="Networking Strategy"/>
    <d v="2024-05-13T00:00:00"/>
    <n v="3"/>
    <s v="Service Booked"/>
    <s v="SA"/>
    <s v="35033 Main Street"/>
    <s v="Mount Gambier"/>
    <n v="5290"/>
    <n v="250"/>
    <n v="750"/>
    <s v="+61 7 1934 4269"/>
  </r>
  <r>
    <n v="3469"/>
    <s v="Brandt"/>
    <s v="Legacy Brandt"/>
    <s v="Legacy"/>
    <n v="1701"/>
    <x v="3"/>
    <x v="202"/>
    <n v="3"/>
    <x v="1"/>
    <x v="4"/>
    <n v="0.2"/>
    <n v="252"/>
    <n v="1260"/>
    <n v="1008"/>
    <s v="Priscilla"/>
    <n v="1701"/>
    <s v="Networking Strategy"/>
    <d v="2024-07-31T00:00:00"/>
    <n v="2"/>
    <s v="In Progress"/>
    <s v="QLD"/>
    <s v="68218 King Street"/>
    <s v="Gold Coast"/>
    <n v="4217"/>
    <n v="250"/>
    <n v="500"/>
    <s v="+61 2 2138 4725"/>
  </r>
  <r>
    <n v="3470"/>
    <s v="Durham"/>
    <s v="William Durham"/>
    <s v="William"/>
    <n v="1702"/>
    <x v="1"/>
    <x v="245"/>
    <n v="3"/>
    <x v="0"/>
    <x v="1"/>
    <n v="0.3"/>
    <n v="107.1"/>
    <n v="357"/>
    <n v="249.9"/>
    <s v="Terrence"/>
    <n v="1702"/>
    <s v="Resume + LinkedIn Profile"/>
    <d v="2024-08-11T00:00:00"/>
    <n v="3"/>
    <s v="Delivered"/>
    <s v="ACT"/>
    <s v="27137 Elizabeth Street"/>
    <s v="Canberra"/>
    <n v="2600"/>
    <n v="800"/>
    <n v="2400"/>
    <s v="+61 3 4321 5989"/>
  </r>
  <r>
    <n v="3471"/>
    <s v="Myers"/>
    <s v="Morgan Myers"/>
    <s v="Morgan"/>
    <n v="1703"/>
    <x v="2"/>
    <x v="228"/>
    <n v="3"/>
    <x v="2"/>
    <x v="7"/>
    <n v="0.25"/>
    <n v="297"/>
    <n v="1188"/>
    <n v="891"/>
    <s v="Kelly"/>
    <n v="1703"/>
    <s v="LinkedIn profile"/>
    <d v="2024-11-08T00:00:00"/>
    <n v="2"/>
    <s v="Service Booked"/>
    <s v="NT"/>
    <s v="46944 King Street"/>
    <s v="Darwin"/>
    <n v="800"/>
    <n v="300"/>
    <n v="600"/>
    <s v="+61 9 9576 2316"/>
  </r>
  <r>
    <n v="3472"/>
    <s v="Brewer"/>
    <s v="Aubrey Brewer"/>
    <s v="Aubrey"/>
    <n v="1704"/>
    <x v="3"/>
    <x v="271"/>
    <n v="3"/>
    <x v="3"/>
    <x v="2"/>
    <n v="0.2"/>
    <n v="154.60000000000002"/>
    <n v="773"/>
    <n v="618.4"/>
    <s v="Terrence"/>
    <n v="1704"/>
    <s v="Networking Strategy"/>
    <d v="2024-01-09T00:00:00"/>
    <n v="1"/>
    <s v="Cancelled"/>
    <s v="NSW"/>
    <s v="75427 Elizabeth Street"/>
    <s v="Wollongong"/>
    <n v="2500"/>
    <n v="250"/>
    <n v="250"/>
    <s v="+61 2 8187 6860"/>
  </r>
  <r>
    <n v="3473"/>
    <s v="Lucas"/>
    <s v="Rory Lucas"/>
    <s v="Rory"/>
    <n v="1705"/>
    <x v="4"/>
    <x v="29"/>
    <n v="1"/>
    <x v="2"/>
    <x v="2"/>
    <n v="0.25"/>
    <n v="83.5"/>
    <n v="334"/>
    <n v="250.5"/>
    <s v="Brian"/>
    <n v="1705"/>
    <s v="Mentoring program"/>
    <d v="2024-03-09T00:00:00"/>
    <n v="2"/>
    <s v="Service Booked"/>
    <s v="NSW"/>
    <s v="51599 Main Street"/>
    <s v="Newcastle"/>
    <n v="2300"/>
    <n v="1200"/>
    <n v="2400"/>
    <s v="+61 8 8903 3304"/>
  </r>
  <r>
    <n v="3474"/>
    <s v="Mercado"/>
    <s v="Leonel Mercado"/>
    <s v="Leonel"/>
    <n v="1706"/>
    <x v="2"/>
    <x v="90"/>
    <n v="1"/>
    <x v="2"/>
    <x v="1"/>
    <n v="0.25"/>
    <n v="419"/>
    <n v="1676"/>
    <n v="1257"/>
    <s v="Terrence"/>
    <n v="1706"/>
    <s v="LinkedIn profile"/>
    <d v="2024-03-27T00:00:00"/>
    <n v="3"/>
    <s v="Service Booked"/>
    <s v="ACT"/>
    <s v="71402 King Street"/>
    <s v="Canberra"/>
    <n v="2600"/>
    <n v="300"/>
    <n v="900"/>
    <s v="+61 2 4503 2718"/>
  </r>
  <r>
    <n v="3475"/>
    <s v="Bates"/>
    <s v="Anya Bates"/>
    <s v="Anya"/>
    <n v="1707"/>
    <x v="0"/>
    <x v="208"/>
    <n v="1"/>
    <x v="0"/>
    <x v="7"/>
    <n v="0.1"/>
    <n v="176.3"/>
    <n v="1763"/>
    <n v="1586.7"/>
    <s v="Terrence"/>
    <n v="1707"/>
    <s v="Interview Prep"/>
    <d v="2024-07-23T00:00:00"/>
    <n v="3"/>
    <s v="Delivered"/>
    <s v="NT"/>
    <s v="6183 King Street"/>
    <s v="Darwin"/>
    <n v="800"/>
    <n v="250"/>
    <n v="750"/>
    <s v="+61 8 9020 3126"/>
  </r>
  <r>
    <n v="3476"/>
    <s v="Livingston"/>
    <s v="Annie Livingston"/>
    <s v="Annie"/>
    <n v="1708"/>
    <x v="2"/>
    <x v="272"/>
    <n v="2"/>
    <x v="0"/>
    <x v="2"/>
    <n v="0.25"/>
    <n v="168.75"/>
    <n v="675"/>
    <n v="506.25"/>
    <s v="Daniel"/>
    <n v="1708"/>
    <s v="LinkedIn profile"/>
    <d v="2024-02-01T00:00:00"/>
    <n v="1"/>
    <s v="Delivered"/>
    <s v="NSW"/>
    <s v="36514 King Street"/>
    <s v="Wollongong"/>
    <n v="2500"/>
    <n v="300"/>
    <n v="300"/>
    <s v="+61 5 2081 9291"/>
  </r>
  <r>
    <n v="3477"/>
    <s v="Sweeney"/>
    <s v="Willa Sweeney"/>
    <s v="Willa"/>
    <n v="1709"/>
    <x v="0"/>
    <x v="64"/>
    <n v="1"/>
    <x v="0"/>
    <x v="4"/>
    <n v="0.1"/>
    <n v="184.5"/>
    <n v="1845"/>
    <n v="1660.5"/>
    <s v="Priscilla"/>
    <n v="1709"/>
    <s v="Interview Prep"/>
    <d v="2024-12-10T00:00:00"/>
    <n v="1"/>
    <s v="Delivered"/>
    <s v="QLD"/>
    <s v="45792 King Street"/>
    <s v="Cairns"/>
    <n v="4870"/>
    <n v="250"/>
    <n v="250"/>
    <s v="+61 2 9874 5259"/>
  </r>
  <r>
    <n v="3478"/>
    <s v="Hail"/>
    <s v="Jeremiah Hail"/>
    <s v="Jeremiah"/>
    <n v="1710"/>
    <x v="3"/>
    <x v="268"/>
    <n v="2"/>
    <x v="0"/>
    <x v="3"/>
    <n v="0.2"/>
    <n v="120.4"/>
    <n v="602"/>
    <n v="481.6"/>
    <s v="Kelly"/>
    <n v="1710"/>
    <s v="Networking Strategy"/>
    <d v="2024-05-12T00:00:00"/>
    <n v="2"/>
    <s v="Delivered"/>
    <s v="VIC"/>
    <s v="43757 Elizabeth Street"/>
    <s v="Melbourne"/>
    <n v="3000"/>
    <n v="250"/>
    <n v="500"/>
    <s v="+61 6 2479 5667"/>
  </r>
  <r>
    <n v="3479"/>
    <s v="Case"/>
    <s v="Valeria Case"/>
    <s v="Valeria"/>
    <n v="1711"/>
    <x v="1"/>
    <x v="75"/>
    <n v="1"/>
    <x v="2"/>
    <x v="4"/>
    <n v="0.3"/>
    <n v="46.199999999999996"/>
    <n v="154"/>
    <n v="107.80000000000001"/>
    <s v="Kelly"/>
    <n v="1711"/>
    <s v="Resume + LinkedIn Profile"/>
    <d v="2024-09-26T00:00:00"/>
    <n v="2"/>
    <s v="Service Booked"/>
    <s v="QLD"/>
    <s v="56999 Park Avenue"/>
    <s v="Cairns"/>
    <n v="4870"/>
    <n v="800"/>
    <n v="1600"/>
    <s v="+61 6 2406 7397"/>
  </r>
  <r>
    <n v="3480"/>
    <s v="Frazier"/>
    <s v="Genesis Frazier"/>
    <s v="Genesis"/>
    <n v="1712"/>
    <x v="3"/>
    <x v="232"/>
    <n v="3"/>
    <x v="0"/>
    <x v="1"/>
    <n v="0.2"/>
    <n v="307"/>
    <n v="1535"/>
    <n v="1228"/>
    <s v="Terrence"/>
    <n v="1712"/>
    <s v="Networking Strategy"/>
    <d v="2024-08-03T00:00:00"/>
    <n v="2"/>
    <s v="Delivered"/>
    <s v="ACT"/>
    <s v="42214 George Street"/>
    <s v="Canberra"/>
    <n v="2600"/>
    <n v="250"/>
    <n v="500"/>
    <s v="+61 3 4061 2397"/>
  </r>
  <r>
    <n v="3481"/>
    <s v="Enriquez"/>
    <s v="Asa Enriquez"/>
    <s v="Asa"/>
    <n v="1713"/>
    <x v="5"/>
    <x v="32"/>
    <n v="2"/>
    <x v="2"/>
    <x v="5"/>
    <n v="0.3"/>
    <n v="393.3"/>
    <n v="1311"/>
    <n v="917.7"/>
    <s v="Daniel"/>
    <n v="1713"/>
    <s v="Resume (service fee)"/>
    <d v="2024-12-14T00:00:00"/>
    <n v="3"/>
    <s v="Service Booked"/>
    <s v="SA"/>
    <s v="57395 George Street"/>
    <s v="Mount Gambier"/>
    <n v="5290"/>
    <n v="600"/>
    <n v="1800"/>
    <s v="+61 9 5334 6624"/>
  </r>
  <r>
    <n v="3482"/>
    <s v="Ayers"/>
    <s v="Amaya Ayers"/>
    <s v="Amaya"/>
    <n v="1714"/>
    <x v="3"/>
    <x v="127"/>
    <n v="3"/>
    <x v="2"/>
    <x v="0"/>
    <n v="0.2"/>
    <n v="204.20000000000002"/>
    <n v="1021"/>
    <n v="816.8"/>
    <s v="Priscilla"/>
    <n v="1714"/>
    <s v="Networking Strategy"/>
    <d v="2024-07-27T00:00:00"/>
    <n v="2"/>
    <s v="Service Booked"/>
    <s v="WA"/>
    <s v="18409 King Street"/>
    <s v="Perth"/>
    <n v="6000"/>
    <n v="250"/>
    <n v="500"/>
    <s v="+61 5 3315 6760"/>
  </r>
  <r>
    <n v="3483"/>
    <s v="Ramsey"/>
    <s v="Hank Ramsey"/>
    <s v="Hank"/>
    <n v="1715"/>
    <x v="2"/>
    <x v="254"/>
    <n v="3"/>
    <x v="2"/>
    <x v="0"/>
    <n v="0.25"/>
    <n v="369"/>
    <n v="1476"/>
    <n v="1107"/>
    <s v="Daniel"/>
    <n v="1715"/>
    <s v="LinkedIn profile"/>
    <d v="2024-03-24T00:00:00"/>
    <n v="3"/>
    <s v="Service Booked"/>
    <s v="WA"/>
    <s v="8939 Main Street"/>
    <s v="Fremantle"/>
    <n v="6160"/>
    <n v="300"/>
    <n v="900"/>
    <s v="+61 4 9764 6655"/>
  </r>
  <r>
    <n v="3484"/>
    <s v="Dixon"/>
    <s v="Kylo Dixon"/>
    <s v="Kylo"/>
    <n v="1716"/>
    <x v="2"/>
    <x v="273"/>
    <n v="2"/>
    <x v="2"/>
    <x v="4"/>
    <n v="0.25"/>
    <n v="141.75"/>
    <n v="567"/>
    <n v="425.25"/>
    <s v="Priscilla"/>
    <n v="1716"/>
    <s v="LinkedIn profile"/>
    <d v="2024-10-14T00:00:00"/>
    <n v="2"/>
    <s v="Service Booked"/>
    <s v="QLD"/>
    <s v="5578 George Street"/>
    <s v="Brisbane"/>
    <n v="4000"/>
    <n v="300"/>
    <n v="600"/>
    <s v="+61 9 2738 4323"/>
  </r>
  <r>
    <n v="3485"/>
    <s v="Kent"/>
    <s v="Kaia Kent"/>
    <s v="Kaia"/>
    <n v="1717"/>
    <x v="5"/>
    <x v="274"/>
    <n v="3"/>
    <x v="2"/>
    <x v="7"/>
    <n v="0.3"/>
    <n v="357.3"/>
    <n v="1191"/>
    <n v="833.7"/>
    <s v="Terrence"/>
    <n v="1717"/>
    <s v="Resume (service fee)"/>
    <d v="2024-11-21T00:00:00"/>
    <n v="1"/>
    <s v="Service Booked"/>
    <s v="NT"/>
    <s v="44916 Park Avenue"/>
    <s v="Alice Springs"/>
    <n v="870"/>
    <n v="600"/>
    <n v="600"/>
    <s v="+61 6 4232 4353"/>
  </r>
  <r>
    <n v="3486"/>
    <s v="Castro"/>
    <s v="Nico Castro"/>
    <s v="Nico"/>
    <n v="1718"/>
    <x v="0"/>
    <x v="57"/>
    <n v="3"/>
    <x v="2"/>
    <x v="0"/>
    <n v="0.1"/>
    <n v="11.3"/>
    <n v="113"/>
    <n v="101.7"/>
    <s v="Priscilla"/>
    <n v="1718"/>
    <s v="Interview Prep"/>
    <d v="2024-11-16T00:00:00"/>
    <n v="2"/>
    <s v="Service Booked"/>
    <s v="WA"/>
    <s v="68214 King Street"/>
    <s v="Fremantle"/>
    <n v="6160"/>
    <n v="250"/>
    <n v="500"/>
    <s v="+61 6 8811 4196"/>
  </r>
  <r>
    <n v="3487"/>
    <s v="Richardson"/>
    <s v="Marlee Richardson"/>
    <s v="Marlee"/>
    <n v="1719"/>
    <x v="0"/>
    <x v="275"/>
    <n v="2"/>
    <x v="2"/>
    <x v="1"/>
    <n v="0.1"/>
    <n v="86.5"/>
    <n v="865"/>
    <n v="778.5"/>
    <s v="Kelly"/>
    <n v="1719"/>
    <s v="Interview Prep"/>
    <d v="2024-10-28T00:00:00"/>
    <n v="2"/>
    <s v="Service Booked"/>
    <s v="ACT"/>
    <s v="48257 Park Avenue"/>
    <s v="Canberra"/>
    <n v="2600"/>
    <n v="250"/>
    <n v="500"/>
    <s v="+61 6 6392 9189"/>
  </r>
  <r>
    <n v="3488"/>
    <s v="Escobar"/>
    <s v="Madelyn Escobar"/>
    <s v="Madelyn"/>
    <n v="1720"/>
    <x v="2"/>
    <x v="276"/>
    <n v="2"/>
    <x v="0"/>
    <x v="2"/>
    <n v="0.25"/>
    <n v="213"/>
    <n v="852"/>
    <n v="639"/>
    <s v="Daniel"/>
    <n v="1720"/>
    <s v="LinkedIn profile"/>
    <d v="2024-10-04T00:00:00"/>
    <n v="1"/>
    <s v="Delivered"/>
    <s v="NSW"/>
    <s v="85022 Elizabeth Street"/>
    <s v="Sydney"/>
    <n v="2000"/>
    <n v="300"/>
    <n v="300"/>
    <s v="+61 7 9163 6449"/>
  </r>
  <r>
    <n v="3489"/>
    <s v="Carpenter"/>
    <s v="Bodie Carpenter"/>
    <s v="Bodie"/>
    <n v="1721"/>
    <x v="3"/>
    <x v="277"/>
    <n v="2"/>
    <x v="0"/>
    <x v="0"/>
    <n v="0.2"/>
    <n v="327.60000000000002"/>
    <n v="1638"/>
    <n v="1310.4000000000001"/>
    <s v="Brian"/>
    <n v="1721"/>
    <s v="Networking Strategy"/>
    <d v="2024-07-26T00:00:00"/>
    <n v="3"/>
    <s v="Delivered"/>
    <s v="WA"/>
    <s v="36175 Main Street"/>
    <s v="Broome"/>
    <n v="6725"/>
    <n v="250"/>
    <n v="750"/>
    <s v="+61 5 4244 6477"/>
  </r>
  <r>
    <n v="3490"/>
    <s v="Mclean"/>
    <s v="Thea Mclean"/>
    <s v="Thea"/>
    <n v="1722"/>
    <x v="4"/>
    <x v="278"/>
    <n v="2"/>
    <x v="2"/>
    <x v="7"/>
    <n v="0.25"/>
    <n v="366.5"/>
    <n v="1466"/>
    <n v="1099.5"/>
    <s v="Terrence"/>
    <n v="1722"/>
    <s v="Mentoring program"/>
    <d v="2024-09-14T00:00:00"/>
    <n v="1"/>
    <s v="Service Booked"/>
    <s v="NT"/>
    <s v="58309 Park Avenue"/>
    <s v="Alice Springs"/>
    <n v="870"/>
    <n v="1200"/>
    <n v="1200"/>
    <s v="+61 6 5755 2649"/>
  </r>
  <r>
    <n v="3491"/>
    <s v="Duncan"/>
    <s v="Maryam Duncan"/>
    <s v="Maryam"/>
    <n v="1723"/>
    <x v="2"/>
    <x v="277"/>
    <n v="2"/>
    <x v="0"/>
    <x v="0"/>
    <n v="0.25"/>
    <n v="320.5"/>
    <n v="1282"/>
    <n v="961.5"/>
    <s v="Terrence"/>
    <n v="1723"/>
    <s v="LinkedIn profile"/>
    <d v="2024-07-26T00:00:00"/>
    <n v="3"/>
    <s v="Delivered"/>
    <s v="WA"/>
    <s v="19848 King Street"/>
    <s v="Perth"/>
    <n v="6000"/>
    <n v="300"/>
    <n v="900"/>
    <s v="+61 5 1204 8250"/>
  </r>
  <r>
    <n v="3492"/>
    <s v="Reed"/>
    <s v="Haven Reed"/>
    <s v="Haven"/>
    <n v="1724"/>
    <x v="1"/>
    <x v="279"/>
    <n v="2"/>
    <x v="3"/>
    <x v="5"/>
    <n v="0.3"/>
    <n v="512.4"/>
    <n v="1708"/>
    <n v="1195.5999999999999"/>
    <s v="Priscilla"/>
    <n v="1724"/>
    <s v="Resume + LinkedIn Profile"/>
    <d v="2024-10-02T00:00:00"/>
    <n v="1"/>
    <s v="Cancelled"/>
    <s v="SA"/>
    <s v="25681 King Street"/>
    <s v="Whyalla"/>
    <n v="5600"/>
    <n v="800"/>
    <n v="800"/>
    <s v="+61 8 6077 7154"/>
  </r>
  <r>
    <n v="3493"/>
    <s v="Montgomery"/>
    <s v="Eden Montgomery"/>
    <s v="Eden"/>
    <n v="1725"/>
    <x v="3"/>
    <x v="55"/>
    <n v="1"/>
    <x v="3"/>
    <x v="0"/>
    <n v="0.2"/>
    <n v="233.60000000000002"/>
    <n v="1168"/>
    <n v="934.4"/>
    <s v="Daniel"/>
    <n v="1725"/>
    <s v="Networking Strategy"/>
    <d v="2024-02-04T00:00:00"/>
    <n v="2"/>
    <s v="Cancelled"/>
    <s v="WA"/>
    <s v="66685 King Street"/>
    <s v="Broome"/>
    <n v="6725"/>
    <n v="250"/>
    <n v="500"/>
    <s v="+61 4 7311 5651"/>
  </r>
  <r>
    <n v="3494"/>
    <s v="Esquivel"/>
    <s v="Matias Esquivel"/>
    <s v="Matias"/>
    <n v="1726"/>
    <x v="1"/>
    <x v="280"/>
    <n v="2"/>
    <x v="3"/>
    <x v="7"/>
    <n v="0.3"/>
    <n v="119.39999999999999"/>
    <n v="398"/>
    <n v="278.60000000000002"/>
    <s v="Daniel"/>
    <n v="1726"/>
    <s v="Resume + LinkedIn Profile"/>
    <d v="2024-09-22T00:00:00"/>
    <n v="3"/>
    <s v="Cancelled"/>
    <s v="NT"/>
    <s v="67821 King Street"/>
    <s v="Alice Springs"/>
    <n v="870"/>
    <n v="800"/>
    <n v="2400"/>
    <s v="+61 3 3631 3459"/>
  </r>
  <r>
    <n v="3495"/>
    <s v="Murray"/>
    <s v="Kyson Murray"/>
    <s v="Kyson"/>
    <n v="1727"/>
    <x v="5"/>
    <x v="57"/>
    <n v="1"/>
    <x v="2"/>
    <x v="3"/>
    <n v="0.3"/>
    <n v="385.2"/>
    <n v="1284"/>
    <n v="898.8"/>
    <s v="Terrence"/>
    <n v="1727"/>
    <s v="Resume (service fee)"/>
    <d v="2024-11-16T00:00:00"/>
    <n v="2"/>
    <s v="Service Booked"/>
    <s v="VIC"/>
    <s v="28797 George Street"/>
    <s v="Geelong"/>
    <n v="3220"/>
    <n v="600"/>
    <n v="1200"/>
    <s v="+61 7 5206 3556"/>
  </r>
  <r>
    <n v="3496"/>
    <s v="Joseph"/>
    <s v="Fernanda Joseph"/>
    <s v="Fernanda"/>
    <n v="1728"/>
    <x v="5"/>
    <x v="200"/>
    <n v="1"/>
    <x v="0"/>
    <x v="3"/>
    <n v="0.3"/>
    <n v="530.69999999999993"/>
    <n v="1769"/>
    <n v="1238.3000000000002"/>
    <s v="Daniel"/>
    <n v="1728"/>
    <s v="Resume (service fee)"/>
    <d v="2024-10-20T00:00:00"/>
    <n v="2"/>
    <s v="Delivered"/>
    <s v="VIC"/>
    <s v="56997 Main Street"/>
    <s v="Ballarat"/>
    <n v="3350"/>
    <n v="600"/>
    <n v="1200"/>
    <s v="+61 3 3078 6417"/>
  </r>
  <r>
    <n v="3497"/>
    <s v="Rich"/>
    <s v="Brooklynn Rich"/>
    <s v="Brooklynn"/>
    <n v="1729"/>
    <x v="4"/>
    <x v="87"/>
    <n v="2"/>
    <x v="2"/>
    <x v="1"/>
    <n v="0.25"/>
    <n v="94.5"/>
    <n v="378"/>
    <n v="283.5"/>
    <s v="Kelly"/>
    <n v="1729"/>
    <s v="Mentoring program"/>
    <d v="2024-09-25T00:00:00"/>
    <n v="2"/>
    <s v="Service Booked"/>
    <s v="ACT"/>
    <s v="61104 King Street"/>
    <s v="Canberra"/>
    <n v="2600"/>
    <n v="1200"/>
    <n v="2400"/>
    <s v="+61 9 8497 4998"/>
  </r>
  <r>
    <n v="3498"/>
    <s v="Weiss"/>
    <s v="Ivan Weiss"/>
    <s v="Ivan"/>
    <n v="1730"/>
    <x v="4"/>
    <x v="190"/>
    <n v="3"/>
    <x v="2"/>
    <x v="3"/>
    <n v="0.25"/>
    <n v="337.75"/>
    <n v="1351"/>
    <n v="1013.25"/>
    <s v="Brian"/>
    <n v="1730"/>
    <s v="Mentoring program"/>
    <d v="2024-04-27T00:00:00"/>
    <n v="2"/>
    <s v="Service Booked"/>
    <s v="VIC"/>
    <s v="62647 King Street"/>
    <s v="Melbourne"/>
    <n v="3000"/>
    <n v="1200"/>
    <n v="2400"/>
    <s v="+61 9 3441 3482"/>
  </r>
  <r>
    <n v="3499"/>
    <s v="Burgess"/>
    <s v="Dominic Burgess"/>
    <s v="Dominic"/>
    <n v="1731"/>
    <x v="4"/>
    <x v="271"/>
    <n v="2"/>
    <x v="0"/>
    <x v="6"/>
    <n v="0.25"/>
    <n v="345.25"/>
    <n v="1381"/>
    <n v="1035.75"/>
    <s v="Kelly"/>
    <n v="1731"/>
    <s v="Mentoring program"/>
    <d v="2024-01-09T00:00:00"/>
    <n v="1"/>
    <s v="Delivered"/>
    <s v="TAS"/>
    <s v="92618 King Street"/>
    <s v="Launceston"/>
    <n v="7250"/>
    <n v="1200"/>
    <n v="1200"/>
    <s v="+61 8 6529 9607"/>
  </r>
  <r>
    <n v="3500"/>
    <s v="Horn"/>
    <s v="Renata Horn"/>
    <s v="Renata"/>
    <n v="1732"/>
    <x v="1"/>
    <x v="210"/>
    <n v="2"/>
    <x v="3"/>
    <x v="0"/>
    <n v="0.3"/>
    <n v="414.9"/>
    <n v="1383"/>
    <n v="968.1"/>
    <s v="Priscilla"/>
    <n v="1732"/>
    <s v="Resume + LinkedIn Profile"/>
    <d v="2024-10-11T00:00:00"/>
    <n v="3"/>
    <s v="Cancelled"/>
    <s v="WA"/>
    <s v="79236 George Street"/>
    <s v="Perth"/>
    <n v="6000"/>
    <n v="800"/>
    <n v="2400"/>
    <s v="+61 9 5456 3626"/>
  </r>
  <r>
    <n v="3501"/>
    <s v="Yu"/>
    <s v="Briggs Yu"/>
    <s v="Briggs"/>
    <n v="1733"/>
    <x v="5"/>
    <x v="49"/>
    <n v="2"/>
    <x v="0"/>
    <x v="0"/>
    <n v="0.3"/>
    <n v="515.69999999999993"/>
    <n v="1719"/>
    <n v="1203.3000000000002"/>
    <s v="Daniel"/>
    <n v="1733"/>
    <s v="Resume (service fee)"/>
    <d v="2024-03-17T00:00:00"/>
    <n v="3"/>
    <s v="Delivered"/>
    <s v="WA"/>
    <s v="77149 Main Street"/>
    <s v="Fremantle"/>
    <n v="6160"/>
    <n v="600"/>
    <n v="1800"/>
    <s v="+61 5 6825 2558"/>
  </r>
  <r>
    <n v="3502"/>
    <s v="Huynh"/>
    <s v="Sarah Huynh"/>
    <s v="Sarah"/>
    <n v="1734"/>
    <x v="1"/>
    <x v="35"/>
    <n v="1"/>
    <x v="1"/>
    <x v="3"/>
    <n v="0.3"/>
    <n v="235.5"/>
    <n v="785"/>
    <n v="549.5"/>
    <s v="Priscilla"/>
    <n v="1734"/>
    <s v="Resume + LinkedIn Profile"/>
    <d v="2024-12-07T00:00:00"/>
    <n v="3"/>
    <s v="In Progress"/>
    <s v="VIC"/>
    <s v="78647 Elizabeth Street"/>
    <s v="Melbourne"/>
    <n v="3000"/>
    <n v="800"/>
    <n v="2400"/>
    <s v="+61 8 1392 1348"/>
  </r>
  <r>
    <n v="3503"/>
    <s v="Berger"/>
    <s v="Jason Berger"/>
    <s v="Jason"/>
    <n v="1735"/>
    <x v="2"/>
    <x v="281"/>
    <n v="3"/>
    <x v="2"/>
    <x v="2"/>
    <n v="0.25"/>
    <n v="340.25"/>
    <n v="1361"/>
    <n v="1020.75"/>
    <s v="Kelly"/>
    <n v="1735"/>
    <s v="LinkedIn profile"/>
    <d v="2024-09-13T00:00:00"/>
    <n v="1"/>
    <s v="Service Booked"/>
    <s v="NSW"/>
    <s v="76047 Main Street"/>
    <s v="Wollongong"/>
    <n v="2500"/>
    <n v="300"/>
    <n v="300"/>
    <s v="+61 4 5667 8109"/>
  </r>
  <r>
    <n v="3504"/>
    <s v="Wong"/>
    <s v="Sage Wong"/>
    <s v="Sage"/>
    <n v="1736"/>
    <x v="2"/>
    <x v="18"/>
    <n v="1"/>
    <x v="3"/>
    <x v="2"/>
    <n v="0.25"/>
    <n v="332"/>
    <n v="1328"/>
    <n v="996"/>
    <s v="Priscilla"/>
    <n v="1736"/>
    <s v="LinkedIn profile"/>
    <d v="2024-06-12T00:00:00"/>
    <n v="3"/>
    <s v="Cancelled"/>
    <s v="NSW"/>
    <s v="60138 Main Street"/>
    <s v="Wollongong"/>
    <n v="2500"/>
    <n v="300"/>
    <n v="900"/>
    <s v="+61 5 6124 4407"/>
  </r>
  <r>
    <n v="3505"/>
    <s v="Silva"/>
    <s v="Beau Silva"/>
    <s v="Beau"/>
    <n v="1737"/>
    <x v="2"/>
    <x v="282"/>
    <n v="2"/>
    <x v="0"/>
    <x v="5"/>
    <n v="0.25"/>
    <n v="56"/>
    <n v="224"/>
    <n v="168"/>
    <s v="Priscilla"/>
    <n v="1737"/>
    <s v="LinkedIn profile"/>
    <d v="2024-12-28T00:00:00"/>
    <n v="3"/>
    <s v="Delivered"/>
    <s v="SA"/>
    <s v="12310 Elizabeth Street"/>
    <s v="Whyalla"/>
    <n v="5600"/>
    <n v="300"/>
    <n v="900"/>
    <s v="+61 4 6730 4657"/>
  </r>
  <r>
    <n v="3506"/>
    <s v="Lin"/>
    <s v="Stevie Lin"/>
    <s v="Stevie"/>
    <n v="1738"/>
    <x v="0"/>
    <x v="21"/>
    <n v="1"/>
    <x v="2"/>
    <x v="4"/>
    <n v="0.1"/>
    <n v="144.30000000000001"/>
    <n v="1443"/>
    <n v="1298.7"/>
    <s v="Daniel"/>
    <n v="1738"/>
    <s v="Interview Prep"/>
    <d v="2024-06-15T00:00:00"/>
    <n v="3"/>
    <s v="Service Booked"/>
    <s v="QLD"/>
    <s v="53267 Main Street"/>
    <s v="Brisbane"/>
    <n v="4000"/>
    <n v="250"/>
    <n v="750"/>
    <s v="+61 5 2819 4127"/>
  </r>
  <r>
    <n v="3507"/>
    <s v="Beard"/>
    <s v="Garrett Beard"/>
    <s v="Garrett"/>
    <n v="1739"/>
    <x v="0"/>
    <x v="47"/>
    <n v="3"/>
    <x v="2"/>
    <x v="0"/>
    <n v="0.1"/>
    <n v="175.60000000000002"/>
    <n v="1756"/>
    <n v="1580.4"/>
    <s v="Priscilla"/>
    <n v="1739"/>
    <s v="Interview Prep"/>
    <d v="2024-08-01T00:00:00"/>
    <n v="3"/>
    <s v="Service Booked"/>
    <s v="WA"/>
    <s v="98012 Park Avenue"/>
    <s v="Perth"/>
    <n v="6000"/>
    <n v="250"/>
    <n v="750"/>
    <s v="+61 9 1690 5814"/>
  </r>
  <r>
    <n v="3508"/>
    <s v="Ramsey"/>
    <s v="Leland Ramsey"/>
    <s v="Leland"/>
    <n v="1740"/>
    <x v="2"/>
    <x v="283"/>
    <n v="2"/>
    <x v="1"/>
    <x v="0"/>
    <n v="0.25"/>
    <n v="128.75"/>
    <n v="515"/>
    <n v="386.25"/>
    <s v="Kelly"/>
    <n v="1740"/>
    <s v="LinkedIn profile"/>
    <d v="2024-09-16T00:00:00"/>
    <n v="3"/>
    <s v="In Progress"/>
    <s v="WA"/>
    <s v="69741 King Street"/>
    <s v="Broome"/>
    <n v="6725"/>
    <n v="300"/>
    <n v="900"/>
    <s v="+61 8 6422 3707"/>
  </r>
  <r>
    <n v="3509"/>
    <s v="Fletcher"/>
    <s v="Maximus Fletcher"/>
    <s v="Maximus"/>
    <n v="1741"/>
    <x v="3"/>
    <x v="158"/>
    <n v="1"/>
    <x v="0"/>
    <x v="1"/>
    <n v="0.2"/>
    <n v="91.4"/>
    <n v="457"/>
    <n v="365.6"/>
    <s v="Kelly"/>
    <n v="1741"/>
    <s v="Networking Strategy"/>
    <d v="2024-07-03T00:00:00"/>
    <n v="3"/>
    <s v="Delivered"/>
    <s v="ACT"/>
    <s v="12758 Main Street"/>
    <s v="Canberra"/>
    <n v="2600"/>
    <n v="250"/>
    <n v="750"/>
    <s v="+61 5 4200 6467"/>
  </r>
  <r>
    <n v="3510"/>
    <s v="Frank"/>
    <s v="Camilo Frank"/>
    <s v="Camilo"/>
    <n v="1742"/>
    <x v="5"/>
    <x v="76"/>
    <n v="3"/>
    <x v="2"/>
    <x v="1"/>
    <n v="0.3"/>
    <n v="38.1"/>
    <n v="127"/>
    <n v="88.9"/>
    <s v="Priscilla"/>
    <n v="1742"/>
    <s v="Resume (service fee)"/>
    <d v="2024-12-16T00:00:00"/>
    <n v="2"/>
    <s v="Service Booked"/>
    <s v="ACT"/>
    <s v="29470 Elizabeth Street"/>
    <s v="Canberra"/>
    <n v="2600"/>
    <n v="600"/>
    <n v="1200"/>
    <s v="+61 6 5270 6885"/>
  </r>
  <r>
    <n v="3511"/>
    <s v="Wong"/>
    <s v="Zyaire Wong"/>
    <s v="Zyaire"/>
    <n v="1743"/>
    <x v="0"/>
    <x v="284"/>
    <n v="1"/>
    <x v="2"/>
    <x v="5"/>
    <n v="0.1"/>
    <n v="167.4"/>
    <n v="1674"/>
    <n v="1506.6"/>
    <s v="Priscilla"/>
    <n v="1743"/>
    <s v="Interview Prep"/>
    <d v="2024-01-20T00:00:00"/>
    <n v="2"/>
    <s v="Service Booked"/>
    <s v="SA"/>
    <s v="50650 Elizabeth Street"/>
    <s v="Mount Gambier"/>
    <n v="5290"/>
    <n v="250"/>
    <n v="500"/>
    <s v="+61 6 7813 7359"/>
  </r>
  <r>
    <n v="3512"/>
    <s v="Shields"/>
    <s v="Eduardo Shields"/>
    <s v="Eduardo"/>
    <n v="1744"/>
    <x v="0"/>
    <x v="285"/>
    <n v="2"/>
    <x v="0"/>
    <x v="1"/>
    <n v="0.1"/>
    <n v="39.200000000000003"/>
    <n v="392"/>
    <n v="352.8"/>
    <s v="Terrence"/>
    <n v="1744"/>
    <s v="Interview Prep"/>
    <d v="2024-06-09T00:00:00"/>
    <n v="2"/>
    <s v="Delivered"/>
    <s v="ACT"/>
    <s v="21340 Main Street"/>
    <s v="Canberra"/>
    <n v="2600"/>
    <n v="250"/>
    <n v="500"/>
    <s v="+61 4 4639 8605"/>
  </r>
  <r>
    <n v="3513"/>
    <s v="Zuniga"/>
    <s v="Edwin Zuniga"/>
    <s v="Edwin"/>
    <n v="1745"/>
    <x v="2"/>
    <x v="227"/>
    <n v="1"/>
    <x v="2"/>
    <x v="0"/>
    <n v="0.25"/>
    <n v="214.25"/>
    <n v="857"/>
    <n v="642.75"/>
    <s v="Brian"/>
    <n v="1745"/>
    <s v="LinkedIn profile"/>
    <d v="2024-03-28T00:00:00"/>
    <n v="3"/>
    <s v="Service Booked"/>
    <s v="WA"/>
    <s v="66801 Main Street"/>
    <s v="Perth"/>
    <n v="6000"/>
    <n v="300"/>
    <n v="900"/>
    <s v="+61 2 3706 8467"/>
  </r>
  <r>
    <n v="3514"/>
    <s v="Wong"/>
    <s v="Julian Wong"/>
    <s v="Julian"/>
    <n v="1746"/>
    <x v="2"/>
    <x v="286"/>
    <n v="1"/>
    <x v="0"/>
    <x v="2"/>
    <n v="0.25"/>
    <n v="461"/>
    <n v="1844"/>
    <n v="1383"/>
    <s v="Priscilla"/>
    <n v="1746"/>
    <s v="LinkedIn profile"/>
    <d v="2024-10-21T00:00:00"/>
    <n v="2"/>
    <s v="Delivered"/>
    <s v="NSW"/>
    <s v="55336 Main Street"/>
    <s v="Newcastle"/>
    <n v="2300"/>
    <n v="300"/>
    <n v="600"/>
    <s v="+61 5 9007 1338"/>
  </r>
  <r>
    <n v="3515"/>
    <s v="Pacheco"/>
    <s v="Erick Pacheco"/>
    <s v="Erick"/>
    <n v="1747"/>
    <x v="0"/>
    <x v="210"/>
    <n v="3"/>
    <x v="2"/>
    <x v="7"/>
    <n v="0.1"/>
    <n v="138.20000000000002"/>
    <n v="1382"/>
    <n v="1243.8"/>
    <s v="Terrence"/>
    <n v="1747"/>
    <s v="Interview Prep"/>
    <d v="2024-10-11T00:00:00"/>
    <n v="3"/>
    <s v="Service Booked"/>
    <s v="NT"/>
    <s v="50723 Park Avenue"/>
    <s v="Darwin"/>
    <n v="800"/>
    <n v="250"/>
    <n v="750"/>
    <s v="+61 4 5375 5168"/>
  </r>
  <r>
    <n v="3516"/>
    <s v="Donovan"/>
    <s v="Austin Donovan"/>
    <s v="Austin"/>
    <n v="1748"/>
    <x v="0"/>
    <x v="62"/>
    <n v="3"/>
    <x v="1"/>
    <x v="5"/>
    <n v="0.1"/>
    <n v="17.600000000000001"/>
    <n v="176"/>
    <n v="158.4"/>
    <s v="Daniel"/>
    <n v="1748"/>
    <s v="Interview Prep"/>
    <d v="2024-03-31T00:00:00"/>
    <n v="2"/>
    <s v="In Progress"/>
    <s v="SA"/>
    <s v="40623 Elizabeth Street"/>
    <s v="Whyalla"/>
    <n v="5600"/>
    <n v="250"/>
    <n v="500"/>
    <s v="+61 8 1041 4290"/>
  </r>
  <r>
    <n v="3517"/>
    <s v="Manning"/>
    <s v="Blake Manning"/>
    <s v="Blake"/>
    <n v="1749"/>
    <x v="5"/>
    <x v="1"/>
    <n v="3"/>
    <x v="2"/>
    <x v="4"/>
    <n v="0.3"/>
    <n v="93.6"/>
    <n v="312"/>
    <n v="218.4"/>
    <s v="Daniel"/>
    <n v="1749"/>
    <s v="Resume (service fee)"/>
    <d v="2024-07-18T00:00:00"/>
    <n v="1"/>
    <s v="Service Booked"/>
    <s v="QLD"/>
    <s v="98309 George Street"/>
    <s v="Cairns"/>
    <n v="4870"/>
    <n v="600"/>
    <n v="600"/>
    <s v="+61 2 3426 5126"/>
  </r>
  <r>
    <n v="3518"/>
    <s v="Ochoa"/>
    <s v="Connor Ochoa"/>
    <s v="Connor"/>
    <n v="1750"/>
    <x v="3"/>
    <x v="75"/>
    <n v="3"/>
    <x v="0"/>
    <x v="2"/>
    <n v="0.2"/>
    <n v="74.2"/>
    <n v="371"/>
    <n v="296.8"/>
    <s v="Kelly"/>
    <n v="1750"/>
    <s v="Networking Strategy"/>
    <d v="2024-09-26T00:00:00"/>
    <n v="1"/>
    <s v="Delivered"/>
    <s v="NSW"/>
    <s v="96483 Park Avenue"/>
    <s v="Sydney"/>
    <n v="2000"/>
    <n v="250"/>
    <n v="250"/>
    <s v="+61 2 3463 1198"/>
  </r>
  <r>
    <n v="3519"/>
    <s v="Kramer"/>
    <s v="Xander Kramer"/>
    <s v="Xander"/>
    <n v="1751"/>
    <x v="1"/>
    <x v="213"/>
    <n v="3"/>
    <x v="2"/>
    <x v="7"/>
    <n v="0.3"/>
    <n v="400.2"/>
    <n v="1334"/>
    <n v="933.8"/>
    <s v="Priscilla"/>
    <n v="1751"/>
    <s v="Resume + LinkedIn Profile"/>
    <d v="2024-09-27T00:00:00"/>
    <n v="2"/>
    <s v="Service Booked"/>
    <s v="NT"/>
    <s v="96072 Park Avenue"/>
    <s v="Darwin"/>
    <n v="800"/>
    <n v="800"/>
    <n v="1600"/>
    <s v="+61 8 9078 7417"/>
  </r>
  <r>
    <n v="3520"/>
    <s v="Sandoval"/>
    <s v="Raelynn Sandoval"/>
    <s v="Raelynn"/>
    <n v="1752"/>
    <x v="4"/>
    <x v="184"/>
    <n v="3"/>
    <x v="2"/>
    <x v="7"/>
    <n v="0.25"/>
    <n v="82.25"/>
    <n v="329"/>
    <n v="246.75"/>
    <s v="Brian"/>
    <n v="1752"/>
    <s v="Mentoring program"/>
    <d v="2024-05-22T00:00:00"/>
    <n v="2"/>
    <s v="Service Booked"/>
    <s v="NT"/>
    <s v="12901 Park Avenue"/>
    <s v="Darwin"/>
    <n v="800"/>
    <n v="1200"/>
    <n v="2400"/>
    <s v="+61 7 1150 2105"/>
  </r>
  <r>
    <n v="3521"/>
    <s v="Hess"/>
    <s v="Ronin Hess"/>
    <s v="Ronin"/>
    <n v="1753"/>
    <x v="4"/>
    <x v="166"/>
    <n v="1"/>
    <x v="2"/>
    <x v="2"/>
    <n v="0.25"/>
    <n v="263.25"/>
    <n v="1053"/>
    <n v="789.75"/>
    <s v="Brian"/>
    <n v="1753"/>
    <s v="Mentoring program"/>
    <d v="2024-10-09T00:00:00"/>
    <n v="1"/>
    <s v="Service Booked"/>
    <s v="NSW"/>
    <s v="39844 Park Avenue"/>
    <s v="Sydney"/>
    <n v="2000"/>
    <n v="1200"/>
    <n v="1200"/>
    <s v="+61 3 1295 4323"/>
  </r>
  <r>
    <n v="3522"/>
    <s v="Gregory"/>
    <s v="Kairo Gregory"/>
    <s v="Kairo"/>
    <n v="1754"/>
    <x v="1"/>
    <x v="229"/>
    <n v="1"/>
    <x v="1"/>
    <x v="6"/>
    <n v="0.3"/>
    <n v="58.199999999999996"/>
    <n v="194"/>
    <n v="135.80000000000001"/>
    <s v="Priscilla"/>
    <n v="1754"/>
    <s v="Resume + LinkedIn Profile"/>
    <d v="2024-09-29T00:00:00"/>
    <n v="1"/>
    <s v="In Progress"/>
    <s v="TAS"/>
    <s v="22869 George Street"/>
    <s v="Launceston"/>
    <n v="7250"/>
    <n v="800"/>
    <n v="800"/>
    <s v="+61 3 4146 1838"/>
  </r>
  <r>
    <n v="3523"/>
    <s v="Randolph"/>
    <s v="Pablo Randolph"/>
    <s v="Pablo"/>
    <n v="1755"/>
    <x v="4"/>
    <x v="129"/>
    <n v="2"/>
    <x v="2"/>
    <x v="0"/>
    <n v="0.25"/>
    <n v="17.25"/>
    <n v="69"/>
    <n v="51.75"/>
    <s v="Kelly"/>
    <n v="1755"/>
    <s v="Mentoring program"/>
    <d v="2024-12-24T00:00:00"/>
    <n v="3"/>
    <s v="Service Booked"/>
    <s v="WA"/>
    <s v="9090 Main Street"/>
    <s v="Broome"/>
    <n v="6725"/>
    <n v="1200"/>
    <n v="3600"/>
    <s v="+61 9 8241 7773"/>
  </r>
  <r>
    <n v="3524"/>
    <s v="Kaur"/>
    <s v="Frederick Kaur"/>
    <s v="Frederick"/>
    <n v="1756"/>
    <x v="1"/>
    <x v="95"/>
    <n v="2"/>
    <x v="1"/>
    <x v="6"/>
    <n v="0.3"/>
    <n v="66"/>
    <n v="220"/>
    <n v="154"/>
    <s v="Kelly"/>
    <n v="1756"/>
    <s v="Resume + LinkedIn Profile"/>
    <d v="2024-05-26T00:00:00"/>
    <n v="2"/>
    <s v="In Progress"/>
    <s v="TAS"/>
    <s v="84542 George Street"/>
    <s v="Hobart"/>
    <n v="7000"/>
    <n v="800"/>
    <n v="1600"/>
    <s v="+61 8 1095 9989"/>
  </r>
  <r>
    <n v="3525"/>
    <s v="Skinner"/>
    <s v="William Skinner"/>
    <s v="William"/>
    <n v="1757"/>
    <x v="2"/>
    <x v="176"/>
    <n v="1"/>
    <x v="0"/>
    <x v="0"/>
    <n v="0.25"/>
    <n v="109"/>
    <n v="436"/>
    <n v="327"/>
    <s v="Daniel"/>
    <n v="1757"/>
    <s v="LinkedIn profile"/>
    <d v="2024-11-15T00:00:00"/>
    <n v="2"/>
    <s v="Delivered"/>
    <s v="WA"/>
    <s v="14754 George Street"/>
    <s v="Broome"/>
    <n v="6725"/>
    <n v="300"/>
    <n v="600"/>
    <s v="+61 7 4245 5379"/>
  </r>
  <r>
    <n v="3526"/>
    <s v="Bennett"/>
    <s v="Josue Bennett"/>
    <s v="Josue"/>
    <n v="1758"/>
    <x v="1"/>
    <x v="215"/>
    <n v="2"/>
    <x v="2"/>
    <x v="0"/>
    <n v="0.3"/>
    <n v="50.699999999999996"/>
    <n v="169"/>
    <n v="118.30000000000001"/>
    <s v="Daniel"/>
    <n v="1758"/>
    <s v="Resume + LinkedIn Profile"/>
    <d v="2024-08-21T00:00:00"/>
    <n v="2"/>
    <s v="Service Booked"/>
    <s v="WA"/>
    <s v="16418 Park Avenue"/>
    <s v="Perth"/>
    <n v="6000"/>
    <n v="800"/>
    <n v="1600"/>
    <s v="+61 3 2943 2215"/>
  </r>
  <r>
    <n v="3527"/>
    <s v="Carter"/>
    <s v="Brian Carter"/>
    <s v="Brian"/>
    <n v="1759"/>
    <x v="3"/>
    <x v="53"/>
    <n v="1"/>
    <x v="3"/>
    <x v="4"/>
    <n v="0.2"/>
    <n v="52.6"/>
    <n v="263"/>
    <n v="210.4"/>
    <s v="Priscilla"/>
    <n v="1759"/>
    <s v="Networking Strategy"/>
    <d v="2024-08-27T00:00:00"/>
    <n v="3"/>
    <s v="Cancelled"/>
    <s v="QLD"/>
    <s v="5205 Main Street"/>
    <s v="Brisbane"/>
    <n v="4000"/>
    <n v="250"/>
    <n v="750"/>
    <s v="+61 8 6445 1057"/>
  </r>
  <r>
    <n v="3528"/>
    <s v="Hamilton"/>
    <s v="Asher Hamilton"/>
    <s v="Asher"/>
    <n v="1760"/>
    <x v="3"/>
    <x v="287"/>
    <n v="1"/>
    <x v="3"/>
    <x v="7"/>
    <n v="0.2"/>
    <n v="153.4"/>
    <n v="767"/>
    <n v="613.6"/>
    <s v="Kelly"/>
    <n v="1760"/>
    <s v="Networking Strategy"/>
    <d v="2024-10-27T00:00:00"/>
    <n v="2"/>
    <s v="Cancelled"/>
    <s v="NT"/>
    <s v="92230 Elizabeth Street"/>
    <s v="Alice Springs"/>
    <n v="870"/>
    <n v="250"/>
    <n v="500"/>
    <s v="+61 5 6045 2889"/>
  </r>
  <r>
    <n v="3529"/>
    <s v="Velazquez"/>
    <s v="Dawson Velazquez"/>
    <s v="Dawson"/>
    <n v="1761"/>
    <x v="0"/>
    <x v="36"/>
    <n v="2"/>
    <x v="0"/>
    <x v="3"/>
    <n v="0.1"/>
    <n v="113.4"/>
    <n v="1134"/>
    <n v="1020.6"/>
    <s v="Daniel"/>
    <n v="1761"/>
    <s v="Interview Prep"/>
    <d v="2024-01-06T00:00:00"/>
    <n v="3"/>
    <s v="Delivered"/>
    <s v="VIC"/>
    <s v="4389 Main Street"/>
    <s v="Geelong"/>
    <n v="3220"/>
    <n v="250"/>
    <n v="750"/>
    <s v="+61 7 6762 5320"/>
  </r>
  <r>
    <n v="3530"/>
    <s v="Russell"/>
    <s v="Elle Russell"/>
    <s v="Elle"/>
    <n v="1762"/>
    <x v="4"/>
    <x v="288"/>
    <n v="1"/>
    <x v="0"/>
    <x v="4"/>
    <n v="0.25"/>
    <n v="83.5"/>
    <n v="334"/>
    <n v="250.5"/>
    <s v="Kelly"/>
    <n v="1762"/>
    <s v="Mentoring program"/>
    <d v="2024-01-04T00:00:00"/>
    <n v="3"/>
    <s v="Delivered"/>
    <s v="QLD"/>
    <s v="86925 Elizabeth Street"/>
    <s v="Gold Coast"/>
    <n v="4217"/>
    <n v="1200"/>
    <n v="3600"/>
    <s v="+61 8 5559 7932"/>
  </r>
  <r>
    <n v="3531"/>
    <s v="Case"/>
    <s v="Jeremiah Case"/>
    <s v="Jeremiah"/>
    <n v="1763"/>
    <x v="4"/>
    <x v="130"/>
    <n v="2"/>
    <x v="2"/>
    <x v="6"/>
    <n v="0.25"/>
    <n v="109.75"/>
    <n v="439"/>
    <n v="329.25"/>
    <s v="Kelly"/>
    <n v="1763"/>
    <s v="Mentoring program"/>
    <d v="2024-12-11T00:00:00"/>
    <n v="3"/>
    <s v="Service Booked"/>
    <s v="TAS"/>
    <s v="97324 King Street"/>
    <s v="Devonport"/>
    <n v="7310"/>
    <n v="1200"/>
    <n v="3600"/>
    <s v="+61 8 7802 4536"/>
  </r>
  <r>
    <n v="3532"/>
    <s v="Combs"/>
    <s v="Alison Combs"/>
    <s v="Alison"/>
    <n v="1764"/>
    <x v="2"/>
    <x v="150"/>
    <n v="1"/>
    <x v="2"/>
    <x v="4"/>
    <n v="0.25"/>
    <n v="319.5"/>
    <n v="1278"/>
    <n v="958.5"/>
    <s v="Priscilla"/>
    <n v="1764"/>
    <s v="LinkedIn profile"/>
    <d v="2024-04-03T00:00:00"/>
    <n v="1"/>
    <s v="Service Booked"/>
    <s v="QLD"/>
    <s v="76267 Main Street"/>
    <s v="Brisbane"/>
    <n v="4000"/>
    <n v="300"/>
    <n v="300"/>
    <s v="+61 6 6114 9971"/>
  </r>
  <r>
    <n v="3533"/>
    <s v="Medina"/>
    <s v="Cooper Medina"/>
    <s v="Cooper"/>
    <n v="1765"/>
    <x v="2"/>
    <x v="261"/>
    <n v="1"/>
    <x v="2"/>
    <x v="4"/>
    <n v="0.25"/>
    <n v="101.75"/>
    <n v="407"/>
    <n v="305.25"/>
    <s v="Priscilla"/>
    <n v="1765"/>
    <s v="LinkedIn profile"/>
    <d v="2024-08-24T00:00:00"/>
    <n v="1"/>
    <s v="Service Booked"/>
    <s v="QLD"/>
    <s v="62196 Main Street"/>
    <s v="Cairns"/>
    <n v="4870"/>
    <n v="300"/>
    <n v="300"/>
    <s v="+61 7 5785 7892"/>
  </r>
  <r>
    <n v="3534"/>
    <s v="Jimenez"/>
    <s v="Kamila Jimenez"/>
    <s v="Kamila"/>
    <n v="1766"/>
    <x v="0"/>
    <x v="289"/>
    <n v="1"/>
    <x v="2"/>
    <x v="1"/>
    <n v="0.1"/>
    <n v="68.3"/>
    <n v="683"/>
    <n v="614.70000000000005"/>
    <s v="Kelly"/>
    <n v="1766"/>
    <s v="Interview Prep"/>
    <d v="2024-01-03T00:00:00"/>
    <n v="3"/>
    <s v="Service Booked"/>
    <s v="ACT"/>
    <s v="26641 Elizabeth Street"/>
    <s v="Canberra"/>
    <n v="2600"/>
    <n v="250"/>
    <n v="750"/>
    <s v="+61 4 2597 9081"/>
  </r>
  <r>
    <n v="3535"/>
    <s v="Sexton"/>
    <s v="Penelope Sexton"/>
    <s v="Penelope"/>
    <n v="1767"/>
    <x v="4"/>
    <x v="50"/>
    <n v="2"/>
    <x v="2"/>
    <x v="7"/>
    <n v="0.25"/>
    <n v="102.75"/>
    <n v="411"/>
    <n v="308.25"/>
    <s v="Kelly"/>
    <n v="1767"/>
    <s v="Mentoring program"/>
    <d v="2024-02-02T00:00:00"/>
    <n v="2"/>
    <s v="Service Booked"/>
    <s v="NT"/>
    <s v="15364 King Street"/>
    <s v="Darwin"/>
    <n v="800"/>
    <n v="1200"/>
    <n v="2400"/>
    <s v="+61 6 8697 3773"/>
  </r>
  <r>
    <n v="3536"/>
    <s v="Singh"/>
    <s v="Asa Singh"/>
    <s v="Asa"/>
    <n v="1768"/>
    <x v="4"/>
    <x v="260"/>
    <n v="2"/>
    <x v="0"/>
    <x v="0"/>
    <n v="0.25"/>
    <n v="239.5"/>
    <n v="958"/>
    <n v="718.5"/>
    <s v="Kelly"/>
    <n v="1768"/>
    <s v="Mentoring program"/>
    <d v="2024-02-06T00:00:00"/>
    <n v="2"/>
    <s v="Delivered"/>
    <s v="WA"/>
    <s v="50059 Park Avenue"/>
    <s v="Fremantle"/>
    <n v="6160"/>
    <n v="1200"/>
    <n v="2400"/>
    <s v="+61 7 6840 7098"/>
  </r>
  <r>
    <n v="3537"/>
    <s v="Valentine"/>
    <s v="Koda Valentine"/>
    <s v="Koda"/>
    <n v="1769"/>
    <x v="5"/>
    <x v="110"/>
    <n v="2"/>
    <x v="0"/>
    <x v="7"/>
    <n v="0.3"/>
    <n v="162.9"/>
    <n v="543"/>
    <n v="380.1"/>
    <s v="Terrence"/>
    <n v="1769"/>
    <s v="Resume (service fee)"/>
    <d v="2024-03-14T00:00:00"/>
    <n v="3"/>
    <s v="Delivered"/>
    <s v="NT"/>
    <s v="27919 Elizabeth Street"/>
    <s v="Alice Springs"/>
    <n v="870"/>
    <n v="600"/>
    <n v="1800"/>
    <s v="+61 8 2343 4356"/>
  </r>
  <r>
    <n v="3538"/>
    <s v="Chang"/>
    <s v="Esmeralda Chang"/>
    <s v="Esmeralda"/>
    <n v="1770"/>
    <x v="5"/>
    <x v="274"/>
    <n v="3"/>
    <x v="2"/>
    <x v="1"/>
    <n v="0.3"/>
    <n v="171.9"/>
    <n v="573"/>
    <n v="401.1"/>
    <s v="Daniel"/>
    <n v="1770"/>
    <s v="Resume (service fee)"/>
    <d v="2024-11-21T00:00:00"/>
    <n v="2"/>
    <s v="Service Booked"/>
    <s v="ACT"/>
    <s v="66209 George Street"/>
    <s v="Canberra"/>
    <n v="2600"/>
    <n v="600"/>
    <n v="1200"/>
    <s v="+61 5 9558 8299"/>
  </r>
  <r>
    <n v="3539"/>
    <s v="Crosby"/>
    <s v="Alayna Crosby"/>
    <s v="Alayna"/>
    <n v="1771"/>
    <x v="1"/>
    <x v="36"/>
    <n v="1"/>
    <x v="2"/>
    <x v="3"/>
    <n v="0.3"/>
    <n v="345.3"/>
    <n v="1151"/>
    <n v="805.7"/>
    <s v="Priscilla"/>
    <n v="1771"/>
    <s v="Resume + LinkedIn Profile"/>
    <d v="2024-01-06T00:00:00"/>
    <n v="1"/>
    <s v="Service Booked"/>
    <s v="VIC"/>
    <s v="70394 George Street"/>
    <s v="Geelong"/>
    <n v="3220"/>
    <n v="800"/>
    <n v="800"/>
    <s v="+61 5 7489 1743"/>
  </r>
  <r>
    <n v="3540"/>
    <s v="Herrera"/>
    <s v="Collins Herrera"/>
    <s v="Collins"/>
    <n v="1772"/>
    <x v="0"/>
    <x v="3"/>
    <n v="1"/>
    <x v="2"/>
    <x v="7"/>
    <n v="0.1"/>
    <n v="19.900000000000002"/>
    <n v="199"/>
    <n v="179.1"/>
    <s v="Daniel"/>
    <n v="1772"/>
    <s v="Interview Prep"/>
    <d v="2024-06-26T00:00:00"/>
    <n v="2"/>
    <s v="Service Booked"/>
    <s v="NT"/>
    <s v="16153 George Street"/>
    <s v="Darwin"/>
    <n v="800"/>
    <n v="250"/>
    <n v="500"/>
    <s v="+61 3 9666 8432"/>
  </r>
  <r>
    <n v="3541"/>
    <s v="Orozco"/>
    <s v="Judah Orozco"/>
    <s v="Judah"/>
    <n v="1773"/>
    <x v="2"/>
    <x v="205"/>
    <n v="2"/>
    <x v="3"/>
    <x v="2"/>
    <n v="0.25"/>
    <n v="373.75"/>
    <n v="1495"/>
    <n v="1121.25"/>
    <s v="Terrence"/>
    <n v="1773"/>
    <s v="LinkedIn profile"/>
    <d v="2024-02-03T00:00:00"/>
    <n v="2"/>
    <s v="Cancelled"/>
    <s v="NSW"/>
    <s v="16202 Elizabeth Street"/>
    <s v="Wollongong"/>
    <n v="2500"/>
    <n v="300"/>
    <n v="600"/>
    <s v="+61 5 6231 8063"/>
  </r>
  <r>
    <n v="3542"/>
    <s v="Hahn"/>
    <s v="Koda Hahn"/>
    <s v="Koda"/>
    <n v="1774"/>
    <x v="3"/>
    <x v="290"/>
    <n v="2"/>
    <x v="2"/>
    <x v="6"/>
    <n v="0.2"/>
    <n v="117.80000000000001"/>
    <n v="589"/>
    <n v="471.2"/>
    <s v="Kelly"/>
    <n v="1774"/>
    <s v="Networking Strategy"/>
    <d v="2024-03-07T00:00:00"/>
    <n v="3"/>
    <s v="Service Booked"/>
    <s v="TAS"/>
    <s v="90513 George Street"/>
    <s v="Launceston"/>
    <n v="7250"/>
    <n v="250"/>
    <n v="750"/>
    <s v="+61 7 9356 6381"/>
  </r>
  <r>
    <n v="3543"/>
    <s v="Haley"/>
    <s v="Haisley Haley"/>
    <s v="Haisley"/>
    <n v="1775"/>
    <x v="4"/>
    <x v="269"/>
    <n v="3"/>
    <x v="0"/>
    <x v="1"/>
    <n v="0.25"/>
    <n v="34.25"/>
    <n v="137"/>
    <n v="102.75"/>
    <s v="Terrence"/>
    <n v="1775"/>
    <s v="Mentoring program"/>
    <d v="2024-07-24T00:00:00"/>
    <n v="3"/>
    <s v="Delivered"/>
    <s v="ACT"/>
    <s v="86651 George Street"/>
    <s v="Canberra"/>
    <n v="2600"/>
    <n v="1200"/>
    <n v="3600"/>
    <s v="+61 2 5197 3330"/>
  </r>
  <r>
    <n v="3544"/>
    <s v="Stephens"/>
    <s v="Taylor Stephens"/>
    <s v="Taylor"/>
    <n v="1776"/>
    <x v="1"/>
    <x v="54"/>
    <n v="1"/>
    <x v="1"/>
    <x v="1"/>
    <n v="0.3"/>
    <n v="345.3"/>
    <n v="1151"/>
    <n v="805.7"/>
    <s v="Daniel"/>
    <n v="1776"/>
    <s v="Resume + LinkedIn Profile"/>
    <d v="2024-10-24T00:00:00"/>
    <n v="3"/>
    <s v="In Progress"/>
    <s v="ACT"/>
    <s v="69667 Park Avenue"/>
    <s v="Canberra"/>
    <n v="2600"/>
    <n v="800"/>
    <n v="2400"/>
    <s v="+61 3 6565 8944"/>
  </r>
  <r>
    <n v="3545"/>
    <s v="Odom"/>
    <s v="Addison Odom"/>
    <s v="Addison"/>
    <n v="1777"/>
    <x v="5"/>
    <x v="291"/>
    <n v="3"/>
    <x v="1"/>
    <x v="2"/>
    <n v="0.3"/>
    <n v="331.8"/>
    <n v="1106"/>
    <n v="774.2"/>
    <s v="Terrence"/>
    <n v="1777"/>
    <s v="Resume (service fee)"/>
    <d v="2024-06-20T00:00:00"/>
    <n v="1"/>
    <s v="In Progress"/>
    <s v="NSW"/>
    <s v="81705 King Street"/>
    <s v="Wollongong"/>
    <n v="2500"/>
    <n v="600"/>
    <n v="600"/>
    <s v="+61 6 2007 5450"/>
  </r>
  <r>
    <n v="3546"/>
    <s v="Delacruz"/>
    <s v="Zayne Delacruz"/>
    <s v="Zayne"/>
    <n v="1778"/>
    <x v="1"/>
    <x v="118"/>
    <n v="1"/>
    <x v="0"/>
    <x v="4"/>
    <n v="0.3"/>
    <n v="479.7"/>
    <n v="1599"/>
    <n v="1119.3"/>
    <s v="Priscilla"/>
    <n v="1778"/>
    <s v="Resume + LinkedIn Profile"/>
    <d v="2024-01-01T00:00:00"/>
    <n v="3"/>
    <s v="Delivered"/>
    <s v="QLD"/>
    <s v="20166 Park Avenue"/>
    <s v="Brisbane"/>
    <n v="4000"/>
    <n v="800"/>
    <n v="2400"/>
    <s v="+61 7 4900 3276"/>
  </r>
  <r>
    <n v="3547"/>
    <s v="Alvarez"/>
    <s v="Seth Alvarez"/>
    <s v="Seth"/>
    <n v="1779"/>
    <x v="4"/>
    <x v="2"/>
    <n v="2"/>
    <x v="0"/>
    <x v="1"/>
    <n v="0.25"/>
    <n v="347.75"/>
    <n v="1391"/>
    <n v="1043.25"/>
    <s v="Terrence"/>
    <n v="1779"/>
    <s v="Mentoring program"/>
    <d v="2024-07-14T00:00:00"/>
    <n v="2"/>
    <s v="Delivered"/>
    <s v="ACT"/>
    <s v="96315 Main Street"/>
    <s v="Canberra"/>
    <n v="2600"/>
    <n v="1200"/>
    <n v="2400"/>
    <s v="+61 4 4517 3075"/>
  </r>
  <r>
    <n v="3548"/>
    <s v="Gross"/>
    <s v="Gianna Gross"/>
    <s v="Gianna"/>
    <n v="1780"/>
    <x v="0"/>
    <x v="48"/>
    <n v="3"/>
    <x v="2"/>
    <x v="7"/>
    <n v="0.1"/>
    <n v="94.5"/>
    <n v="945"/>
    <n v="850.5"/>
    <s v="Daniel"/>
    <n v="1780"/>
    <s v="Interview Prep"/>
    <d v="2024-02-18T00:00:00"/>
    <n v="2"/>
    <s v="Service Booked"/>
    <s v="NT"/>
    <s v="52675 George Street"/>
    <s v="Alice Springs"/>
    <n v="870"/>
    <n v="250"/>
    <n v="500"/>
    <s v="+61 4 7249 6195"/>
  </r>
  <r>
    <n v="3549"/>
    <s v="Pitts"/>
    <s v="Isaiah Pitts"/>
    <s v="Isaiah"/>
    <n v="1781"/>
    <x v="2"/>
    <x v="66"/>
    <n v="1"/>
    <x v="3"/>
    <x v="2"/>
    <n v="0.25"/>
    <n v="439.5"/>
    <n v="1758"/>
    <n v="1318.5"/>
    <s v="Kelly"/>
    <n v="1781"/>
    <s v="LinkedIn profile"/>
    <d v="2024-03-03T00:00:00"/>
    <n v="1"/>
    <s v="Cancelled"/>
    <s v="NSW"/>
    <s v="14387 George Street"/>
    <s v="Sydney"/>
    <n v="2000"/>
    <n v="300"/>
    <n v="300"/>
    <s v="+61 9 8525 7981"/>
  </r>
  <r>
    <n v="3550"/>
    <s v="Pearson"/>
    <s v="Isabella Pearson"/>
    <s v="Isabella"/>
    <n v="1782"/>
    <x v="3"/>
    <x v="255"/>
    <n v="2"/>
    <x v="2"/>
    <x v="5"/>
    <n v="0.2"/>
    <n v="115"/>
    <n v="575"/>
    <n v="460"/>
    <s v="Priscilla"/>
    <n v="1782"/>
    <s v="Networking Strategy"/>
    <d v="2024-03-01T00:00:00"/>
    <n v="2"/>
    <s v="Service Booked"/>
    <s v="SA"/>
    <s v="34467 King Street"/>
    <s v="Mount Gambier"/>
    <n v="5290"/>
    <n v="250"/>
    <n v="500"/>
    <s v="+61 6 2983 8302"/>
  </r>
  <r>
    <n v="3551"/>
    <s v="Ellis"/>
    <s v="Bo Ellis"/>
    <s v="Bo"/>
    <n v="1783"/>
    <x v="2"/>
    <x v="99"/>
    <n v="2"/>
    <x v="2"/>
    <x v="4"/>
    <n v="0.25"/>
    <n v="306.5"/>
    <n v="1226"/>
    <n v="919.5"/>
    <s v="Terrence"/>
    <n v="1783"/>
    <s v="LinkedIn profile"/>
    <d v="2024-07-20T00:00:00"/>
    <n v="3"/>
    <s v="Service Booked"/>
    <s v="QLD"/>
    <s v="59332 Park Avenue"/>
    <s v="Cairns"/>
    <n v="4870"/>
    <n v="300"/>
    <n v="900"/>
    <s v="+61 7 2302 6702"/>
  </r>
  <r>
    <n v="3552"/>
    <s v="Little"/>
    <s v="Adan Little"/>
    <s v="Adan"/>
    <n v="1784"/>
    <x v="3"/>
    <x v="101"/>
    <n v="1"/>
    <x v="2"/>
    <x v="5"/>
    <n v="0.2"/>
    <n v="86.600000000000009"/>
    <n v="433"/>
    <n v="346.4"/>
    <s v="Brian"/>
    <n v="1784"/>
    <s v="Networking Strategy"/>
    <d v="2024-07-17T00:00:00"/>
    <n v="2"/>
    <s v="Service Booked"/>
    <s v="SA"/>
    <s v="68575 Elizabeth Street"/>
    <s v="Whyalla"/>
    <n v="5600"/>
    <n v="250"/>
    <n v="500"/>
    <s v="+61 7 3314 8880"/>
  </r>
  <r>
    <n v="3553"/>
    <s v="Townsend"/>
    <s v="Baker Townsend"/>
    <s v="Baker"/>
    <n v="1785"/>
    <x v="5"/>
    <x v="292"/>
    <n v="1"/>
    <x v="3"/>
    <x v="2"/>
    <n v="0.3"/>
    <n v="299.09999999999997"/>
    <n v="997"/>
    <n v="697.90000000000009"/>
    <s v="Kelly"/>
    <n v="1785"/>
    <s v="Resume (service fee)"/>
    <d v="2024-04-12T00:00:00"/>
    <n v="1"/>
    <s v="Cancelled"/>
    <s v="NSW"/>
    <s v="2823 King Street"/>
    <s v="Newcastle"/>
    <n v="2300"/>
    <n v="600"/>
    <n v="600"/>
    <s v="+61 8 3461 2672"/>
  </r>
  <r>
    <n v="3554"/>
    <s v="Travis"/>
    <s v="Micah Travis"/>
    <s v="Micah"/>
    <n v="1786"/>
    <x v="1"/>
    <x v="177"/>
    <n v="2"/>
    <x v="2"/>
    <x v="6"/>
    <n v="0.3"/>
    <n v="440.7"/>
    <n v="1469"/>
    <n v="1028.3"/>
    <s v="Terrence"/>
    <n v="1786"/>
    <s v="Resume + LinkedIn Profile"/>
    <d v="2024-09-19T00:00:00"/>
    <n v="3"/>
    <s v="Service Booked"/>
    <s v="TAS"/>
    <s v="42805 Elizabeth Street"/>
    <s v="Hobart"/>
    <n v="7000"/>
    <n v="800"/>
    <n v="2400"/>
    <s v="+61 2 7827 7190"/>
  </r>
  <r>
    <n v="3555"/>
    <s v="Frazier"/>
    <s v="Atticus Frazier"/>
    <s v="Atticus"/>
    <n v="1787"/>
    <x v="2"/>
    <x v="272"/>
    <n v="1"/>
    <x v="0"/>
    <x v="2"/>
    <n v="0.25"/>
    <n v="411"/>
    <n v="1644"/>
    <n v="1233"/>
    <s v="Brian"/>
    <n v="1787"/>
    <s v="LinkedIn profile"/>
    <d v="2024-02-01T00:00:00"/>
    <n v="1"/>
    <s v="Delivered"/>
    <s v="NSW"/>
    <s v="40519 Elizabeth Street"/>
    <s v="Newcastle"/>
    <n v="2300"/>
    <n v="300"/>
    <n v="300"/>
    <s v="+61 7 5334 9747"/>
  </r>
  <r>
    <n v="3556"/>
    <s v="Rowland"/>
    <s v="Gavin Rowland"/>
    <s v="Gavin"/>
    <n v="1788"/>
    <x v="4"/>
    <x v="178"/>
    <n v="1"/>
    <x v="0"/>
    <x v="0"/>
    <n v="0.25"/>
    <n v="85"/>
    <n v="340"/>
    <n v="255"/>
    <s v="Terrence"/>
    <n v="1788"/>
    <s v="Mentoring program"/>
    <d v="2024-12-05T00:00:00"/>
    <n v="2"/>
    <s v="Delivered"/>
    <s v="WA"/>
    <s v="48283 King Street"/>
    <s v="Perth"/>
    <n v="6000"/>
    <n v="1200"/>
    <n v="2400"/>
    <s v="+61 8 2524 3784"/>
  </r>
  <r>
    <n v="3557"/>
    <s v="Wheeler"/>
    <s v="Sullivan Wheeler"/>
    <s v="Sullivan"/>
    <n v="1789"/>
    <x v="3"/>
    <x v="263"/>
    <n v="1"/>
    <x v="0"/>
    <x v="5"/>
    <n v="0.2"/>
    <n v="319"/>
    <n v="1595"/>
    <n v="1276"/>
    <s v="Priscilla"/>
    <n v="1789"/>
    <s v="Networking Strategy"/>
    <d v="2024-02-13T00:00:00"/>
    <n v="1"/>
    <s v="Delivered"/>
    <s v="SA"/>
    <s v="96462 King Street"/>
    <s v="Mount Gambier"/>
    <n v="5290"/>
    <n v="250"/>
    <n v="250"/>
    <s v="+61 2 2049 7163"/>
  </r>
  <r>
    <n v="3558"/>
    <s v="Kline"/>
    <s v="Emmett Kline"/>
    <s v="Emmett"/>
    <n v="1790"/>
    <x v="2"/>
    <x v="185"/>
    <n v="2"/>
    <x v="2"/>
    <x v="3"/>
    <n v="0.25"/>
    <n v="230"/>
    <n v="920"/>
    <n v="690"/>
    <s v="Kelly"/>
    <n v="1790"/>
    <s v="LinkedIn profile"/>
    <d v="2024-05-16T00:00:00"/>
    <n v="3"/>
    <s v="Service Booked"/>
    <s v="VIC"/>
    <s v="14206 Park Avenue"/>
    <s v="Ballarat"/>
    <n v="3350"/>
    <n v="300"/>
    <n v="900"/>
    <s v="+61 2 9680 1909"/>
  </r>
  <r>
    <n v="3559"/>
    <s v="Padilla"/>
    <s v="Raymond Padilla"/>
    <s v="Raymond"/>
    <n v="1791"/>
    <x v="3"/>
    <x v="98"/>
    <n v="3"/>
    <x v="2"/>
    <x v="7"/>
    <n v="0.2"/>
    <n v="137"/>
    <n v="685"/>
    <n v="548"/>
    <s v="Daniel"/>
    <n v="1791"/>
    <s v="Networking Strategy"/>
    <d v="2024-12-25T00:00:00"/>
    <n v="3"/>
    <s v="Service Booked"/>
    <s v="NT"/>
    <s v="87439 King Street"/>
    <s v="Darwin"/>
    <n v="800"/>
    <n v="250"/>
    <n v="750"/>
    <s v="+61 6 4139 5719"/>
  </r>
  <r>
    <n v="3560"/>
    <s v="Sims"/>
    <s v="Selena Sims"/>
    <s v="Selena"/>
    <n v="1792"/>
    <x v="2"/>
    <x v="293"/>
    <n v="1"/>
    <x v="0"/>
    <x v="1"/>
    <n v="0.25"/>
    <n v="170"/>
    <n v="680"/>
    <n v="510"/>
    <s v="Kelly"/>
    <n v="1792"/>
    <s v="LinkedIn profile"/>
    <d v="2024-01-24T00:00:00"/>
    <n v="1"/>
    <s v="Delivered"/>
    <s v="ACT"/>
    <s v="68775 Park Avenue"/>
    <s v="Canberra"/>
    <n v="2600"/>
    <n v="300"/>
    <n v="300"/>
    <s v="+61 8 5045 2277"/>
  </r>
  <r>
    <n v="3561"/>
    <s v="Palacios"/>
    <s v="Luna Palacios"/>
    <s v="Luna"/>
    <n v="1793"/>
    <x v="5"/>
    <x v="294"/>
    <n v="1"/>
    <x v="2"/>
    <x v="4"/>
    <n v="0.3"/>
    <n v="463.2"/>
    <n v="1544"/>
    <n v="1080.8"/>
    <s v="Daniel"/>
    <n v="1793"/>
    <s v="Resume (service fee)"/>
    <d v="2024-07-05T00:00:00"/>
    <n v="3"/>
    <s v="Service Booked"/>
    <s v="QLD"/>
    <s v="48911 Park Avenue"/>
    <s v="Brisbane"/>
    <n v="4000"/>
    <n v="600"/>
    <n v="1800"/>
    <s v="+61 4 9279 3090"/>
  </r>
  <r>
    <n v="3562"/>
    <s v="Hall"/>
    <s v="Fernando Hall"/>
    <s v="Fernando"/>
    <n v="1794"/>
    <x v="0"/>
    <x v="214"/>
    <n v="3"/>
    <x v="0"/>
    <x v="3"/>
    <n v="0.1"/>
    <n v="170.8"/>
    <n v="1708"/>
    <n v="1537.2"/>
    <s v="Terrence"/>
    <n v="1794"/>
    <s v="Interview Prep"/>
    <d v="2024-04-19T00:00:00"/>
    <n v="3"/>
    <s v="Delivered"/>
    <s v="VIC"/>
    <s v="47173 Elizabeth Street"/>
    <s v="Ballarat"/>
    <n v="3350"/>
    <n v="250"/>
    <n v="750"/>
    <s v="+61 6 7328 6468"/>
  </r>
  <r>
    <n v="3563"/>
    <s v="Barron"/>
    <s v="Rhys Barron"/>
    <s v="Rhys"/>
    <n v="1795"/>
    <x v="5"/>
    <x v="295"/>
    <n v="1"/>
    <x v="0"/>
    <x v="2"/>
    <n v="0.3"/>
    <n v="309"/>
    <n v="1030"/>
    <n v="721"/>
    <s v="Brian"/>
    <n v="1795"/>
    <s v="Resume (service fee)"/>
    <d v="2024-05-21T00:00:00"/>
    <n v="1"/>
    <s v="Delivered"/>
    <s v="NSW"/>
    <s v="88140 George Street"/>
    <s v="Sydney"/>
    <n v="2000"/>
    <n v="600"/>
    <n v="600"/>
    <s v="+61 9 3326 1390"/>
  </r>
  <r>
    <n v="3564"/>
    <s v="Rocha"/>
    <s v="Alicia Rocha"/>
    <s v="Alicia"/>
    <n v="1796"/>
    <x v="4"/>
    <x v="48"/>
    <n v="2"/>
    <x v="0"/>
    <x v="5"/>
    <n v="0.25"/>
    <n v="348.5"/>
    <n v="1394"/>
    <n v="1045.5"/>
    <s v="Priscilla"/>
    <n v="1796"/>
    <s v="Mentoring program"/>
    <d v="2024-02-18T00:00:00"/>
    <n v="3"/>
    <s v="Delivered"/>
    <s v="SA"/>
    <s v="56256 Park Avenue"/>
    <s v="Mount Gambier"/>
    <n v="5290"/>
    <n v="1200"/>
    <n v="3600"/>
    <s v="+61 6 7459 1858"/>
  </r>
  <r>
    <n v="3565"/>
    <s v="O’Connell"/>
    <s v="Amir O’Connell"/>
    <s v="Amir"/>
    <n v="1797"/>
    <x v="1"/>
    <x v="197"/>
    <n v="2"/>
    <x v="3"/>
    <x v="3"/>
    <n v="0.3"/>
    <n v="99.3"/>
    <n v="331"/>
    <n v="231.7"/>
    <s v="Daniel"/>
    <n v="1797"/>
    <s v="Resume + LinkedIn Profile"/>
    <d v="2024-11-10T00:00:00"/>
    <n v="2"/>
    <s v="Cancelled"/>
    <s v="VIC"/>
    <s v="39697 Main Street"/>
    <s v="Melbourne"/>
    <n v="3000"/>
    <n v="800"/>
    <n v="1600"/>
    <s v="+61 4 4940 4497"/>
  </r>
  <r>
    <n v="3566"/>
    <s v="Buck"/>
    <s v="Evelynn Buck"/>
    <s v="Evelynn"/>
    <n v="1798"/>
    <x v="1"/>
    <x v="278"/>
    <n v="3"/>
    <x v="0"/>
    <x v="0"/>
    <n v="0.3"/>
    <n v="558.6"/>
    <n v="1862"/>
    <n v="1303.4000000000001"/>
    <s v="Daniel"/>
    <n v="1798"/>
    <s v="Resume + LinkedIn Profile"/>
    <d v="2024-09-14T00:00:00"/>
    <n v="1"/>
    <s v="Delivered"/>
    <s v="WA"/>
    <s v="89491 Main Street"/>
    <s v="Broome"/>
    <n v="6725"/>
    <n v="800"/>
    <n v="800"/>
    <s v="+61 8 1700 5517"/>
  </r>
  <r>
    <n v="3567"/>
    <s v="Carroll"/>
    <s v="Braxton Carroll"/>
    <s v="Braxton"/>
    <n v="1799"/>
    <x v="3"/>
    <x v="272"/>
    <n v="3"/>
    <x v="2"/>
    <x v="3"/>
    <n v="0.2"/>
    <n v="177.20000000000002"/>
    <n v="886"/>
    <n v="708.8"/>
    <s v="Kelly"/>
    <n v="1799"/>
    <s v="Networking Strategy"/>
    <d v="2024-02-01T00:00:00"/>
    <n v="1"/>
    <s v="Service Booked"/>
    <s v="VIC"/>
    <s v="76344 Main Street"/>
    <s v="Melbourne"/>
    <n v="3000"/>
    <n v="250"/>
    <n v="250"/>
    <s v="+61 3 1855 9399"/>
  </r>
  <r>
    <n v="3568"/>
    <s v="Reyna"/>
    <s v="Greyson Reyna"/>
    <s v="Greyson"/>
    <n v="1800"/>
    <x v="4"/>
    <x v="67"/>
    <n v="2"/>
    <x v="0"/>
    <x v="1"/>
    <n v="0.25"/>
    <n v="419.25"/>
    <n v="1677"/>
    <n v="1257.75"/>
    <s v="Kelly"/>
    <n v="1800"/>
    <s v="Mentoring program"/>
    <d v="2024-07-02T00:00:00"/>
    <n v="2"/>
    <s v="Delivered"/>
    <s v="ACT"/>
    <s v="82760 George Street"/>
    <s v="Canberra"/>
    <n v="2600"/>
    <n v="1200"/>
    <n v="2400"/>
    <s v="+61 2 2756 5034"/>
  </r>
  <r>
    <n v="3569"/>
    <s v="Snow"/>
    <s v="Xiomara Snow"/>
    <s v="Xiomara"/>
    <n v="1801"/>
    <x v="2"/>
    <x v="147"/>
    <n v="1"/>
    <x v="0"/>
    <x v="3"/>
    <n v="0.25"/>
    <n v="396.5"/>
    <n v="1586"/>
    <n v="1189.5"/>
    <s v="Brian"/>
    <n v="1801"/>
    <s v="LinkedIn profile"/>
    <d v="2024-09-17T00:00:00"/>
    <n v="3"/>
    <s v="Delivered"/>
    <s v="VIC"/>
    <s v="39447 Park Avenue"/>
    <s v="Geelong"/>
    <n v="3220"/>
    <n v="300"/>
    <n v="900"/>
    <s v="+61 2 3121 4194"/>
  </r>
  <r>
    <n v="3570"/>
    <s v="Elliott"/>
    <s v="Stevie Elliott"/>
    <s v="Stevie"/>
    <n v="1802"/>
    <x v="3"/>
    <x v="121"/>
    <n v="2"/>
    <x v="0"/>
    <x v="7"/>
    <n v="0.2"/>
    <n v="98"/>
    <n v="490"/>
    <n v="392"/>
    <s v="Brian"/>
    <n v="1802"/>
    <s v="Networking Strategy"/>
    <d v="2024-09-11T00:00:00"/>
    <n v="2"/>
    <s v="Delivered"/>
    <s v="NT"/>
    <s v="33952 King Street"/>
    <s v="Alice Springs"/>
    <n v="870"/>
    <n v="250"/>
    <n v="500"/>
    <s v="+61 4 2327 5154"/>
  </r>
  <r>
    <n v="3571"/>
    <s v="White"/>
    <s v="Lila White"/>
    <s v="Lila"/>
    <n v="1803"/>
    <x v="4"/>
    <x v="218"/>
    <n v="2"/>
    <x v="2"/>
    <x v="2"/>
    <n v="0.25"/>
    <n v="56.5"/>
    <n v="226"/>
    <n v="169.5"/>
    <s v="Brian"/>
    <n v="1803"/>
    <s v="Mentoring program"/>
    <d v="2024-03-22T00:00:00"/>
    <n v="3"/>
    <s v="Service Booked"/>
    <s v="NSW"/>
    <s v="52887 Elizabeth Street"/>
    <s v="Wollongong"/>
    <n v="2500"/>
    <n v="1200"/>
    <n v="3600"/>
    <s v="+61 7 4934 5320"/>
  </r>
  <r>
    <n v="3572"/>
    <s v="Gross"/>
    <s v="Theo Gross"/>
    <s v="Theo"/>
    <n v="1804"/>
    <x v="4"/>
    <x v="276"/>
    <n v="2"/>
    <x v="2"/>
    <x v="0"/>
    <n v="0.25"/>
    <n v="120"/>
    <n v="480"/>
    <n v="360"/>
    <s v="Priscilla"/>
    <n v="1804"/>
    <s v="Mentoring program"/>
    <d v="2024-10-04T00:00:00"/>
    <n v="3"/>
    <s v="Service Booked"/>
    <s v="WA"/>
    <s v="78322 Elizabeth Street"/>
    <s v="Fremantle"/>
    <n v="6160"/>
    <n v="1200"/>
    <n v="3600"/>
    <s v="+61 9 5248 5166"/>
  </r>
  <r>
    <n v="3573"/>
    <s v="Maynard"/>
    <s v="Shiloh Maynard"/>
    <s v="Shiloh"/>
    <n v="1805"/>
    <x v="1"/>
    <x v="296"/>
    <n v="2"/>
    <x v="3"/>
    <x v="6"/>
    <n v="0.3"/>
    <n v="390.9"/>
    <n v="1303"/>
    <n v="912.1"/>
    <s v="Brian"/>
    <n v="1805"/>
    <s v="Resume + LinkedIn Profile"/>
    <d v="2024-04-02T00:00:00"/>
    <n v="3"/>
    <s v="Cancelled"/>
    <s v="TAS"/>
    <s v="36870 King Street"/>
    <s v="Devonport"/>
    <n v="7310"/>
    <n v="800"/>
    <n v="2400"/>
    <s v="+61 9 8947 5077"/>
  </r>
  <r>
    <n v="3574"/>
    <s v="Mayer"/>
    <s v="Steven Mayer"/>
    <s v="Steven"/>
    <n v="1806"/>
    <x v="2"/>
    <x v="20"/>
    <n v="3"/>
    <x v="2"/>
    <x v="1"/>
    <n v="0.25"/>
    <n v="304.75"/>
    <n v="1219"/>
    <n v="914.25"/>
    <s v="Priscilla"/>
    <n v="1806"/>
    <s v="LinkedIn profile"/>
    <d v="2024-11-19T00:00:00"/>
    <n v="3"/>
    <s v="Service Booked"/>
    <s v="ACT"/>
    <s v="32220 Elizabeth Street"/>
    <s v="Canberra"/>
    <n v="2600"/>
    <n v="300"/>
    <n v="900"/>
    <s v="+61 4 3808 7633"/>
  </r>
  <r>
    <n v="3575"/>
    <s v="Ponce"/>
    <s v="Nadia Ponce"/>
    <s v="Nadia"/>
    <n v="1807"/>
    <x v="3"/>
    <x v="287"/>
    <n v="1"/>
    <x v="1"/>
    <x v="3"/>
    <n v="0.2"/>
    <n v="185.8"/>
    <n v="929"/>
    <n v="743.2"/>
    <s v="Priscilla"/>
    <n v="1807"/>
    <s v="Networking Strategy"/>
    <d v="2024-10-27T00:00:00"/>
    <n v="3"/>
    <s v="In Progress"/>
    <s v="VIC"/>
    <s v="48828 King Street"/>
    <s v="Ballarat"/>
    <n v="3350"/>
    <n v="250"/>
    <n v="750"/>
    <s v="+61 5 8150 2211"/>
  </r>
  <r>
    <n v="3576"/>
    <s v="Greer"/>
    <s v="Hayden Greer"/>
    <s v="Hayden"/>
    <n v="1808"/>
    <x v="0"/>
    <x v="107"/>
    <n v="3"/>
    <x v="2"/>
    <x v="5"/>
    <n v="0.1"/>
    <n v="24.6"/>
    <n v="246"/>
    <n v="221.4"/>
    <s v="Daniel"/>
    <n v="1808"/>
    <s v="Interview Prep"/>
    <d v="2024-12-27T00:00:00"/>
    <n v="3"/>
    <s v="Service Booked"/>
    <s v="SA"/>
    <s v="84514 George Street"/>
    <s v="Adelaide"/>
    <n v="5000"/>
    <n v="250"/>
    <n v="750"/>
    <s v="+61 4 8767 9810"/>
  </r>
  <r>
    <n v="3577"/>
    <s v="Pearson"/>
    <s v="Bo Pearson"/>
    <s v="Bo"/>
    <n v="1809"/>
    <x v="2"/>
    <x v="28"/>
    <n v="1"/>
    <x v="0"/>
    <x v="7"/>
    <n v="0.25"/>
    <n v="61.25"/>
    <n v="245"/>
    <n v="183.75"/>
    <s v="Kelly"/>
    <n v="1809"/>
    <s v="LinkedIn profile"/>
    <d v="2024-08-25T00:00:00"/>
    <n v="2"/>
    <s v="Delivered"/>
    <s v="NT"/>
    <s v="60837 George Street"/>
    <s v="Darwin"/>
    <n v="800"/>
    <n v="300"/>
    <n v="600"/>
    <s v="+61 8 1586 9178"/>
  </r>
  <r>
    <n v="3578"/>
    <s v="Rush"/>
    <s v="Sydney Rush"/>
    <s v="Sydney"/>
    <n v="1810"/>
    <x v="4"/>
    <x v="39"/>
    <n v="1"/>
    <x v="2"/>
    <x v="2"/>
    <n v="0.25"/>
    <n v="334.25"/>
    <n v="1337"/>
    <n v="1002.75"/>
    <s v="Kelly"/>
    <n v="1810"/>
    <s v="Mentoring program"/>
    <d v="2024-05-19T00:00:00"/>
    <n v="1"/>
    <s v="Service Booked"/>
    <s v="NSW"/>
    <s v="85137 Main Street"/>
    <s v="Wollongong"/>
    <n v="2500"/>
    <n v="1200"/>
    <n v="1200"/>
    <s v="+61 6 3533 2192"/>
  </r>
  <r>
    <n v="3579"/>
    <s v="Wise"/>
    <s v="Aspen Wise"/>
    <s v="Aspen"/>
    <n v="1811"/>
    <x v="0"/>
    <x v="165"/>
    <n v="3"/>
    <x v="2"/>
    <x v="4"/>
    <n v="0.1"/>
    <n v="172.60000000000002"/>
    <n v="1726"/>
    <n v="1553.4"/>
    <s v="Kelly"/>
    <n v="1811"/>
    <s v="Interview Prep"/>
    <d v="2024-09-10T00:00:00"/>
    <n v="2"/>
    <s v="Service Booked"/>
    <s v="QLD"/>
    <s v="39135 King Street"/>
    <s v="Brisbane"/>
    <n v="4000"/>
    <n v="250"/>
    <n v="500"/>
    <s v="+61 2 2042 8464"/>
  </r>
  <r>
    <n v="3580"/>
    <s v="Ramirez"/>
    <s v="Ava Ramirez"/>
    <s v="Ava"/>
    <n v="1812"/>
    <x v="4"/>
    <x v="185"/>
    <n v="3"/>
    <x v="0"/>
    <x v="6"/>
    <n v="0.25"/>
    <n v="144"/>
    <n v="576"/>
    <n v="432"/>
    <s v="Daniel"/>
    <n v="1812"/>
    <s v="Mentoring program"/>
    <d v="2024-05-16T00:00:00"/>
    <n v="1"/>
    <s v="Delivered"/>
    <s v="TAS"/>
    <s v="40161 Elizabeth Street"/>
    <s v="Hobart"/>
    <n v="7000"/>
    <n v="1200"/>
    <n v="1200"/>
    <s v="+61 9 5576 4110"/>
  </r>
  <r>
    <n v="3581"/>
    <s v="Mathis"/>
    <s v="Damon Mathis"/>
    <s v="Damon"/>
    <n v="1813"/>
    <x v="2"/>
    <x v="297"/>
    <n v="1"/>
    <x v="0"/>
    <x v="4"/>
    <n v="0.25"/>
    <n v="213.5"/>
    <n v="854"/>
    <n v="640.5"/>
    <s v="Kelly"/>
    <n v="1813"/>
    <s v="LinkedIn profile"/>
    <d v="2024-02-25T00:00:00"/>
    <n v="3"/>
    <s v="Delivered"/>
    <s v="QLD"/>
    <s v="34387 King Street"/>
    <s v="Gold Coast"/>
    <n v="4217"/>
    <n v="300"/>
    <n v="900"/>
    <s v="+61 2 9990 8692"/>
  </r>
  <r>
    <n v="3582"/>
    <s v="Preston"/>
    <s v="Francis Preston"/>
    <s v="Francis"/>
    <n v="1814"/>
    <x v="3"/>
    <x v="143"/>
    <n v="1"/>
    <x v="2"/>
    <x v="1"/>
    <n v="0.2"/>
    <n v="25.400000000000002"/>
    <n v="127"/>
    <n v="101.6"/>
    <s v="Brian"/>
    <n v="1814"/>
    <s v="Networking Strategy"/>
    <d v="2024-06-28T00:00:00"/>
    <n v="3"/>
    <s v="Service Booked"/>
    <s v="ACT"/>
    <s v="27068 George Street"/>
    <s v="Canberra"/>
    <n v="2600"/>
    <n v="250"/>
    <n v="750"/>
    <s v="+61 5 3885 7780"/>
  </r>
  <r>
    <n v="3583"/>
    <s v="Vaughan"/>
    <s v="Leila Vaughan"/>
    <s v="Leila"/>
    <n v="1815"/>
    <x v="0"/>
    <x v="208"/>
    <n v="3"/>
    <x v="2"/>
    <x v="1"/>
    <n v="0.1"/>
    <n v="130.9"/>
    <n v="1309"/>
    <n v="1178.0999999999999"/>
    <s v="Terrence"/>
    <n v="1815"/>
    <s v="Interview Prep"/>
    <d v="2024-07-23T00:00:00"/>
    <n v="3"/>
    <s v="Service Booked"/>
    <s v="ACT"/>
    <s v="92945 King Street"/>
    <s v="Canberra"/>
    <n v="2600"/>
    <n v="250"/>
    <n v="750"/>
    <s v="+61 6 8219 7980"/>
  </r>
  <r>
    <n v="3584"/>
    <s v="Hanna"/>
    <s v="Rowan Hanna"/>
    <s v="Rowan"/>
    <n v="1816"/>
    <x v="0"/>
    <x v="214"/>
    <n v="2"/>
    <x v="2"/>
    <x v="6"/>
    <n v="0.1"/>
    <n v="9.5"/>
    <n v="95"/>
    <n v="85.5"/>
    <s v="Kelly"/>
    <n v="1816"/>
    <s v="Interview Prep"/>
    <d v="2024-04-19T00:00:00"/>
    <n v="1"/>
    <s v="Service Booked"/>
    <s v="TAS"/>
    <s v="59633 Main Street"/>
    <s v="Devonport"/>
    <n v="7310"/>
    <n v="250"/>
    <n v="250"/>
    <s v="+61 4 3902 2757"/>
  </r>
  <r>
    <n v="3585"/>
    <s v="Henson"/>
    <s v="Vivian Henson"/>
    <s v="Vivian"/>
    <n v="1817"/>
    <x v="4"/>
    <x v="101"/>
    <n v="2"/>
    <x v="3"/>
    <x v="7"/>
    <n v="0.25"/>
    <n v="305"/>
    <n v="1220"/>
    <n v="915"/>
    <s v="Terrence"/>
    <n v="1817"/>
    <s v="Mentoring program"/>
    <d v="2024-07-17T00:00:00"/>
    <n v="1"/>
    <s v="Cancelled"/>
    <s v="NT"/>
    <s v="86008 George Street"/>
    <s v="Alice Springs"/>
    <n v="870"/>
    <n v="1200"/>
    <n v="1200"/>
    <s v="+61 9 5429 8138"/>
  </r>
  <r>
    <n v="3586"/>
    <s v="Clayton"/>
    <s v="Brody Clayton"/>
    <s v="Brody"/>
    <n v="1818"/>
    <x v="1"/>
    <x v="298"/>
    <n v="3"/>
    <x v="0"/>
    <x v="5"/>
    <n v="0.3"/>
    <n v="571.19999999999993"/>
    <n v="1904"/>
    <n v="1332.8000000000002"/>
    <s v="Terrence"/>
    <n v="1818"/>
    <s v="Resume + LinkedIn Profile"/>
    <d v="2024-06-11T00:00:00"/>
    <n v="1"/>
    <s v="Delivered"/>
    <s v="SA"/>
    <s v="69096 George Street"/>
    <s v="Whyalla"/>
    <n v="5600"/>
    <n v="800"/>
    <n v="800"/>
    <s v="+61 5 5549 8954"/>
  </r>
  <r>
    <n v="3587"/>
    <s v="Barajas"/>
    <s v="Ali Barajas"/>
    <s v="Ali"/>
    <n v="1819"/>
    <x v="5"/>
    <x v="298"/>
    <n v="1"/>
    <x v="3"/>
    <x v="4"/>
    <n v="0.3"/>
    <n v="259.8"/>
    <n v="866"/>
    <n v="606.20000000000005"/>
    <s v="Kelly"/>
    <n v="1819"/>
    <s v="Resume (service fee)"/>
    <d v="2024-06-11T00:00:00"/>
    <n v="3"/>
    <s v="Cancelled"/>
    <s v="QLD"/>
    <s v="37898 King Street"/>
    <s v="Gold Coast"/>
    <n v="4217"/>
    <n v="600"/>
    <n v="1800"/>
    <s v="+61 9 8111 2735"/>
  </r>
  <r>
    <n v="3588"/>
    <s v="Carr"/>
    <s v="Madelynn Carr"/>
    <s v="Madelynn"/>
    <n v="1820"/>
    <x v="4"/>
    <x v="149"/>
    <n v="1"/>
    <x v="0"/>
    <x v="3"/>
    <n v="0.25"/>
    <n v="449.75"/>
    <n v="1799"/>
    <n v="1349.25"/>
    <s v="Daniel"/>
    <n v="1820"/>
    <s v="Mentoring program"/>
    <d v="2024-10-06T00:00:00"/>
    <n v="3"/>
    <s v="Delivered"/>
    <s v="VIC"/>
    <s v="89659 Elizabeth Street"/>
    <s v="Melbourne"/>
    <n v="3000"/>
    <n v="1200"/>
    <n v="3600"/>
    <s v="+61 4 2922 9221"/>
  </r>
  <r>
    <n v="3589"/>
    <s v="Buck"/>
    <s v="Julian Buck"/>
    <s v="Julian"/>
    <n v="1821"/>
    <x v="0"/>
    <x v="183"/>
    <n v="3"/>
    <x v="2"/>
    <x v="5"/>
    <n v="0.1"/>
    <n v="1.1000000000000001"/>
    <n v="11"/>
    <n v="9.9"/>
    <s v="Kelly"/>
    <n v="1821"/>
    <s v="Interview Prep"/>
    <d v="2024-05-05T00:00:00"/>
    <n v="3"/>
    <s v="Service Booked"/>
    <s v="SA"/>
    <s v="15998 Elizabeth Street"/>
    <s v="Adelaide"/>
    <n v="5000"/>
    <n v="250"/>
    <n v="750"/>
    <s v="+61 7 3100 1232"/>
  </r>
  <r>
    <n v="3590"/>
    <s v="Owens"/>
    <s v="Josephine Owens"/>
    <s v="Josephine"/>
    <n v="1822"/>
    <x v="4"/>
    <x v="25"/>
    <n v="3"/>
    <x v="0"/>
    <x v="1"/>
    <n v="0.25"/>
    <n v="96"/>
    <n v="384"/>
    <n v="288"/>
    <s v="Brian"/>
    <n v="1822"/>
    <s v="Mentoring program"/>
    <d v="2024-08-12T00:00:00"/>
    <n v="2"/>
    <s v="Delivered"/>
    <s v="ACT"/>
    <s v="74168 Park Avenue"/>
    <s v="Canberra"/>
    <n v="2600"/>
    <n v="1200"/>
    <n v="2400"/>
    <s v="+61 5 9316 8522"/>
  </r>
  <r>
    <n v="3591"/>
    <s v="Arellano"/>
    <s v="Jonathan Arellano"/>
    <s v="Jonathan"/>
    <n v="1823"/>
    <x v="4"/>
    <x v="100"/>
    <n v="1"/>
    <x v="0"/>
    <x v="7"/>
    <n v="0.25"/>
    <n v="318.5"/>
    <n v="1274"/>
    <n v="955.5"/>
    <s v="Priscilla"/>
    <n v="1823"/>
    <s v="Mentoring program"/>
    <d v="2024-06-10T00:00:00"/>
    <n v="1"/>
    <s v="Delivered"/>
    <s v="NT"/>
    <s v="22200 Park Avenue"/>
    <s v="Alice Springs"/>
    <n v="870"/>
    <n v="1200"/>
    <n v="1200"/>
    <s v="+61 9 8912 8414"/>
  </r>
  <r>
    <n v="3592"/>
    <s v="Dennis"/>
    <s v="Judah Dennis"/>
    <s v="Judah"/>
    <n v="1824"/>
    <x v="4"/>
    <x v="60"/>
    <n v="1"/>
    <x v="0"/>
    <x v="0"/>
    <n v="0.25"/>
    <n v="228.75"/>
    <n v="915"/>
    <n v="686.25"/>
    <s v="Kelly"/>
    <n v="1824"/>
    <s v="Mentoring program"/>
    <d v="2024-09-21T00:00:00"/>
    <n v="2"/>
    <s v="Delivered"/>
    <s v="WA"/>
    <s v="89273 Park Avenue"/>
    <s v="Fremantle"/>
    <n v="6160"/>
    <n v="1200"/>
    <n v="2400"/>
    <s v="+61 3 8691 8551"/>
  </r>
  <r>
    <n v="3593"/>
    <s v="Walsh"/>
    <s v="Alijah Walsh"/>
    <s v="Alijah"/>
    <n v="1825"/>
    <x v="3"/>
    <x v="299"/>
    <n v="2"/>
    <x v="3"/>
    <x v="2"/>
    <n v="0.2"/>
    <n v="105.80000000000001"/>
    <n v="529"/>
    <n v="423.2"/>
    <s v="Kelly"/>
    <n v="1825"/>
    <s v="Networking Strategy"/>
    <d v="2024-10-30T00:00:00"/>
    <n v="2"/>
    <s v="Cancelled"/>
    <s v="NSW"/>
    <s v="96965 George Street"/>
    <s v="Sydney"/>
    <n v="2000"/>
    <n v="250"/>
    <n v="500"/>
    <s v="+61 6 7242 1436"/>
  </r>
  <r>
    <n v="3594"/>
    <s v="Conrad"/>
    <s v="Sebastian Conrad"/>
    <s v="Sebastian"/>
    <n v="1826"/>
    <x v="4"/>
    <x v="116"/>
    <n v="3"/>
    <x v="3"/>
    <x v="0"/>
    <n v="0.25"/>
    <n v="142.75"/>
    <n v="571"/>
    <n v="428.25"/>
    <s v="Terrence"/>
    <n v="1826"/>
    <s v="Mentoring program"/>
    <d v="2024-04-06T00:00:00"/>
    <n v="2"/>
    <s v="Cancelled"/>
    <s v="WA"/>
    <s v="38080 King Street"/>
    <s v="Perth"/>
    <n v="6000"/>
    <n v="1200"/>
    <n v="2400"/>
    <s v="+61 6 7803 5515"/>
  </r>
  <r>
    <n v="3595"/>
    <s v="Kerr"/>
    <s v="Summer Kerr"/>
    <s v="Summer"/>
    <n v="1827"/>
    <x v="2"/>
    <x v="239"/>
    <n v="3"/>
    <x v="0"/>
    <x v="6"/>
    <n v="0.25"/>
    <n v="222.25"/>
    <n v="889"/>
    <n v="666.75"/>
    <s v="Terrence"/>
    <n v="1827"/>
    <s v="LinkedIn profile"/>
    <d v="2024-03-02T00:00:00"/>
    <n v="2"/>
    <s v="Delivered"/>
    <s v="TAS"/>
    <s v="82464 Elizabeth Street"/>
    <s v="Devonport"/>
    <n v="7310"/>
    <n v="300"/>
    <n v="600"/>
    <s v="+61 3 9418 6024"/>
  </r>
  <r>
    <n v="3596"/>
    <s v="Mcintyre"/>
    <s v="June Mcintyre"/>
    <s v="June"/>
    <n v="1828"/>
    <x v="4"/>
    <x v="300"/>
    <n v="2"/>
    <x v="3"/>
    <x v="3"/>
    <n v="0.25"/>
    <n v="25"/>
    <n v="100"/>
    <n v="75"/>
    <s v="Kelly"/>
    <n v="1828"/>
    <s v="Mentoring program"/>
    <d v="2024-11-05T00:00:00"/>
    <n v="3"/>
    <s v="Cancelled"/>
    <s v="VIC"/>
    <s v="86279 Elizabeth Street"/>
    <s v="Ballarat"/>
    <n v="3350"/>
    <n v="1200"/>
    <n v="3600"/>
    <s v="+61 3 2734 3636"/>
  </r>
  <r>
    <n v="3597"/>
    <s v="Mathis"/>
    <s v="Greyson Mathis"/>
    <s v="Greyson"/>
    <n v="1829"/>
    <x v="2"/>
    <x v="215"/>
    <n v="1"/>
    <x v="1"/>
    <x v="2"/>
    <n v="0.25"/>
    <n v="222"/>
    <n v="888"/>
    <n v="666"/>
    <s v="Brian"/>
    <n v="1829"/>
    <s v="LinkedIn profile"/>
    <d v="2024-08-21T00:00:00"/>
    <n v="1"/>
    <s v="In Progress"/>
    <s v="NSW"/>
    <s v="78427 George Street"/>
    <s v="Wollongong"/>
    <n v="2500"/>
    <n v="300"/>
    <n v="300"/>
    <s v="+61 5 9319 6299"/>
  </r>
  <r>
    <n v="3598"/>
    <s v="Scott"/>
    <s v="Bodie Scott"/>
    <s v="Bodie"/>
    <n v="1830"/>
    <x v="2"/>
    <x v="135"/>
    <n v="1"/>
    <x v="1"/>
    <x v="2"/>
    <n v="0.25"/>
    <n v="368"/>
    <n v="1472"/>
    <n v="1104"/>
    <s v="Brian"/>
    <n v="1830"/>
    <s v="LinkedIn profile"/>
    <d v="2024-08-16T00:00:00"/>
    <n v="1"/>
    <s v="In Progress"/>
    <s v="NSW"/>
    <s v="95555 King Street"/>
    <s v="Sydney"/>
    <n v="2000"/>
    <n v="300"/>
    <n v="300"/>
    <s v="+61 3 3308 6958"/>
  </r>
  <r>
    <n v="3599"/>
    <s v="Cordova"/>
    <s v="Russell Cordova"/>
    <s v="Russell"/>
    <n v="1831"/>
    <x v="0"/>
    <x v="269"/>
    <n v="3"/>
    <x v="0"/>
    <x v="3"/>
    <n v="0.1"/>
    <n v="90.9"/>
    <n v="909"/>
    <n v="818.1"/>
    <s v="Brian"/>
    <n v="1831"/>
    <s v="Interview Prep"/>
    <d v="2024-07-24T00:00:00"/>
    <n v="1"/>
    <s v="Delivered"/>
    <s v="VIC"/>
    <s v="63263 King Street"/>
    <s v="Ballarat"/>
    <n v="3350"/>
    <n v="250"/>
    <n v="250"/>
    <s v="+61 6 6628 5467"/>
  </r>
  <r>
    <n v="3600"/>
    <s v="Johns"/>
    <s v="Payton Johns"/>
    <s v="Payton"/>
    <n v="1832"/>
    <x v="3"/>
    <x v="237"/>
    <n v="3"/>
    <x v="0"/>
    <x v="0"/>
    <n v="0.2"/>
    <n v="270.8"/>
    <n v="1354"/>
    <n v="1083.2"/>
    <s v="Daniel"/>
    <n v="1832"/>
    <s v="Networking Strategy"/>
    <d v="2024-10-17T00:00:00"/>
    <n v="2"/>
    <s v="Delivered"/>
    <s v="WA"/>
    <s v="70745 King Street"/>
    <s v="Broome"/>
    <n v="6725"/>
    <n v="250"/>
    <n v="500"/>
    <s v="+61 4 2453 9462"/>
  </r>
  <r>
    <n v="3601"/>
    <s v="Roth"/>
    <s v="Titus Roth"/>
    <s v="Titus"/>
    <n v="1833"/>
    <x v="5"/>
    <x v="65"/>
    <n v="1"/>
    <x v="0"/>
    <x v="6"/>
    <n v="0.3"/>
    <n v="320.09999999999997"/>
    <n v="1067"/>
    <n v="746.90000000000009"/>
    <s v="Terrence"/>
    <n v="1833"/>
    <s v="Resume (service fee)"/>
    <d v="2024-05-28T00:00:00"/>
    <n v="2"/>
    <s v="Delivered"/>
    <s v="TAS"/>
    <s v="30086 King Street"/>
    <s v="Hobart"/>
    <n v="7000"/>
    <n v="600"/>
    <n v="1200"/>
    <s v="+61 9 7896 4970"/>
  </r>
  <r>
    <n v="3602"/>
    <s v="Schneider"/>
    <s v="Alessandra Schneider"/>
    <s v="Alessandra"/>
    <n v="1834"/>
    <x v="2"/>
    <x v="39"/>
    <n v="1"/>
    <x v="3"/>
    <x v="0"/>
    <n v="0.25"/>
    <n v="248.25"/>
    <n v="993"/>
    <n v="744.75"/>
    <s v="Terrence"/>
    <n v="1834"/>
    <s v="LinkedIn profile"/>
    <d v="2024-05-19T00:00:00"/>
    <n v="1"/>
    <s v="Cancelled"/>
    <s v="WA"/>
    <s v="22010 Main Street"/>
    <s v="Fremantle"/>
    <n v="6160"/>
    <n v="300"/>
    <n v="300"/>
    <s v="+61 8 6196 8859"/>
  </r>
  <r>
    <n v="3603"/>
    <s v="Gill"/>
    <s v="Phoenix Gill"/>
    <s v="Phoenix"/>
    <n v="1835"/>
    <x v="5"/>
    <x v="81"/>
    <n v="1"/>
    <x v="2"/>
    <x v="1"/>
    <n v="0.3"/>
    <n v="239.7"/>
    <n v="799"/>
    <n v="559.29999999999995"/>
    <s v="Priscilla"/>
    <n v="1835"/>
    <s v="Resume (service fee)"/>
    <d v="2024-12-04T00:00:00"/>
    <n v="1"/>
    <s v="Service Booked"/>
    <s v="ACT"/>
    <s v="34157 George Street"/>
    <s v="Canberra"/>
    <n v="2600"/>
    <n v="600"/>
    <n v="600"/>
    <s v="+61 9 6737 7941"/>
  </r>
  <r>
    <n v="3604"/>
    <s v="Lucas"/>
    <s v="Amanda Lucas"/>
    <s v="Amanda"/>
    <n v="1836"/>
    <x v="4"/>
    <x v="290"/>
    <n v="3"/>
    <x v="2"/>
    <x v="6"/>
    <n v="0.25"/>
    <n v="90.25"/>
    <n v="361"/>
    <n v="270.75"/>
    <s v="Terrence"/>
    <n v="1836"/>
    <s v="Mentoring program"/>
    <d v="2024-03-07T00:00:00"/>
    <n v="3"/>
    <s v="Service Booked"/>
    <s v="TAS"/>
    <s v="15086 Park Avenue"/>
    <s v="Hobart"/>
    <n v="7000"/>
    <n v="1200"/>
    <n v="3600"/>
    <s v="+61 2 9292 5134"/>
  </r>
  <r>
    <n v="3605"/>
    <s v="Ferguson"/>
    <s v="Frances Ferguson"/>
    <s v="Frances"/>
    <n v="1837"/>
    <x v="5"/>
    <x v="100"/>
    <n v="3"/>
    <x v="0"/>
    <x v="5"/>
    <n v="0.3"/>
    <n v="107.7"/>
    <n v="359"/>
    <n v="251.3"/>
    <s v="Kelly"/>
    <n v="1837"/>
    <s v="Resume (service fee)"/>
    <d v="2024-06-10T00:00:00"/>
    <n v="3"/>
    <s v="Delivered"/>
    <s v="SA"/>
    <s v="27292 King Street"/>
    <s v="Mount Gambier"/>
    <n v="5290"/>
    <n v="600"/>
    <n v="1800"/>
    <s v="+61 3 5647 3230"/>
  </r>
  <r>
    <n v="3606"/>
    <s v="Craig"/>
    <s v="Abel Craig"/>
    <s v="Abel"/>
    <n v="1838"/>
    <x v="4"/>
    <x v="229"/>
    <n v="2"/>
    <x v="0"/>
    <x v="7"/>
    <n v="0.25"/>
    <n v="173.75"/>
    <n v="695"/>
    <n v="521.25"/>
    <s v="Terrence"/>
    <n v="1838"/>
    <s v="Mentoring program"/>
    <d v="2024-09-29T00:00:00"/>
    <n v="3"/>
    <s v="Delivered"/>
    <s v="NT"/>
    <s v="73272 Main Street"/>
    <s v="Alice Springs"/>
    <n v="870"/>
    <n v="1200"/>
    <n v="3600"/>
    <s v="+61 7 8878 4867"/>
  </r>
  <r>
    <n v="3607"/>
    <s v="Flowers"/>
    <s v="Briella Flowers"/>
    <s v="Briella"/>
    <n v="1839"/>
    <x v="2"/>
    <x v="48"/>
    <n v="3"/>
    <x v="0"/>
    <x v="5"/>
    <n v="0.25"/>
    <n v="285.75"/>
    <n v="1143"/>
    <n v="857.25"/>
    <s v="Brian"/>
    <n v="1839"/>
    <s v="LinkedIn profile"/>
    <d v="2024-02-18T00:00:00"/>
    <n v="2"/>
    <s v="Delivered"/>
    <s v="SA"/>
    <s v="59717 King Street"/>
    <s v="Adelaide"/>
    <n v="5000"/>
    <n v="300"/>
    <n v="600"/>
    <s v="+61 8 3125 1232"/>
  </r>
  <r>
    <n v="3608"/>
    <s v="Gonzalez"/>
    <s v="Camilla Gonzalez"/>
    <s v="Camilla"/>
    <n v="1840"/>
    <x v="1"/>
    <x v="301"/>
    <n v="1"/>
    <x v="2"/>
    <x v="1"/>
    <n v="0.3"/>
    <n v="370.5"/>
    <n v="1235"/>
    <n v="864.5"/>
    <s v="Priscilla"/>
    <n v="1840"/>
    <s v="Resume + LinkedIn Profile"/>
    <d v="2024-11-29T00:00:00"/>
    <n v="1"/>
    <s v="Service Booked"/>
    <s v="ACT"/>
    <s v="21011 Main Street"/>
    <s v="Canberra"/>
    <n v="2600"/>
    <n v="800"/>
    <n v="800"/>
    <s v="+61 4 5763 9911"/>
  </r>
  <r>
    <n v="3609"/>
    <s v="Lane"/>
    <s v="Kash Lane"/>
    <s v="Kash"/>
    <n v="1841"/>
    <x v="4"/>
    <x v="182"/>
    <n v="3"/>
    <x v="0"/>
    <x v="7"/>
    <n v="0.25"/>
    <n v="27"/>
    <n v="108"/>
    <n v="81"/>
    <s v="Terrence"/>
    <n v="1841"/>
    <s v="Mentoring program"/>
    <d v="2024-06-25T00:00:00"/>
    <n v="1"/>
    <s v="Delivered"/>
    <s v="NT"/>
    <s v="31377 King Street"/>
    <s v="Alice Springs"/>
    <n v="870"/>
    <n v="1200"/>
    <n v="1200"/>
    <s v="+61 6 4003 4266"/>
  </r>
  <r>
    <n v="3610"/>
    <s v="Henry"/>
    <s v="Maria Henry"/>
    <s v="Maria"/>
    <n v="1842"/>
    <x v="2"/>
    <x v="302"/>
    <n v="3"/>
    <x v="0"/>
    <x v="3"/>
    <n v="0.25"/>
    <n v="363.75"/>
    <n v="1455"/>
    <n v="1091.25"/>
    <s v="Priscilla"/>
    <n v="1842"/>
    <s v="LinkedIn profile"/>
    <d v="2024-12-21T00:00:00"/>
    <n v="3"/>
    <s v="Delivered"/>
    <s v="VIC"/>
    <s v="48262 George Street"/>
    <s v="Melbourne"/>
    <n v="3000"/>
    <n v="300"/>
    <n v="900"/>
    <s v="+61 4 6580 6268"/>
  </r>
  <r>
    <n v="3611"/>
    <s v="Huffman"/>
    <s v="Shiloh Huffman"/>
    <s v="Shiloh"/>
    <n v="1843"/>
    <x v="5"/>
    <x v="296"/>
    <n v="2"/>
    <x v="2"/>
    <x v="0"/>
    <n v="0.3"/>
    <n v="488.4"/>
    <n v="1628"/>
    <n v="1139.5999999999999"/>
    <s v="Terrence"/>
    <n v="1843"/>
    <s v="Resume (service fee)"/>
    <d v="2024-04-02T00:00:00"/>
    <n v="1"/>
    <s v="Service Booked"/>
    <s v="WA"/>
    <s v="90306 King Street"/>
    <s v="Broome"/>
    <n v="6725"/>
    <n v="600"/>
    <n v="600"/>
    <s v="+61 2 3429 9439"/>
  </r>
  <r>
    <n v="3612"/>
    <s v="Curry"/>
    <s v="Micah Curry"/>
    <s v="Micah"/>
    <n v="1844"/>
    <x v="4"/>
    <x v="221"/>
    <n v="2"/>
    <x v="2"/>
    <x v="0"/>
    <n v="0.25"/>
    <n v="187.5"/>
    <n v="750"/>
    <n v="562.5"/>
    <s v="Priscilla"/>
    <n v="1844"/>
    <s v="Mentoring program"/>
    <d v="2024-05-30T00:00:00"/>
    <n v="3"/>
    <s v="Service Booked"/>
    <s v="WA"/>
    <s v="60318 Main Street"/>
    <s v="Perth"/>
    <n v="6000"/>
    <n v="1200"/>
    <n v="3600"/>
    <s v="+61 9 2743 5533"/>
  </r>
  <r>
    <n v="3613"/>
    <s v="Magana"/>
    <s v="Kyrie Magana"/>
    <s v="Kyrie"/>
    <n v="1845"/>
    <x v="2"/>
    <x v="303"/>
    <n v="1"/>
    <x v="2"/>
    <x v="1"/>
    <n v="0.25"/>
    <n v="386.25"/>
    <n v="1545"/>
    <n v="1158.75"/>
    <s v="Kelly"/>
    <n v="1845"/>
    <s v="LinkedIn profile"/>
    <d v="2024-10-15T00:00:00"/>
    <n v="3"/>
    <s v="Service Booked"/>
    <s v="ACT"/>
    <s v="57382 Main Street"/>
    <s v="Canberra"/>
    <n v="2600"/>
    <n v="300"/>
    <n v="900"/>
    <s v="+61 8 5352 1899"/>
  </r>
  <r>
    <n v="3614"/>
    <s v="Shepherd"/>
    <s v="Selah Shepherd"/>
    <s v="Selah"/>
    <n v="1846"/>
    <x v="4"/>
    <x v="283"/>
    <n v="3"/>
    <x v="0"/>
    <x v="1"/>
    <n v="0.25"/>
    <n v="408"/>
    <n v="1632"/>
    <n v="1224"/>
    <s v="Daniel"/>
    <n v="1846"/>
    <s v="Mentoring program"/>
    <d v="2024-09-16T00:00:00"/>
    <n v="3"/>
    <s v="Delivered"/>
    <s v="ACT"/>
    <s v="15135 Park Avenue"/>
    <s v="Canberra"/>
    <n v="2600"/>
    <n v="1200"/>
    <n v="3600"/>
    <s v="+61 8 8572 4847"/>
  </r>
  <r>
    <n v="3615"/>
    <s v="Schroeder"/>
    <s v="Destiny Schroeder"/>
    <s v="Destiny"/>
    <n v="1847"/>
    <x v="0"/>
    <x v="257"/>
    <n v="2"/>
    <x v="0"/>
    <x v="6"/>
    <n v="0.1"/>
    <n v="5.4"/>
    <n v="54"/>
    <n v="48.6"/>
    <s v="Daniel"/>
    <n v="1847"/>
    <s v="Interview Prep"/>
    <d v="2024-07-30T00:00:00"/>
    <n v="1"/>
    <s v="Delivered"/>
    <s v="TAS"/>
    <s v="36180 Park Avenue"/>
    <s v="Hobart"/>
    <n v="7000"/>
    <n v="250"/>
    <n v="250"/>
    <s v="+61 6 5052 6806"/>
  </r>
  <r>
    <n v="3616"/>
    <s v="Quintana"/>
    <s v="Dylan Quintana"/>
    <s v="Dylan"/>
    <n v="1848"/>
    <x v="3"/>
    <x v="39"/>
    <n v="1"/>
    <x v="0"/>
    <x v="0"/>
    <n v="0.2"/>
    <n v="136.20000000000002"/>
    <n v="681"/>
    <n v="544.79999999999995"/>
    <s v="Priscilla"/>
    <n v="1848"/>
    <s v="Networking Strategy"/>
    <d v="2024-05-19T00:00:00"/>
    <n v="1"/>
    <s v="Delivered"/>
    <s v="WA"/>
    <s v="4363 Elizabeth Street"/>
    <s v="Fremantle"/>
    <n v="6160"/>
    <n v="250"/>
    <n v="250"/>
    <s v="+61 3 7577 5035"/>
  </r>
  <r>
    <n v="3617"/>
    <s v="Love"/>
    <s v="Elsie Love"/>
    <s v="Elsie"/>
    <n v="1849"/>
    <x v="3"/>
    <x v="181"/>
    <n v="1"/>
    <x v="1"/>
    <x v="5"/>
    <n v="0.2"/>
    <n v="33"/>
    <n v="165"/>
    <n v="132"/>
    <s v="Daniel"/>
    <n v="1849"/>
    <s v="Networking Strategy"/>
    <d v="2024-09-06T00:00:00"/>
    <n v="2"/>
    <s v="In Progress"/>
    <s v="SA"/>
    <s v="59764 George Street"/>
    <s v="Mount Gambier"/>
    <n v="5290"/>
    <n v="250"/>
    <n v="500"/>
    <s v="+61 8 8712 3468"/>
  </r>
  <r>
    <n v="3618"/>
    <s v="Ellison"/>
    <s v="Frederick Ellison"/>
    <s v="Frederick"/>
    <n v="1850"/>
    <x v="0"/>
    <x v="118"/>
    <n v="1"/>
    <x v="0"/>
    <x v="0"/>
    <n v="0.1"/>
    <n v="25.900000000000002"/>
    <n v="259"/>
    <n v="233.1"/>
    <s v="Brian"/>
    <n v="1850"/>
    <s v="Interview Prep"/>
    <d v="2024-01-01T00:00:00"/>
    <n v="2"/>
    <s v="Delivered"/>
    <s v="WA"/>
    <s v="88100 Park Avenue"/>
    <s v="Broome"/>
    <n v="6725"/>
    <n v="250"/>
    <n v="500"/>
    <s v="+61 7 2554 4619"/>
  </r>
  <r>
    <n v="3619"/>
    <s v="Henderson"/>
    <s v="Marley Henderson"/>
    <s v="Marley"/>
    <n v="1851"/>
    <x v="1"/>
    <x v="304"/>
    <n v="2"/>
    <x v="3"/>
    <x v="3"/>
    <n v="0.3"/>
    <n v="168.29999999999998"/>
    <n v="561"/>
    <n v="392.70000000000005"/>
    <s v="Terrence"/>
    <n v="1851"/>
    <s v="Resume + LinkedIn Profile"/>
    <d v="2024-02-20T00:00:00"/>
    <n v="3"/>
    <s v="Cancelled"/>
    <s v="VIC"/>
    <s v="63847 Elizabeth Street"/>
    <s v="Ballarat"/>
    <n v="3350"/>
    <n v="800"/>
    <n v="2400"/>
    <s v="+61 9 9758 9277"/>
  </r>
  <r>
    <n v="3620"/>
    <s v="Lane"/>
    <s v="Abraham Lane"/>
    <s v="Abraham"/>
    <n v="1852"/>
    <x v="3"/>
    <x v="145"/>
    <n v="2"/>
    <x v="0"/>
    <x v="0"/>
    <n v="0.2"/>
    <n v="9.8000000000000007"/>
    <n v="49"/>
    <n v="39.200000000000003"/>
    <s v="Brian"/>
    <n v="1852"/>
    <s v="Networking Strategy"/>
    <d v="2024-04-21T00:00:00"/>
    <n v="2"/>
    <s v="Delivered"/>
    <s v="WA"/>
    <s v="94308 Main Street"/>
    <s v="Fremantle"/>
    <n v="6160"/>
    <n v="250"/>
    <n v="500"/>
    <s v="+61 3 4471 2585"/>
  </r>
  <r>
    <n v="3621"/>
    <s v="Duncan"/>
    <s v="Bailey Duncan"/>
    <s v="Bailey"/>
    <n v="1853"/>
    <x v="3"/>
    <x v="51"/>
    <n v="1"/>
    <x v="0"/>
    <x v="1"/>
    <n v="0.2"/>
    <n v="102.60000000000001"/>
    <n v="513"/>
    <n v="410.4"/>
    <s v="Terrence"/>
    <n v="1853"/>
    <s v="Networking Strategy"/>
    <d v="2024-01-30T00:00:00"/>
    <n v="3"/>
    <s v="Delivered"/>
    <s v="ACT"/>
    <s v="66392 George Street"/>
    <s v="Canberra"/>
    <n v="2600"/>
    <n v="250"/>
    <n v="750"/>
    <s v="+61 3 4548 9939"/>
  </r>
  <r>
    <n v="3622"/>
    <s v="Cherry"/>
    <s v="Emily Cherry"/>
    <s v="Emily"/>
    <n v="1854"/>
    <x v="3"/>
    <x v="216"/>
    <n v="2"/>
    <x v="0"/>
    <x v="1"/>
    <n v="0.2"/>
    <n v="212.4"/>
    <n v="1062"/>
    <n v="849.6"/>
    <s v="Terrence"/>
    <n v="1854"/>
    <s v="Networking Strategy"/>
    <d v="2024-05-11T00:00:00"/>
    <n v="3"/>
    <s v="Delivered"/>
    <s v="ACT"/>
    <s v="57998 George Street"/>
    <s v="Canberra"/>
    <n v="2600"/>
    <n v="250"/>
    <n v="750"/>
    <s v="+61 4 2181 8430"/>
  </r>
  <r>
    <n v="3623"/>
    <s v="Pugh"/>
    <s v="Gracelyn Pugh"/>
    <s v="Gracelyn"/>
    <n v="1855"/>
    <x v="1"/>
    <x v="228"/>
    <n v="2"/>
    <x v="1"/>
    <x v="5"/>
    <n v="0.3"/>
    <n v="46.5"/>
    <n v="155"/>
    <n v="108.5"/>
    <s v="Daniel"/>
    <n v="1855"/>
    <s v="Resume + LinkedIn Profile"/>
    <d v="2024-11-08T00:00:00"/>
    <n v="1"/>
    <s v="In Progress"/>
    <s v="SA"/>
    <s v="45182 Elizabeth Street"/>
    <s v="Adelaide"/>
    <n v="5000"/>
    <n v="800"/>
    <n v="800"/>
    <s v="+61 9 3214 5863"/>
  </r>
  <r>
    <n v="3624"/>
    <s v="Middleton"/>
    <s v="Jesse Middleton"/>
    <s v="Jesse"/>
    <n v="1856"/>
    <x v="1"/>
    <x v="55"/>
    <n v="2"/>
    <x v="3"/>
    <x v="0"/>
    <n v="0.3"/>
    <n v="324.3"/>
    <n v="1081"/>
    <n v="756.7"/>
    <s v="Terrence"/>
    <n v="1856"/>
    <s v="Resume + LinkedIn Profile"/>
    <d v="2024-02-04T00:00:00"/>
    <n v="2"/>
    <s v="Cancelled"/>
    <s v="WA"/>
    <s v="82381 Main Street"/>
    <s v="Broome"/>
    <n v="6725"/>
    <n v="800"/>
    <n v="1600"/>
    <s v="+61 3 8650 9016"/>
  </r>
  <r>
    <n v="3625"/>
    <s v="Hubbard"/>
    <s v="Kyle Hubbard"/>
    <s v="Kyle"/>
    <n v="1857"/>
    <x v="1"/>
    <x v="203"/>
    <n v="3"/>
    <x v="0"/>
    <x v="5"/>
    <n v="0.3"/>
    <n v="105.89999999999999"/>
    <n v="353"/>
    <n v="247.10000000000002"/>
    <s v="Brian"/>
    <n v="1857"/>
    <s v="Resume + LinkedIn Profile"/>
    <d v="2024-02-12T00:00:00"/>
    <n v="1"/>
    <s v="Delivered"/>
    <s v="SA"/>
    <s v="88383 George Street"/>
    <s v="Whyalla"/>
    <n v="5600"/>
    <n v="800"/>
    <n v="800"/>
    <s v="+61 2 5599 9574"/>
  </r>
  <r>
    <n v="3626"/>
    <s v="Barber"/>
    <s v="Marcus Barber"/>
    <s v="Marcus"/>
    <n v="1858"/>
    <x v="4"/>
    <x v="76"/>
    <n v="2"/>
    <x v="0"/>
    <x v="7"/>
    <n v="0.25"/>
    <n v="220.5"/>
    <n v="882"/>
    <n v="661.5"/>
    <s v="Terrence"/>
    <n v="1858"/>
    <s v="Mentoring program"/>
    <d v="2024-12-16T00:00:00"/>
    <n v="3"/>
    <s v="Delivered"/>
    <s v="NT"/>
    <s v="10702 King Street"/>
    <s v="Darwin"/>
    <n v="800"/>
    <n v="1200"/>
    <n v="3600"/>
    <s v="+61 7 9389 6402"/>
  </r>
  <r>
    <n v="3627"/>
    <s v="Montes"/>
    <s v="Catalina Montes"/>
    <s v="Catalina"/>
    <n v="1859"/>
    <x v="5"/>
    <x v="189"/>
    <n v="1"/>
    <x v="2"/>
    <x v="3"/>
    <n v="0.3"/>
    <n v="351.3"/>
    <n v="1171"/>
    <n v="819.7"/>
    <s v="Terrence"/>
    <n v="1859"/>
    <s v="Resume (service fee)"/>
    <d v="2024-02-28T00:00:00"/>
    <n v="2"/>
    <s v="Service Booked"/>
    <s v="VIC"/>
    <s v="72471 King Street"/>
    <s v="Ballarat"/>
    <n v="3350"/>
    <n v="600"/>
    <n v="1200"/>
    <s v="+61 9 9410 7462"/>
  </r>
  <r>
    <n v="3628"/>
    <s v="Curry"/>
    <s v="Nadia Curry"/>
    <s v="Nadia"/>
    <n v="1860"/>
    <x v="0"/>
    <x v="290"/>
    <n v="2"/>
    <x v="2"/>
    <x v="0"/>
    <n v="0.1"/>
    <n v="153.20000000000002"/>
    <n v="1532"/>
    <n v="1378.8"/>
    <s v="Daniel"/>
    <n v="1860"/>
    <s v="Interview Prep"/>
    <d v="2024-03-07T00:00:00"/>
    <n v="2"/>
    <s v="Service Booked"/>
    <s v="WA"/>
    <s v="2385 Park Avenue"/>
    <s v="Fremantle"/>
    <n v="6160"/>
    <n v="250"/>
    <n v="500"/>
    <s v="+61 5 9679 4455"/>
  </r>
  <r>
    <n v="3629"/>
    <s v="Rowe"/>
    <s v="Trinity Rowe"/>
    <s v="Trinity"/>
    <n v="1861"/>
    <x v="1"/>
    <x v="85"/>
    <n v="3"/>
    <x v="0"/>
    <x v="4"/>
    <n v="0.3"/>
    <n v="205.79999999999998"/>
    <n v="686"/>
    <n v="480.20000000000005"/>
    <s v="Brian"/>
    <n v="1861"/>
    <s v="Resume + LinkedIn Profile"/>
    <d v="2024-04-16T00:00:00"/>
    <n v="3"/>
    <s v="Delivered"/>
    <s v="QLD"/>
    <s v="43006 King Street"/>
    <s v="Brisbane"/>
    <n v="4000"/>
    <n v="800"/>
    <n v="2400"/>
    <s v="+61 9 4595 1182"/>
  </r>
  <r>
    <n v="3630"/>
    <s v="Adkins"/>
    <s v="Sullivan Adkins"/>
    <s v="Sullivan"/>
    <n v="1862"/>
    <x v="4"/>
    <x v="192"/>
    <n v="1"/>
    <x v="0"/>
    <x v="2"/>
    <n v="0.25"/>
    <n v="279"/>
    <n v="1116"/>
    <n v="837"/>
    <s v="Brian"/>
    <n v="1862"/>
    <s v="Mentoring program"/>
    <d v="2024-01-15T00:00:00"/>
    <n v="3"/>
    <s v="Delivered"/>
    <s v="NSW"/>
    <s v="85495 Elizabeth Street"/>
    <s v="Newcastle"/>
    <n v="2300"/>
    <n v="1200"/>
    <n v="3600"/>
    <s v="+61 5 1862 3850"/>
  </r>
  <r>
    <n v="3631"/>
    <s v="Cole"/>
    <s v="Ian Cole"/>
    <s v="Ian"/>
    <n v="1863"/>
    <x v="1"/>
    <x v="5"/>
    <n v="2"/>
    <x v="2"/>
    <x v="2"/>
    <n v="0.3"/>
    <n v="356.09999999999997"/>
    <n v="1187"/>
    <n v="830.90000000000009"/>
    <s v="Brian"/>
    <n v="1863"/>
    <s v="Resume + LinkedIn Profile"/>
    <d v="2024-06-06T00:00:00"/>
    <n v="2"/>
    <s v="Service Booked"/>
    <s v="NSW"/>
    <s v="23455 Park Avenue"/>
    <s v="Newcastle"/>
    <n v="2300"/>
    <n v="800"/>
    <n v="1600"/>
    <s v="+61 5 9589 6157"/>
  </r>
  <r>
    <n v="3632"/>
    <s v="Page"/>
    <s v="Cairo Page"/>
    <s v="Cairo"/>
    <n v="1864"/>
    <x v="1"/>
    <x v="83"/>
    <n v="1"/>
    <x v="0"/>
    <x v="2"/>
    <n v="0.3"/>
    <n v="200.7"/>
    <n v="669"/>
    <n v="468.3"/>
    <s v="Terrence"/>
    <n v="1864"/>
    <s v="Resume + LinkedIn Profile"/>
    <d v="2024-04-29T00:00:00"/>
    <n v="2"/>
    <s v="Delivered"/>
    <s v="NSW"/>
    <s v="76892 Elizabeth Street"/>
    <s v="Wollongong"/>
    <n v="2500"/>
    <n v="800"/>
    <n v="1600"/>
    <s v="+61 9 2088 4579"/>
  </r>
  <r>
    <n v="3633"/>
    <s v="Quintero"/>
    <s v="Emersyn Quintero"/>
    <s v="Emersyn"/>
    <n v="1865"/>
    <x v="1"/>
    <x v="1"/>
    <n v="1"/>
    <x v="3"/>
    <x v="5"/>
    <n v="0.3"/>
    <n v="324.59999999999997"/>
    <n v="1082"/>
    <n v="757.40000000000009"/>
    <s v="Daniel"/>
    <n v="1865"/>
    <s v="Resume + LinkedIn Profile"/>
    <d v="2024-07-18T00:00:00"/>
    <n v="3"/>
    <s v="Cancelled"/>
    <s v="SA"/>
    <s v="95315 Main Street"/>
    <s v="Whyalla"/>
    <n v="5600"/>
    <n v="800"/>
    <n v="2400"/>
    <s v="+61 3 2820 1182"/>
  </r>
  <r>
    <n v="3634"/>
    <s v="Huff"/>
    <s v="Edgar Huff"/>
    <s v="Edgar"/>
    <n v="1866"/>
    <x v="5"/>
    <x v="159"/>
    <n v="2"/>
    <x v="2"/>
    <x v="1"/>
    <n v="0.3"/>
    <n v="273.3"/>
    <n v="911"/>
    <n v="637.70000000000005"/>
    <s v="Brian"/>
    <n v="1866"/>
    <s v="Resume (service fee)"/>
    <d v="2024-03-12T00:00:00"/>
    <n v="2"/>
    <s v="Service Booked"/>
    <s v="ACT"/>
    <s v="3524 Main Street"/>
    <s v="Canberra"/>
    <n v="2600"/>
    <n v="600"/>
    <n v="1200"/>
    <s v="+61 8 1282 9452"/>
  </r>
  <r>
    <n v="3635"/>
    <s v="Stevenson"/>
    <s v="Kyler Stevenson"/>
    <s v="Kyler"/>
    <n v="1867"/>
    <x v="0"/>
    <x v="48"/>
    <n v="3"/>
    <x v="1"/>
    <x v="5"/>
    <n v="0.1"/>
    <n v="128.30000000000001"/>
    <n v="1283"/>
    <n v="1154.7"/>
    <s v="Kelly"/>
    <n v="1867"/>
    <s v="Interview Prep"/>
    <d v="2024-02-18T00:00:00"/>
    <n v="3"/>
    <s v="In Progress"/>
    <s v="SA"/>
    <s v="53905 King Street"/>
    <s v="Whyalla"/>
    <n v="5600"/>
    <n v="250"/>
    <n v="750"/>
    <s v="+61 8 5999 7305"/>
  </r>
  <r>
    <n v="3636"/>
    <s v="Ryan"/>
    <s v="Maisie Ryan"/>
    <s v="Maisie"/>
    <n v="1868"/>
    <x v="3"/>
    <x v="162"/>
    <n v="3"/>
    <x v="3"/>
    <x v="7"/>
    <n v="0.2"/>
    <n v="107"/>
    <n v="535"/>
    <n v="428"/>
    <s v="Kelly"/>
    <n v="1868"/>
    <s v="Networking Strategy"/>
    <d v="2024-07-25T00:00:00"/>
    <n v="2"/>
    <s v="Cancelled"/>
    <s v="NT"/>
    <s v="10471 George Street"/>
    <s v="Darwin"/>
    <n v="800"/>
    <n v="250"/>
    <n v="500"/>
    <s v="+61 8 9329 6404"/>
  </r>
  <r>
    <n v="3637"/>
    <s v="Tanner"/>
    <s v="Noa Tanner"/>
    <s v="Noa"/>
    <n v="1869"/>
    <x v="2"/>
    <x v="252"/>
    <n v="2"/>
    <x v="1"/>
    <x v="2"/>
    <n v="0.25"/>
    <n v="108.25"/>
    <n v="433"/>
    <n v="324.75"/>
    <s v="Priscilla"/>
    <n v="1869"/>
    <s v="LinkedIn profile"/>
    <d v="2024-02-19T00:00:00"/>
    <n v="1"/>
    <s v="In Progress"/>
    <s v="NSW"/>
    <s v="90527 King Street"/>
    <s v="Newcastle"/>
    <n v="2300"/>
    <n v="300"/>
    <n v="300"/>
    <s v="+61 9 7687 1598"/>
  </r>
  <r>
    <n v="3638"/>
    <s v="Simpson"/>
    <s v="Alexandra Simpson"/>
    <s v="Alexandra"/>
    <n v="1870"/>
    <x v="2"/>
    <x v="60"/>
    <n v="1"/>
    <x v="0"/>
    <x v="0"/>
    <n v="0.25"/>
    <n v="384.75"/>
    <n v="1539"/>
    <n v="1154.25"/>
    <s v="Terrence"/>
    <n v="1870"/>
    <s v="LinkedIn profile"/>
    <d v="2024-09-21T00:00:00"/>
    <n v="3"/>
    <s v="Delivered"/>
    <s v="WA"/>
    <s v="95312 Main Street"/>
    <s v="Broome"/>
    <n v="6725"/>
    <n v="300"/>
    <n v="900"/>
    <s v="+61 6 3529 8182"/>
  </r>
  <r>
    <n v="3639"/>
    <s v="Russell"/>
    <s v="Kora Russell"/>
    <s v="Kora"/>
    <n v="1871"/>
    <x v="3"/>
    <x v="305"/>
    <n v="2"/>
    <x v="2"/>
    <x v="3"/>
    <n v="0.2"/>
    <n v="46.800000000000004"/>
    <n v="234"/>
    <n v="187.2"/>
    <s v="Brian"/>
    <n v="1871"/>
    <s v="Networking Strategy"/>
    <d v="2024-05-25T00:00:00"/>
    <n v="3"/>
    <s v="Service Booked"/>
    <s v="VIC"/>
    <s v="43807 George Street"/>
    <s v="Melbourne"/>
    <n v="3000"/>
    <n v="250"/>
    <n v="750"/>
    <s v="+61 9 1649 5990"/>
  </r>
  <r>
    <n v="3640"/>
    <s v="Colón"/>
    <s v="Samara Colón"/>
    <s v="Samara"/>
    <n v="1872"/>
    <x v="2"/>
    <x v="283"/>
    <n v="2"/>
    <x v="2"/>
    <x v="3"/>
    <n v="0.25"/>
    <n v="258.5"/>
    <n v="1034"/>
    <n v="775.5"/>
    <s v="Brian"/>
    <n v="1872"/>
    <s v="LinkedIn profile"/>
    <d v="2024-09-16T00:00:00"/>
    <n v="1"/>
    <s v="Service Booked"/>
    <s v="VIC"/>
    <s v="40767 Park Avenue"/>
    <s v="Geelong"/>
    <n v="3220"/>
    <n v="300"/>
    <n v="300"/>
    <s v="+61 2 9702 6218"/>
  </r>
  <r>
    <n v="3641"/>
    <s v="Singh"/>
    <s v="Joaquin Singh"/>
    <s v="Joaquin"/>
    <n v="1873"/>
    <x v="3"/>
    <x v="60"/>
    <n v="1"/>
    <x v="1"/>
    <x v="3"/>
    <n v="0.2"/>
    <n v="211.4"/>
    <n v="1057"/>
    <n v="845.6"/>
    <s v="Daniel"/>
    <n v="1873"/>
    <s v="Networking Strategy"/>
    <d v="2024-09-21T00:00:00"/>
    <n v="1"/>
    <s v="In Progress"/>
    <s v="VIC"/>
    <s v="59782 Elizabeth Street"/>
    <s v="Melbourne"/>
    <n v="3000"/>
    <n v="250"/>
    <n v="250"/>
    <s v="+61 4 9697 5075"/>
  </r>
  <r>
    <n v="3642"/>
    <s v="Hoffman"/>
    <s v="Joy Hoffman"/>
    <s v="Joy"/>
    <n v="1874"/>
    <x v="4"/>
    <x v="12"/>
    <n v="1"/>
    <x v="0"/>
    <x v="3"/>
    <n v="0.25"/>
    <n v="358.75"/>
    <n v="1435"/>
    <n v="1076.25"/>
    <s v="Priscilla"/>
    <n v="1874"/>
    <s v="Mentoring program"/>
    <d v="2024-07-13T00:00:00"/>
    <n v="3"/>
    <s v="Delivered"/>
    <s v="VIC"/>
    <s v="39820 Main Street"/>
    <s v="Ballarat"/>
    <n v="3350"/>
    <n v="1200"/>
    <n v="3600"/>
    <s v="+61 5 8680 9754"/>
  </r>
  <r>
    <n v="3643"/>
    <s v="Martin"/>
    <s v="Gabriel Martin"/>
    <s v="Gabriel"/>
    <n v="1875"/>
    <x v="4"/>
    <x v="261"/>
    <n v="3"/>
    <x v="0"/>
    <x v="6"/>
    <n v="0.25"/>
    <n v="74.25"/>
    <n v="297"/>
    <n v="222.75"/>
    <s v="Priscilla"/>
    <n v="1875"/>
    <s v="Mentoring program"/>
    <d v="2024-08-24T00:00:00"/>
    <n v="1"/>
    <s v="Delivered"/>
    <s v="TAS"/>
    <s v="25306 Main Street"/>
    <s v="Devonport"/>
    <n v="7310"/>
    <n v="1200"/>
    <n v="1200"/>
    <s v="+61 2 2000 4435"/>
  </r>
  <r>
    <n v="3644"/>
    <s v="Tucker"/>
    <s v="Patrick Tucker"/>
    <s v="Patrick"/>
    <n v="1876"/>
    <x v="3"/>
    <x v="148"/>
    <n v="1"/>
    <x v="2"/>
    <x v="7"/>
    <n v="0.2"/>
    <n v="216.60000000000002"/>
    <n v="1083"/>
    <n v="866.4"/>
    <s v="Daniel"/>
    <n v="1876"/>
    <s v="Networking Strategy"/>
    <d v="2024-01-07T00:00:00"/>
    <n v="2"/>
    <s v="Service Booked"/>
    <s v="NT"/>
    <s v="7676 Elizabeth Street"/>
    <s v="Darwin"/>
    <n v="800"/>
    <n v="250"/>
    <n v="500"/>
    <s v="+61 9 4368 8288"/>
  </r>
  <r>
    <n v="3645"/>
    <s v="Mullins"/>
    <s v="Regina Mullins"/>
    <s v="Regina"/>
    <n v="1877"/>
    <x v="1"/>
    <x v="270"/>
    <n v="2"/>
    <x v="0"/>
    <x v="3"/>
    <n v="0.3"/>
    <n v="455.4"/>
    <n v="1518"/>
    <n v="1062.5999999999999"/>
    <s v="Daniel"/>
    <n v="1877"/>
    <s v="Resume + LinkedIn Profile"/>
    <d v="2024-04-20T00:00:00"/>
    <n v="3"/>
    <s v="Delivered"/>
    <s v="VIC"/>
    <s v="74881 Main Street"/>
    <s v="Melbourne"/>
    <n v="3000"/>
    <n v="800"/>
    <n v="2400"/>
    <s v="+61 2 1240 4668"/>
  </r>
  <r>
    <n v="3646"/>
    <s v="Norris"/>
    <s v="Hayes Norris"/>
    <s v="Hayes"/>
    <n v="1878"/>
    <x v="4"/>
    <x v="86"/>
    <n v="3"/>
    <x v="0"/>
    <x v="2"/>
    <n v="0.25"/>
    <n v="117.75"/>
    <n v="471"/>
    <n v="353.25"/>
    <s v="Brian"/>
    <n v="1878"/>
    <s v="Mentoring program"/>
    <d v="2024-07-01T00:00:00"/>
    <n v="2"/>
    <s v="Delivered"/>
    <s v="NSW"/>
    <s v="23036 King Street"/>
    <s v="Newcastle"/>
    <n v="2300"/>
    <n v="1200"/>
    <n v="2400"/>
    <s v="+61 9 4874 1313"/>
  </r>
  <r>
    <n v="3647"/>
    <s v="Best"/>
    <s v="Kaylee Best"/>
    <s v="Kaylee"/>
    <n v="1879"/>
    <x v="1"/>
    <x v="274"/>
    <n v="3"/>
    <x v="1"/>
    <x v="7"/>
    <n v="0.3"/>
    <n v="266.39999999999998"/>
    <n v="888"/>
    <n v="621.6"/>
    <s v="Brian"/>
    <n v="1879"/>
    <s v="Resume + LinkedIn Profile"/>
    <d v="2024-11-21T00:00:00"/>
    <n v="3"/>
    <s v="In Progress"/>
    <s v="NT"/>
    <s v="94318 Main Street"/>
    <s v="Darwin"/>
    <n v="800"/>
    <n v="800"/>
    <n v="2400"/>
    <s v="+61 3 7736 7839"/>
  </r>
  <r>
    <n v="3648"/>
    <s v="Mcgee"/>
    <s v="Brooklynn Mcgee"/>
    <s v="Brooklynn"/>
    <n v="1880"/>
    <x v="1"/>
    <x v="231"/>
    <n v="3"/>
    <x v="2"/>
    <x v="0"/>
    <n v="0.3"/>
    <n v="203.1"/>
    <n v="677"/>
    <n v="473.9"/>
    <s v="Daniel"/>
    <n v="1880"/>
    <s v="Resume + LinkedIn Profile"/>
    <d v="2024-07-10T00:00:00"/>
    <n v="2"/>
    <s v="Service Booked"/>
    <s v="WA"/>
    <s v="95924 King Street"/>
    <s v="Fremantle"/>
    <n v="6160"/>
    <n v="800"/>
    <n v="1600"/>
    <s v="+61 8 8494 2214"/>
  </r>
  <r>
    <n v="3649"/>
    <s v="Rose"/>
    <s v="Zaire Rose"/>
    <s v="Zaire"/>
    <n v="1881"/>
    <x v="4"/>
    <x v="261"/>
    <n v="2"/>
    <x v="0"/>
    <x v="7"/>
    <n v="0.25"/>
    <n v="172.25"/>
    <n v="689"/>
    <n v="516.75"/>
    <s v="Priscilla"/>
    <n v="1881"/>
    <s v="Mentoring program"/>
    <d v="2024-08-24T00:00:00"/>
    <n v="2"/>
    <s v="Delivered"/>
    <s v="NT"/>
    <s v="98853 Elizabeth Street"/>
    <s v="Darwin"/>
    <n v="800"/>
    <n v="1200"/>
    <n v="2400"/>
    <s v="+61 2 3597 7348"/>
  </r>
  <r>
    <n v="3650"/>
    <s v="Novak"/>
    <s v="Wade Novak"/>
    <s v="Wade"/>
    <n v="1882"/>
    <x v="3"/>
    <x v="272"/>
    <n v="2"/>
    <x v="2"/>
    <x v="0"/>
    <n v="0.2"/>
    <n v="73"/>
    <n v="365"/>
    <n v="292"/>
    <s v="Terrence"/>
    <n v="1882"/>
    <s v="Networking Strategy"/>
    <d v="2024-02-01T00:00:00"/>
    <n v="2"/>
    <s v="Service Booked"/>
    <s v="WA"/>
    <s v="99129 King Street"/>
    <s v="Fremantle"/>
    <n v="6160"/>
    <n v="250"/>
    <n v="500"/>
    <s v="+61 6 8212 8022"/>
  </r>
  <r>
    <n v="3651"/>
    <s v="Haley"/>
    <s v="Sonny Haley"/>
    <s v="Sonny"/>
    <n v="1883"/>
    <x v="2"/>
    <x v="142"/>
    <n v="1"/>
    <x v="3"/>
    <x v="0"/>
    <n v="0.25"/>
    <n v="234.75"/>
    <n v="939"/>
    <n v="704.25"/>
    <s v="Terrence"/>
    <n v="1883"/>
    <s v="LinkedIn profile"/>
    <d v="2024-11-24T00:00:00"/>
    <n v="2"/>
    <s v="Cancelled"/>
    <s v="WA"/>
    <s v="86435 Park Avenue"/>
    <s v="Broome"/>
    <n v="6725"/>
    <n v="300"/>
    <n v="600"/>
    <s v="+61 3 6457 2981"/>
  </r>
  <r>
    <n v="3652"/>
    <s v="Solis"/>
    <s v="Jonathan Solis"/>
    <s v="Jonathan"/>
    <n v="1884"/>
    <x v="1"/>
    <x v="306"/>
    <n v="3"/>
    <x v="2"/>
    <x v="3"/>
    <n v="0.3"/>
    <n v="445.5"/>
    <n v="1485"/>
    <n v="1039.5"/>
    <s v="Brian"/>
    <n v="1884"/>
    <s v="Resume + LinkedIn Profile"/>
    <d v="2024-06-27T00:00:00"/>
    <n v="2"/>
    <s v="Service Booked"/>
    <s v="VIC"/>
    <s v="99075 Elizabeth Street"/>
    <s v="Melbourne"/>
    <n v="3000"/>
    <n v="800"/>
    <n v="1600"/>
    <s v="+61 9 7562 5019"/>
  </r>
  <r>
    <n v="3653"/>
    <s v="Powell"/>
    <s v="Katherine Powell"/>
    <s v="Katherine"/>
    <n v="1885"/>
    <x v="3"/>
    <x v="0"/>
    <n v="1"/>
    <x v="2"/>
    <x v="5"/>
    <n v="0.2"/>
    <n v="197"/>
    <n v="985"/>
    <n v="788"/>
    <s v="Brian"/>
    <n v="1885"/>
    <s v="Networking Strategy"/>
    <d v="2024-05-06T00:00:00"/>
    <n v="1"/>
    <s v="Service Booked"/>
    <s v="SA"/>
    <s v="80610 Park Avenue"/>
    <s v="Whyalla"/>
    <n v="5600"/>
    <n v="250"/>
    <n v="250"/>
    <s v="+61 7 8871 4504"/>
  </r>
  <r>
    <n v="3654"/>
    <s v="Roth"/>
    <s v="Ximena Roth"/>
    <s v="Ximena"/>
    <n v="1886"/>
    <x v="1"/>
    <x v="257"/>
    <n v="3"/>
    <x v="0"/>
    <x v="7"/>
    <n v="0.3"/>
    <n v="109.2"/>
    <n v="364"/>
    <n v="254.8"/>
    <s v="Daniel"/>
    <n v="1886"/>
    <s v="Resume + LinkedIn Profile"/>
    <d v="2024-07-30T00:00:00"/>
    <n v="1"/>
    <s v="Delivered"/>
    <s v="NT"/>
    <s v="15053 George Street"/>
    <s v="Darwin"/>
    <n v="800"/>
    <n v="800"/>
    <n v="800"/>
    <s v="+61 8 6092 8073"/>
  </r>
  <r>
    <n v="3655"/>
    <s v="Matthews"/>
    <s v="Stetson Matthews"/>
    <s v="Stetson"/>
    <n v="1887"/>
    <x v="1"/>
    <x v="199"/>
    <n v="1"/>
    <x v="0"/>
    <x v="6"/>
    <n v="0.3"/>
    <n v="233.7"/>
    <n v="779"/>
    <n v="545.29999999999995"/>
    <s v="Priscilla"/>
    <n v="1887"/>
    <s v="Resume + LinkedIn Profile"/>
    <d v="2024-01-16T00:00:00"/>
    <n v="3"/>
    <s v="Delivered"/>
    <s v="TAS"/>
    <s v="9406 George Street"/>
    <s v="Launceston"/>
    <n v="7250"/>
    <n v="800"/>
    <n v="2400"/>
    <s v="+61 5 1259 7152"/>
  </r>
  <r>
    <n v="3656"/>
    <s v="Gray"/>
    <s v="Adelina Gray"/>
    <s v="Adelina"/>
    <n v="1888"/>
    <x v="1"/>
    <x v="307"/>
    <n v="1"/>
    <x v="0"/>
    <x v="0"/>
    <n v="0.3"/>
    <n v="231.6"/>
    <n v="772"/>
    <n v="540.4"/>
    <s v="Priscilla"/>
    <n v="1888"/>
    <s v="Resume + LinkedIn Profile"/>
    <d v="2024-11-14T00:00:00"/>
    <n v="1"/>
    <s v="Delivered"/>
    <s v="WA"/>
    <s v="41533 George Street"/>
    <s v="Broome"/>
    <n v="6725"/>
    <n v="800"/>
    <n v="800"/>
    <s v="+61 2 1569 1905"/>
  </r>
  <r>
    <n v="3657"/>
    <s v="Rosario"/>
    <s v="Casey Rosario"/>
    <s v="Casey"/>
    <n v="1889"/>
    <x v="5"/>
    <x v="246"/>
    <n v="1"/>
    <x v="3"/>
    <x v="1"/>
    <n v="0.3"/>
    <n v="304.5"/>
    <n v="1015"/>
    <n v="710.5"/>
    <s v="Priscilla"/>
    <n v="1889"/>
    <s v="Resume (service fee)"/>
    <d v="2024-05-27T00:00:00"/>
    <n v="3"/>
    <s v="Cancelled"/>
    <s v="ACT"/>
    <s v="28060 Main Street"/>
    <s v="Canberra"/>
    <n v="2600"/>
    <n v="600"/>
    <n v="1800"/>
    <s v="+61 7 6292 6782"/>
  </r>
  <r>
    <n v="3658"/>
    <s v="Fuentes"/>
    <s v="Sutton Fuentes"/>
    <s v="Sutton"/>
    <n v="1890"/>
    <x v="4"/>
    <x v="308"/>
    <n v="1"/>
    <x v="2"/>
    <x v="4"/>
    <n v="0.25"/>
    <n v="275.25"/>
    <n v="1101"/>
    <n v="825.75"/>
    <s v="Kelly"/>
    <n v="1890"/>
    <s v="Mentoring program"/>
    <d v="2024-10-19T00:00:00"/>
    <n v="3"/>
    <s v="Service Booked"/>
    <s v="QLD"/>
    <s v="64509 Main Street"/>
    <s v="Gold Coast"/>
    <n v="4217"/>
    <n v="1200"/>
    <n v="3600"/>
    <s v="+61 7 7862 3307"/>
  </r>
  <r>
    <n v="3659"/>
    <s v="Steele"/>
    <s v="Briella Steele"/>
    <s v="Briella"/>
    <n v="1891"/>
    <x v="5"/>
    <x v="309"/>
    <n v="1"/>
    <x v="2"/>
    <x v="6"/>
    <n v="0.3"/>
    <n v="351.9"/>
    <n v="1173"/>
    <n v="821.1"/>
    <s v="Daniel"/>
    <n v="1891"/>
    <s v="Resume (service fee)"/>
    <d v="2024-07-29T00:00:00"/>
    <n v="2"/>
    <s v="Service Booked"/>
    <s v="TAS"/>
    <s v="94366 Main Street"/>
    <s v="Devonport"/>
    <n v="7310"/>
    <n v="600"/>
    <n v="1200"/>
    <s v="+61 9 6484 4375"/>
  </r>
  <r>
    <n v="3660"/>
    <s v="Patton"/>
    <s v="Allie Patton"/>
    <s v="Allie"/>
    <n v="1892"/>
    <x v="5"/>
    <x v="310"/>
    <n v="3"/>
    <x v="2"/>
    <x v="2"/>
    <n v="0.3"/>
    <n v="301.8"/>
    <n v="1006"/>
    <n v="704.2"/>
    <s v="Kelly"/>
    <n v="1892"/>
    <s v="Resume (service fee)"/>
    <d v="2024-08-30T00:00:00"/>
    <n v="2"/>
    <s v="Service Booked"/>
    <s v="NSW"/>
    <s v="37668 Park Avenue"/>
    <s v="Wollongong"/>
    <n v="2500"/>
    <n v="600"/>
    <n v="1200"/>
    <s v="+61 9 1319 5639"/>
  </r>
  <r>
    <n v="3661"/>
    <s v="Guerra"/>
    <s v="Ryker Guerra"/>
    <s v="Ryker"/>
    <n v="1893"/>
    <x v="5"/>
    <x v="198"/>
    <n v="1"/>
    <x v="1"/>
    <x v="4"/>
    <n v="0.3"/>
    <n v="42.3"/>
    <n v="141"/>
    <n v="98.7"/>
    <s v="Brian"/>
    <n v="1893"/>
    <s v="Resume (service fee)"/>
    <d v="2024-09-04T00:00:00"/>
    <n v="1"/>
    <s v="In Progress"/>
    <s v="QLD"/>
    <s v="92896 George Street"/>
    <s v="Gold Coast"/>
    <n v="4217"/>
    <n v="600"/>
    <n v="600"/>
    <s v="+61 7 8530 9220"/>
  </r>
  <r>
    <n v="3662"/>
    <s v="Mora"/>
    <s v="Abigail Mora"/>
    <s v="Abigail"/>
    <n v="1894"/>
    <x v="4"/>
    <x v="260"/>
    <n v="2"/>
    <x v="1"/>
    <x v="6"/>
    <n v="0.25"/>
    <n v="86.75"/>
    <n v="347"/>
    <n v="260.25"/>
    <s v="Terrence"/>
    <n v="1894"/>
    <s v="Mentoring program"/>
    <d v="2024-02-06T00:00:00"/>
    <n v="1"/>
    <s v="In Progress"/>
    <s v="TAS"/>
    <s v="32490 Main Street"/>
    <s v="Devonport"/>
    <n v="7310"/>
    <n v="1200"/>
    <n v="1200"/>
    <s v="+61 3 8705 4047"/>
  </r>
  <r>
    <n v="3663"/>
    <s v="Hanson"/>
    <s v="Kayla Hanson"/>
    <s v="Kayla"/>
    <n v="1895"/>
    <x v="0"/>
    <x v="85"/>
    <n v="1"/>
    <x v="2"/>
    <x v="6"/>
    <n v="0.1"/>
    <n v="27.6"/>
    <n v="276"/>
    <n v="248.4"/>
    <s v="Kelly"/>
    <n v="1895"/>
    <s v="Interview Prep"/>
    <d v="2024-04-16T00:00:00"/>
    <n v="2"/>
    <s v="Service Booked"/>
    <s v="TAS"/>
    <s v="49154 Main Street"/>
    <s v="Devonport"/>
    <n v="7310"/>
    <n v="250"/>
    <n v="500"/>
    <s v="+61 7 7992 4290"/>
  </r>
  <r>
    <n v="3664"/>
    <s v="Barnes"/>
    <s v="Naomi Barnes"/>
    <s v="Naomi"/>
    <n v="1896"/>
    <x v="3"/>
    <x v="284"/>
    <n v="3"/>
    <x v="2"/>
    <x v="3"/>
    <n v="0.2"/>
    <n v="359.20000000000005"/>
    <n v="1796"/>
    <n v="1436.8"/>
    <s v="Daniel"/>
    <n v="1896"/>
    <s v="Networking Strategy"/>
    <d v="2024-01-20T00:00:00"/>
    <n v="2"/>
    <s v="Service Booked"/>
    <s v="VIC"/>
    <s v="28524 Main Street"/>
    <s v="Melbourne"/>
    <n v="3000"/>
    <n v="250"/>
    <n v="500"/>
    <s v="+61 9 9996 1404"/>
  </r>
  <r>
    <n v="3665"/>
    <s v="Carson"/>
    <s v="Sullivan Carson"/>
    <s v="Sullivan"/>
    <n v="1897"/>
    <x v="4"/>
    <x v="311"/>
    <n v="3"/>
    <x v="3"/>
    <x v="0"/>
    <n v="0.25"/>
    <n v="181.5"/>
    <n v="726"/>
    <n v="544.5"/>
    <s v="Kelly"/>
    <n v="1897"/>
    <s v="Mentoring program"/>
    <d v="2024-01-08T00:00:00"/>
    <n v="3"/>
    <s v="Cancelled"/>
    <s v="WA"/>
    <s v="93002 Park Avenue"/>
    <s v="Fremantle"/>
    <n v="6160"/>
    <n v="1200"/>
    <n v="3600"/>
    <s v="+61 3 7143 4027"/>
  </r>
  <r>
    <n v="3666"/>
    <s v="Larson"/>
    <s v="Jasmine Larson"/>
    <s v="Jasmine"/>
    <n v="1898"/>
    <x v="4"/>
    <x v="216"/>
    <n v="1"/>
    <x v="0"/>
    <x v="4"/>
    <n v="0.25"/>
    <n v="261.75"/>
    <n v="1047"/>
    <n v="785.25"/>
    <s v="Daniel"/>
    <n v="1898"/>
    <s v="Mentoring program"/>
    <d v="2024-05-11T00:00:00"/>
    <n v="3"/>
    <s v="Delivered"/>
    <s v="QLD"/>
    <s v="85197 Main Street"/>
    <s v="Brisbane"/>
    <n v="4000"/>
    <n v="1200"/>
    <n v="3600"/>
    <s v="+61 4 4117 1129"/>
  </r>
  <r>
    <n v="3667"/>
    <s v="Sutton"/>
    <s v="Cataleya Sutton"/>
    <s v="Cataleya"/>
    <n v="1899"/>
    <x v="0"/>
    <x v="90"/>
    <n v="1"/>
    <x v="0"/>
    <x v="0"/>
    <n v="0.1"/>
    <n v="112.5"/>
    <n v="1125"/>
    <n v="1012.5"/>
    <s v="Brian"/>
    <n v="1899"/>
    <s v="Interview Prep"/>
    <d v="2024-03-27T00:00:00"/>
    <n v="1"/>
    <s v="Delivered"/>
    <s v="WA"/>
    <s v="23272 George Street"/>
    <s v="Broome"/>
    <n v="6725"/>
    <n v="250"/>
    <n v="250"/>
    <s v="+61 3 1701 3745"/>
  </r>
  <r>
    <n v="3668"/>
    <s v="Velazquez"/>
    <s v="Georgia Velazquez"/>
    <s v="Georgia"/>
    <n v="1900"/>
    <x v="1"/>
    <x v="176"/>
    <n v="3"/>
    <x v="0"/>
    <x v="6"/>
    <n v="0.3"/>
    <n v="247.2"/>
    <n v="824"/>
    <n v="576.79999999999995"/>
    <s v="Priscilla"/>
    <n v="1900"/>
    <s v="Resume + LinkedIn Profile"/>
    <d v="2024-11-15T00:00:00"/>
    <n v="1"/>
    <s v="Delivered"/>
    <s v="TAS"/>
    <s v="40470 King Street"/>
    <s v="Launceston"/>
    <n v="7250"/>
    <n v="800"/>
    <n v="800"/>
    <s v="+61 7 3802 4381"/>
  </r>
  <r>
    <n v="3669"/>
    <s v="Hall"/>
    <s v="Sterling Hall"/>
    <s v="Sterling"/>
    <n v="1901"/>
    <x v="3"/>
    <x v="285"/>
    <n v="3"/>
    <x v="2"/>
    <x v="7"/>
    <n v="0.2"/>
    <n v="266.8"/>
    <n v="1334"/>
    <n v="1067.2"/>
    <s v="Terrence"/>
    <n v="1901"/>
    <s v="Networking Strategy"/>
    <d v="2024-06-09T00:00:00"/>
    <n v="2"/>
    <s v="Service Booked"/>
    <s v="NT"/>
    <s v="37505 Main Street"/>
    <s v="Alice Springs"/>
    <n v="870"/>
    <n v="250"/>
    <n v="500"/>
    <s v="+61 2 3912 2411"/>
  </r>
  <r>
    <n v="3670"/>
    <s v="Wong"/>
    <s v="Makayla Wong"/>
    <s v="Makayla"/>
    <n v="1902"/>
    <x v="3"/>
    <x v="133"/>
    <n v="3"/>
    <x v="2"/>
    <x v="1"/>
    <n v="0.2"/>
    <n v="258.2"/>
    <n v="1291"/>
    <n v="1032.8"/>
    <s v="Kelly"/>
    <n v="1902"/>
    <s v="Networking Strategy"/>
    <d v="2024-11-18T00:00:00"/>
    <n v="1"/>
    <s v="Service Booked"/>
    <s v="ACT"/>
    <s v="60573 Park Avenue"/>
    <s v="Canberra"/>
    <n v="2600"/>
    <n v="250"/>
    <n v="250"/>
    <s v="+61 4 8595 6702"/>
  </r>
  <r>
    <n v="3671"/>
    <s v="Anderson"/>
    <s v="Ailani Anderson"/>
    <s v="Ailani"/>
    <n v="1903"/>
    <x v="0"/>
    <x v="312"/>
    <n v="2"/>
    <x v="2"/>
    <x v="4"/>
    <n v="0.1"/>
    <n v="126.60000000000001"/>
    <n v="1266"/>
    <n v="1139.4000000000001"/>
    <s v="Kelly"/>
    <n v="1903"/>
    <s v="Interview Prep"/>
    <d v="2024-06-08T00:00:00"/>
    <n v="2"/>
    <s v="Service Booked"/>
    <s v="QLD"/>
    <s v="79524 Elizabeth Street"/>
    <s v="Gold Coast"/>
    <n v="4217"/>
    <n v="250"/>
    <n v="500"/>
    <s v="+61 2 7476 9141"/>
  </r>
  <r>
    <n v="3672"/>
    <s v="Griffin"/>
    <s v="Ariana Griffin"/>
    <s v="Ariana"/>
    <n v="1904"/>
    <x v="4"/>
    <x v="143"/>
    <n v="3"/>
    <x v="2"/>
    <x v="3"/>
    <n v="0.25"/>
    <n v="53"/>
    <n v="212"/>
    <n v="159"/>
    <s v="Brian"/>
    <n v="1904"/>
    <s v="Mentoring program"/>
    <d v="2024-06-28T00:00:00"/>
    <n v="3"/>
    <s v="Service Booked"/>
    <s v="VIC"/>
    <s v="22491 Main Street"/>
    <s v="Ballarat"/>
    <n v="3350"/>
    <n v="1200"/>
    <n v="3600"/>
    <s v="+61 4 7682 7214"/>
  </r>
  <r>
    <n v="3673"/>
    <s v="Wheeler"/>
    <s v="Warren Wheeler"/>
    <s v="Warren"/>
    <n v="1905"/>
    <x v="4"/>
    <x v="134"/>
    <n v="1"/>
    <x v="2"/>
    <x v="1"/>
    <n v="0.25"/>
    <n v="429.25"/>
    <n v="1717"/>
    <n v="1287.75"/>
    <s v="Daniel"/>
    <n v="1905"/>
    <s v="Mentoring program"/>
    <d v="2024-09-08T00:00:00"/>
    <n v="2"/>
    <s v="Service Booked"/>
    <s v="ACT"/>
    <s v="68642 Park Avenue"/>
    <s v="Canberra"/>
    <n v="2600"/>
    <n v="1200"/>
    <n v="2400"/>
    <s v="+61 4 9918 9128"/>
  </r>
  <r>
    <n v="3674"/>
    <s v="Enriquez"/>
    <s v="Shiloh Enriquez"/>
    <s v="Shiloh"/>
    <n v="1906"/>
    <x v="4"/>
    <x v="257"/>
    <n v="2"/>
    <x v="1"/>
    <x v="3"/>
    <n v="0.25"/>
    <n v="158"/>
    <n v="632"/>
    <n v="474"/>
    <s v="Brian"/>
    <n v="1906"/>
    <s v="Mentoring program"/>
    <d v="2024-07-30T00:00:00"/>
    <n v="1"/>
    <s v="In Progress"/>
    <s v="VIC"/>
    <s v="20837 George Street"/>
    <s v="Geelong"/>
    <n v="3220"/>
    <n v="1200"/>
    <n v="1200"/>
    <s v="+61 3 1587 3450"/>
  </r>
  <r>
    <n v="3675"/>
    <s v="Walker"/>
    <s v="Saige Walker"/>
    <s v="Saige"/>
    <n v="1907"/>
    <x v="5"/>
    <x v="232"/>
    <n v="1"/>
    <x v="0"/>
    <x v="7"/>
    <n v="0.3"/>
    <n v="473.09999999999997"/>
    <n v="1577"/>
    <n v="1103.9000000000001"/>
    <s v="Kelly"/>
    <n v="1907"/>
    <s v="Resume (service fee)"/>
    <d v="2024-08-03T00:00:00"/>
    <n v="1"/>
    <s v="Delivered"/>
    <s v="NT"/>
    <s v="39758 Elizabeth Street"/>
    <s v="Darwin"/>
    <n v="800"/>
    <n v="600"/>
    <n v="600"/>
    <s v="+61 3 4552 2208"/>
  </r>
  <r>
    <n v="3676"/>
    <s v="Solis"/>
    <s v="Kaleb Solis"/>
    <s v="Kaleb"/>
    <n v="1908"/>
    <x v="0"/>
    <x v="17"/>
    <n v="3"/>
    <x v="0"/>
    <x v="6"/>
    <n v="0.1"/>
    <n v="11.600000000000001"/>
    <n v="116"/>
    <n v="104.4"/>
    <s v="Priscilla"/>
    <n v="1908"/>
    <s v="Interview Prep"/>
    <d v="2024-08-20T00:00:00"/>
    <n v="2"/>
    <s v="Delivered"/>
    <s v="TAS"/>
    <s v="94227 King Street"/>
    <s v="Devonport"/>
    <n v="7310"/>
    <n v="250"/>
    <n v="500"/>
    <s v="+61 6 2516 9152"/>
  </r>
  <r>
    <n v="3677"/>
    <s v="Holt"/>
    <s v="London Holt"/>
    <s v="London"/>
    <n v="1909"/>
    <x v="5"/>
    <x v="304"/>
    <n v="2"/>
    <x v="2"/>
    <x v="5"/>
    <n v="0.3"/>
    <n v="459.59999999999997"/>
    <n v="1532"/>
    <n v="1072.4000000000001"/>
    <s v="Kelly"/>
    <n v="1909"/>
    <s v="Resume (service fee)"/>
    <d v="2024-02-20T00:00:00"/>
    <n v="2"/>
    <s v="Service Booked"/>
    <s v="SA"/>
    <s v="95431 Main Street"/>
    <s v="Adelaide"/>
    <n v="5000"/>
    <n v="600"/>
    <n v="1200"/>
    <s v="+61 3 4205 6450"/>
  </r>
  <r>
    <n v="3678"/>
    <s v="French"/>
    <s v="Genesis French"/>
    <s v="Genesis"/>
    <n v="1910"/>
    <x v="4"/>
    <x v="313"/>
    <n v="2"/>
    <x v="2"/>
    <x v="5"/>
    <n v="0.25"/>
    <n v="189.75"/>
    <n v="759"/>
    <n v="569.25"/>
    <s v="Kelly"/>
    <n v="1910"/>
    <s v="Mentoring program"/>
    <d v="2024-08-19T00:00:00"/>
    <n v="2"/>
    <s v="Service Booked"/>
    <s v="SA"/>
    <s v="97310 Main Street"/>
    <s v="Whyalla"/>
    <n v="5600"/>
    <n v="1200"/>
    <n v="2400"/>
    <s v="+61 8 7792 5861"/>
  </r>
  <r>
    <n v="3679"/>
    <s v="Arias"/>
    <s v="Sonny Arias"/>
    <s v="Sonny"/>
    <n v="1911"/>
    <x v="3"/>
    <x v="174"/>
    <n v="1"/>
    <x v="3"/>
    <x v="6"/>
    <n v="0.2"/>
    <n v="275.40000000000003"/>
    <n v="1377"/>
    <n v="1101.5999999999999"/>
    <s v="Terrence"/>
    <n v="1911"/>
    <s v="Networking Strategy"/>
    <d v="2024-03-13T00:00:00"/>
    <n v="2"/>
    <s v="Cancelled"/>
    <s v="TAS"/>
    <s v="11796 George Street"/>
    <s v="Devonport"/>
    <n v="7310"/>
    <n v="250"/>
    <n v="500"/>
    <s v="+61 3 5177 1630"/>
  </r>
  <r>
    <n v="3680"/>
    <s v="Frazier"/>
    <s v="Sutton Frazier"/>
    <s v="Sutton"/>
    <n v="1912"/>
    <x v="4"/>
    <x v="314"/>
    <n v="3"/>
    <x v="3"/>
    <x v="7"/>
    <n v="0.25"/>
    <n v="88"/>
    <n v="352"/>
    <n v="264"/>
    <s v="Terrence"/>
    <n v="1912"/>
    <s v="Mentoring program"/>
    <d v="2024-03-25T00:00:00"/>
    <n v="2"/>
    <s v="Cancelled"/>
    <s v="NT"/>
    <s v="99945 Elizabeth Street"/>
    <s v="Alice Springs"/>
    <n v="870"/>
    <n v="1200"/>
    <n v="2400"/>
    <s v="+61 5 5778 6082"/>
  </r>
  <r>
    <n v="3681"/>
    <s v="Hodge"/>
    <s v="Luke Hodge"/>
    <s v="Luke"/>
    <n v="1913"/>
    <x v="4"/>
    <x v="162"/>
    <n v="3"/>
    <x v="0"/>
    <x v="0"/>
    <n v="0.25"/>
    <n v="328"/>
    <n v="1312"/>
    <n v="984"/>
    <s v="Kelly"/>
    <n v="1913"/>
    <s v="Mentoring program"/>
    <d v="2024-07-25T00:00:00"/>
    <n v="1"/>
    <s v="Delivered"/>
    <s v="WA"/>
    <s v="61286 Park Avenue"/>
    <s v="Perth"/>
    <n v="6000"/>
    <n v="1200"/>
    <n v="1200"/>
    <s v="+61 8 7073 8653"/>
  </r>
  <r>
    <n v="3682"/>
    <s v="Richardson"/>
    <s v="Banks Richardson"/>
    <s v="Banks"/>
    <n v="1914"/>
    <x v="0"/>
    <x v="246"/>
    <n v="1"/>
    <x v="1"/>
    <x v="1"/>
    <n v="0.1"/>
    <n v="131.4"/>
    <n v="1314"/>
    <n v="1182.5999999999999"/>
    <s v="Priscilla"/>
    <n v="1914"/>
    <s v="Interview Prep"/>
    <d v="2024-05-27T00:00:00"/>
    <n v="2"/>
    <s v="In Progress"/>
    <s v="ACT"/>
    <s v="17018 George Street"/>
    <s v="Canberra"/>
    <n v="2600"/>
    <n v="250"/>
    <n v="500"/>
    <s v="+61 2 3899 5216"/>
  </r>
  <r>
    <n v="3683"/>
    <s v="Hudson"/>
    <s v="Shiloh Hudson"/>
    <s v="Shiloh"/>
    <n v="1915"/>
    <x v="4"/>
    <x v="211"/>
    <n v="1"/>
    <x v="0"/>
    <x v="4"/>
    <n v="0.25"/>
    <n v="180"/>
    <n v="720"/>
    <n v="540"/>
    <s v="Kelly"/>
    <n v="1915"/>
    <s v="Mentoring program"/>
    <d v="2024-06-16T00:00:00"/>
    <n v="1"/>
    <s v="Delivered"/>
    <s v="QLD"/>
    <s v="91650 King Street"/>
    <s v="Gold Coast"/>
    <n v="4217"/>
    <n v="1200"/>
    <n v="1200"/>
    <s v="+61 2 6947 1424"/>
  </r>
  <r>
    <n v="3684"/>
    <s v="Cooper"/>
    <s v="Aisha Cooper"/>
    <s v="Aisha"/>
    <n v="1916"/>
    <x v="0"/>
    <x v="106"/>
    <n v="1"/>
    <x v="0"/>
    <x v="6"/>
    <n v="0.1"/>
    <n v="36.200000000000003"/>
    <n v="362"/>
    <n v="325.8"/>
    <s v="Kelly"/>
    <n v="1916"/>
    <s v="Interview Prep"/>
    <d v="2024-07-07T00:00:00"/>
    <n v="3"/>
    <s v="Delivered"/>
    <s v="TAS"/>
    <s v="74126 King Street"/>
    <s v="Hobart"/>
    <n v="7000"/>
    <n v="250"/>
    <n v="750"/>
    <s v="+61 9 1923 5584"/>
  </r>
  <r>
    <n v="3685"/>
    <s v="Fleming"/>
    <s v="Jacob Fleming"/>
    <s v="Jacob"/>
    <n v="1917"/>
    <x v="4"/>
    <x v="315"/>
    <n v="2"/>
    <x v="2"/>
    <x v="7"/>
    <n v="0.25"/>
    <n v="200.5"/>
    <n v="802"/>
    <n v="601.5"/>
    <s v="Terrence"/>
    <n v="1917"/>
    <s v="Mentoring program"/>
    <d v="2024-04-01T00:00:00"/>
    <n v="2"/>
    <s v="Service Booked"/>
    <s v="NT"/>
    <s v="61170 King Street"/>
    <s v="Alice Springs"/>
    <n v="870"/>
    <n v="1200"/>
    <n v="2400"/>
    <s v="+61 3 3918 1790"/>
  </r>
  <r>
    <n v="3686"/>
    <s v="Velez"/>
    <s v="Navy Velez"/>
    <s v="Navy"/>
    <n v="1918"/>
    <x v="1"/>
    <x v="144"/>
    <n v="3"/>
    <x v="3"/>
    <x v="0"/>
    <n v="0.3"/>
    <n v="112.5"/>
    <n v="375"/>
    <n v="262.5"/>
    <s v="Daniel"/>
    <n v="1918"/>
    <s v="Resume + LinkedIn Profile"/>
    <d v="2024-04-07T00:00:00"/>
    <n v="2"/>
    <s v="Cancelled"/>
    <s v="WA"/>
    <s v="97645 Main Street"/>
    <s v="Fremantle"/>
    <n v="6160"/>
    <n v="800"/>
    <n v="1600"/>
    <s v="+61 4 6792 7639"/>
  </r>
  <r>
    <n v="3687"/>
    <s v="Schultz"/>
    <s v="Lilly Schultz"/>
    <s v="Lilly"/>
    <n v="1919"/>
    <x v="2"/>
    <x v="262"/>
    <n v="2"/>
    <x v="2"/>
    <x v="1"/>
    <n v="0.25"/>
    <n v="95.75"/>
    <n v="383"/>
    <n v="287.25"/>
    <s v="Kelly"/>
    <n v="1919"/>
    <s v="LinkedIn profile"/>
    <d v="2024-05-10T00:00:00"/>
    <n v="3"/>
    <s v="Service Booked"/>
    <s v="ACT"/>
    <s v="68048 Elizabeth Street"/>
    <s v="Canberra"/>
    <n v="2600"/>
    <n v="300"/>
    <n v="900"/>
    <s v="+61 9 4238 1623"/>
  </r>
  <r>
    <n v="3688"/>
    <s v="Rhodes"/>
    <s v="Evelyn Rhodes"/>
    <s v="Evelyn"/>
    <n v="1920"/>
    <x v="1"/>
    <x v="315"/>
    <n v="3"/>
    <x v="2"/>
    <x v="7"/>
    <n v="0.3"/>
    <n v="241.79999999999998"/>
    <n v="806"/>
    <n v="564.20000000000005"/>
    <s v="Daniel"/>
    <n v="1920"/>
    <s v="Resume + LinkedIn Profile"/>
    <d v="2024-04-01T00:00:00"/>
    <n v="1"/>
    <s v="Service Booked"/>
    <s v="NT"/>
    <s v="63539 Main Street"/>
    <s v="Alice Springs"/>
    <n v="870"/>
    <n v="800"/>
    <n v="800"/>
    <s v="+61 8 1654 6783"/>
  </r>
  <r>
    <n v="3689"/>
    <s v="Roy"/>
    <s v="Arya Roy"/>
    <s v="Arya"/>
    <n v="1921"/>
    <x v="3"/>
    <x v="139"/>
    <n v="2"/>
    <x v="1"/>
    <x v="0"/>
    <n v="0.2"/>
    <n v="151.6"/>
    <n v="758"/>
    <n v="606.4"/>
    <s v="Daniel"/>
    <n v="1921"/>
    <s v="Networking Strategy"/>
    <d v="2024-10-12T00:00:00"/>
    <n v="2"/>
    <s v="In Progress"/>
    <s v="WA"/>
    <s v="28242 Elizabeth Street"/>
    <s v="Perth"/>
    <n v="6000"/>
    <n v="250"/>
    <n v="500"/>
    <s v="+61 3 2819 5949"/>
  </r>
  <r>
    <n v="3690"/>
    <s v="Bernal"/>
    <s v="Fernando Bernal"/>
    <s v="Fernando"/>
    <n v="1922"/>
    <x v="5"/>
    <x v="152"/>
    <n v="1"/>
    <x v="0"/>
    <x v="5"/>
    <n v="0.3"/>
    <n v="72.3"/>
    <n v="241"/>
    <n v="168.7"/>
    <s v="Terrence"/>
    <n v="1922"/>
    <s v="Resume (service fee)"/>
    <d v="2024-11-11T00:00:00"/>
    <n v="1"/>
    <s v="Delivered"/>
    <s v="SA"/>
    <s v="54885 Main Street"/>
    <s v="Whyalla"/>
    <n v="5600"/>
    <n v="600"/>
    <n v="600"/>
    <s v="+61 5 2230 1972"/>
  </r>
  <r>
    <n v="3691"/>
    <s v="Cantrell"/>
    <s v="Sophia Cantrell"/>
    <s v="Sophia"/>
    <n v="1923"/>
    <x v="5"/>
    <x v="146"/>
    <n v="3"/>
    <x v="1"/>
    <x v="6"/>
    <n v="0.3"/>
    <n v="12"/>
    <n v="40"/>
    <n v="28"/>
    <s v="Kelly"/>
    <n v="1923"/>
    <s v="Resume (service fee)"/>
    <d v="2024-02-16T00:00:00"/>
    <n v="3"/>
    <s v="In Progress"/>
    <s v="TAS"/>
    <s v="60192 Park Avenue"/>
    <s v="Devonport"/>
    <n v="7310"/>
    <n v="600"/>
    <n v="1800"/>
    <s v="+61 8 9008 7266"/>
  </r>
  <r>
    <n v="3692"/>
    <s v="Holt"/>
    <s v="Rebecca Holt"/>
    <s v="Rebecca"/>
    <n v="1924"/>
    <x v="4"/>
    <x v="55"/>
    <n v="2"/>
    <x v="2"/>
    <x v="3"/>
    <n v="0.25"/>
    <n v="386.75"/>
    <n v="1547"/>
    <n v="1160.25"/>
    <s v="Brian"/>
    <n v="1924"/>
    <s v="Mentoring program"/>
    <d v="2024-02-04T00:00:00"/>
    <n v="2"/>
    <s v="Service Booked"/>
    <s v="VIC"/>
    <s v="86447 Elizabeth Street"/>
    <s v="Melbourne"/>
    <n v="3000"/>
    <n v="1200"/>
    <n v="2400"/>
    <s v="+61 8 7440 9387"/>
  </r>
  <r>
    <n v="3693"/>
    <s v="Quinn"/>
    <s v="George Quinn"/>
    <s v="George"/>
    <n v="1925"/>
    <x v="3"/>
    <x v="186"/>
    <n v="3"/>
    <x v="2"/>
    <x v="6"/>
    <n v="0.2"/>
    <n v="79"/>
    <n v="395"/>
    <n v="316"/>
    <s v="Kelly"/>
    <n v="1925"/>
    <s v="Networking Strategy"/>
    <d v="2024-11-26T00:00:00"/>
    <n v="2"/>
    <s v="Service Booked"/>
    <s v="TAS"/>
    <s v="333 Elizabeth Street"/>
    <s v="Launceston"/>
    <n v="7250"/>
    <n v="250"/>
    <n v="500"/>
    <s v="+61 5 1569 6495"/>
  </r>
  <r>
    <n v="3694"/>
    <s v="Stewart"/>
    <s v="Rhett Stewart"/>
    <s v="Rhett"/>
    <n v="1926"/>
    <x v="5"/>
    <x v="233"/>
    <n v="3"/>
    <x v="0"/>
    <x v="1"/>
    <n v="0.3"/>
    <n v="236.1"/>
    <n v="787"/>
    <n v="550.9"/>
    <s v="Kelly"/>
    <n v="1926"/>
    <s v="Resume (service fee)"/>
    <d v="2024-11-22T00:00:00"/>
    <n v="2"/>
    <s v="Delivered"/>
    <s v="ACT"/>
    <s v="19981 Park Avenue"/>
    <s v="Canberra"/>
    <n v="2600"/>
    <n v="600"/>
    <n v="1200"/>
    <s v="+61 4 2577 2448"/>
  </r>
  <r>
    <n v="3695"/>
    <s v="Ward"/>
    <s v="Amelia Ward"/>
    <s v="Amelia"/>
    <n v="1927"/>
    <x v="4"/>
    <x v="216"/>
    <n v="1"/>
    <x v="2"/>
    <x v="1"/>
    <n v="0.25"/>
    <n v="156.75"/>
    <n v="627"/>
    <n v="470.25"/>
    <s v="Brian"/>
    <n v="1927"/>
    <s v="Mentoring program"/>
    <d v="2024-05-11T00:00:00"/>
    <n v="1"/>
    <s v="Service Booked"/>
    <s v="ACT"/>
    <s v="51887 King Street"/>
    <s v="Canberra"/>
    <n v="2600"/>
    <n v="1200"/>
    <n v="1200"/>
    <s v="+61 6 9816 1161"/>
  </r>
  <r>
    <n v="3696"/>
    <s v="Payne"/>
    <s v="Zion Payne"/>
    <s v="Zion"/>
    <n v="1928"/>
    <x v="5"/>
    <x v="208"/>
    <n v="3"/>
    <x v="2"/>
    <x v="7"/>
    <n v="0.3"/>
    <n v="78.599999999999994"/>
    <n v="262"/>
    <n v="183.4"/>
    <s v="Terrence"/>
    <n v="1928"/>
    <s v="Resume (service fee)"/>
    <d v="2024-07-23T00:00:00"/>
    <n v="2"/>
    <s v="Service Booked"/>
    <s v="NT"/>
    <s v="71866 Main Street"/>
    <s v="Alice Springs"/>
    <n v="870"/>
    <n v="600"/>
    <n v="1200"/>
    <s v="+61 3 9994 9586"/>
  </r>
  <r>
    <n v="3697"/>
    <s v="Ortiz"/>
    <s v="Gracie Ortiz"/>
    <s v="Gracie"/>
    <n v="1929"/>
    <x v="0"/>
    <x v="33"/>
    <n v="2"/>
    <x v="0"/>
    <x v="4"/>
    <n v="0.1"/>
    <n v="94.300000000000011"/>
    <n v="943"/>
    <n v="848.7"/>
    <s v="Priscilla"/>
    <n v="1929"/>
    <s v="Interview Prep"/>
    <d v="2024-08-26T00:00:00"/>
    <n v="3"/>
    <s v="Delivered"/>
    <s v="QLD"/>
    <s v="56209 King Street"/>
    <s v="Gold Coast"/>
    <n v="4217"/>
    <n v="250"/>
    <n v="750"/>
    <s v="+61 6 8016 8509"/>
  </r>
  <r>
    <n v="3698"/>
    <s v="Becker"/>
    <s v="Eden Becker"/>
    <s v="Eden"/>
    <n v="1930"/>
    <x v="5"/>
    <x v="59"/>
    <n v="3"/>
    <x v="2"/>
    <x v="7"/>
    <n v="0.3"/>
    <n v="126.89999999999999"/>
    <n v="423"/>
    <n v="296.10000000000002"/>
    <s v="Brian"/>
    <n v="1930"/>
    <s v="Resume (service fee)"/>
    <d v="2024-04-22T00:00:00"/>
    <n v="1"/>
    <s v="Service Booked"/>
    <s v="NT"/>
    <s v="29705 Main Street"/>
    <s v="Alice Springs"/>
    <n v="870"/>
    <n v="600"/>
    <n v="600"/>
    <s v="+61 7 8842 8846"/>
  </r>
  <r>
    <n v="3699"/>
    <s v="Nash"/>
    <s v="Jaxon Nash"/>
    <s v="Jaxon"/>
    <n v="1931"/>
    <x v="1"/>
    <x v="165"/>
    <n v="1"/>
    <x v="2"/>
    <x v="3"/>
    <n v="0.3"/>
    <n v="490.79999999999995"/>
    <n v="1636"/>
    <n v="1145.2"/>
    <s v="Daniel"/>
    <n v="1931"/>
    <s v="Resume + LinkedIn Profile"/>
    <d v="2024-09-10T00:00:00"/>
    <n v="2"/>
    <s v="Service Booked"/>
    <s v="VIC"/>
    <s v="18216 Park Avenue"/>
    <s v="Geelong"/>
    <n v="3220"/>
    <n v="800"/>
    <n v="1600"/>
    <s v="+61 8 4532 6701"/>
  </r>
  <r>
    <n v="3700"/>
    <s v="Anderson"/>
    <s v="Kade Anderson"/>
    <s v="Kade"/>
    <n v="1932"/>
    <x v="5"/>
    <x v="25"/>
    <n v="2"/>
    <x v="2"/>
    <x v="0"/>
    <n v="0.3"/>
    <n v="11.7"/>
    <n v="39"/>
    <n v="27.3"/>
    <s v="Daniel"/>
    <n v="1932"/>
    <s v="Resume (service fee)"/>
    <d v="2024-08-12T00:00:00"/>
    <n v="2"/>
    <s v="Service Booked"/>
    <s v="WA"/>
    <s v="64581 Park Avenue"/>
    <s v="Fremantle"/>
    <n v="6160"/>
    <n v="600"/>
    <n v="1200"/>
    <s v="+61 2 8445 8695"/>
  </r>
  <r>
    <n v="3701"/>
    <s v="Cherry"/>
    <s v="Ian Cherry"/>
    <s v="Ian"/>
    <n v="1933"/>
    <x v="3"/>
    <x v="291"/>
    <n v="1"/>
    <x v="0"/>
    <x v="7"/>
    <n v="0.2"/>
    <n v="332"/>
    <n v="1660"/>
    <n v="1328"/>
    <s v="Terrence"/>
    <n v="1933"/>
    <s v="Networking Strategy"/>
    <d v="2024-06-20T00:00:00"/>
    <n v="1"/>
    <s v="Delivered"/>
    <s v="NT"/>
    <s v="76002 George Street"/>
    <s v="Darwin"/>
    <n v="800"/>
    <n v="250"/>
    <n v="250"/>
    <s v="+61 2 7664 9936"/>
  </r>
  <r>
    <n v="3702"/>
    <s v="Glass"/>
    <s v="Timothy Glass"/>
    <s v="Timothy"/>
    <n v="1934"/>
    <x v="1"/>
    <x v="293"/>
    <n v="2"/>
    <x v="1"/>
    <x v="7"/>
    <n v="0.3"/>
    <n v="78.599999999999994"/>
    <n v="262"/>
    <n v="183.4"/>
    <s v="Priscilla"/>
    <n v="1934"/>
    <s v="Resume + LinkedIn Profile"/>
    <d v="2024-01-24T00:00:00"/>
    <n v="3"/>
    <s v="In Progress"/>
    <s v="NT"/>
    <s v="15180 King Street"/>
    <s v="Alice Springs"/>
    <n v="870"/>
    <n v="800"/>
    <n v="2400"/>
    <s v="+61 2 4148 3735"/>
  </r>
  <r>
    <n v="3703"/>
    <s v="Thomas"/>
    <s v="Sadie Thomas"/>
    <s v="Sadie"/>
    <n v="1935"/>
    <x v="0"/>
    <x v="171"/>
    <n v="3"/>
    <x v="1"/>
    <x v="5"/>
    <n v="0.1"/>
    <n v="96.100000000000009"/>
    <n v="961"/>
    <n v="864.9"/>
    <s v="Priscilla"/>
    <n v="1935"/>
    <s v="Interview Prep"/>
    <d v="2024-03-06T00:00:00"/>
    <n v="1"/>
    <s v="In Progress"/>
    <s v="SA"/>
    <s v="82123 Elizabeth Street"/>
    <s v="Mount Gambier"/>
    <n v="5290"/>
    <n v="250"/>
    <n v="250"/>
    <s v="+61 9 1647 6146"/>
  </r>
  <r>
    <n v="3704"/>
    <s v="Quinn"/>
    <s v="Steven Quinn"/>
    <s v="Steven"/>
    <n v="1936"/>
    <x v="1"/>
    <x v="83"/>
    <n v="2"/>
    <x v="2"/>
    <x v="1"/>
    <n v="0.3"/>
    <n v="166.2"/>
    <n v="554"/>
    <n v="387.8"/>
    <s v="Daniel"/>
    <n v="1936"/>
    <s v="Resume + LinkedIn Profile"/>
    <d v="2024-04-29T00:00:00"/>
    <n v="2"/>
    <s v="Service Booked"/>
    <s v="ACT"/>
    <s v="90013 George Street"/>
    <s v="Canberra"/>
    <n v="2600"/>
    <n v="800"/>
    <n v="1600"/>
    <s v="+61 7 9754 6928"/>
  </r>
  <r>
    <n v="3705"/>
    <s v="Petersen"/>
    <s v="Elliot Petersen"/>
    <s v="Elliot"/>
    <n v="1937"/>
    <x v="0"/>
    <x v="85"/>
    <n v="3"/>
    <x v="0"/>
    <x v="1"/>
    <n v="0.1"/>
    <n v="5.2"/>
    <n v="52"/>
    <n v="46.8"/>
    <s v="Terrence"/>
    <n v="1937"/>
    <s v="Interview Prep"/>
    <d v="2024-04-16T00:00:00"/>
    <n v="3"/>
    <s v="Delivered"/>
    <s v="ACT"/>
    <s v="40065 King Street"/>
    <s v="Canberra"/>
    <n v="2600"/>
    <n v="250"/>
    <n v="750"/>
    <s v="+61 8 2860 1495"/>
  </r>
  <r>
    <n v="3706"/>
    <s v="Lu"/>
    <s v="Sergio Lu"/>
    <s v="Sergio"/>
    <n v="1938"/>
    <x v="4"/>
    <x v="218"/>
    <n v="2"/>
    <x v="0"/>
    <x v="6"/>
    <n v="0.25"/>
    <n v="262"/>
    <n v="1048"/>
    <n v="786"/>
    <s v="Daniel"/>
    <n v="1938"/>
    <s v="Mentoring program"/>
    <d v="2024-03-22T00:00:00"/>
    <n v="3"/>
    <s v="Delivered"/>
    <s v="TAS"/>
    <s v="62965 George Street"/>
    <s v="Hobart"/>
    <n v="7000"/>
    <n v="1200"/>
    <n v="3600"/>
    <s v="+61 5 9022 4189"/>
  </r>
  <r>
    <n v="3707"/>
    <s v="Brooks"/>
    <s v="Zara Brooks"/>
    <s v="Zara"/>
    <n v="1939"/>
    <x v="0"/>
    <x v="245"/>
    <n v="1"/>
    <x v="0"/>
    <x v="2"/>
    <n v="0.1"/>
    <n v="48.2"/>
    <n v="482"/>
    <n v="433.8"/>
    <s v="Priscilla"/>
    <n v="1939"/>
    <s v="Interview Prep"/>
    <d v="2024-08-11T00:00:00"/>
    <n v="2"/>
    <s v="Delivered"/>
    <s v="NSW"/>
    <s v="13000 Main Street"/>
    <s v="Wollongong"/>
    <n v="2500"/>
    <n v="250"/>
    <n v="500"/>
    <s v="+61 4 5278 7007"/>
  </r>
  <r>
    <n v="3708"/>
    <s v="Odom"/>
    <s v="Xander Odom"/>
    <s v="Xander"/>
    <n v="1940"/>
    <x v="0"/>
    <x v="267"/>
    <n v="1"/>
    <x v="0"/>
    <x v="3"/>
    <n v="0.1"/>
    <n v="160.30000000000001"/>
    <n v="1603"/>
    <n v="1442.7"/>
    <s v="Terrence"/>
    <n v="1940"/>
    <s v="Interview Prep"/>
    <d v="2024-01-31T00:00:00"/>
    <n v="1"/>
    <s v="Delivered"/>
    <s v="VIC"/>
    <s v="34886 George Street"/>
    <s v="Geelong"/>
    <n v="3220"/>
    <n v="250"/>
    <n v="250"/>
    <s v="+61 9 1623 2179"/>
  </r>
  <r>
    <n v="3709"/>
    <s v="Randall"/>
    <s v="Miguel Randall"/>
    <s v="Miguel"/>
    <n v="1941"/>
    <x v="2"/>
    <x v="316"/>
    <n v="3"/>
    <x v="1"/>
    <x v="6"/>
    <n v="0.25"/>
    <n v="285.75"/>
    <n v="1143"/>
    <n v="857.25"/>
    <s v="Priscilla"/>
    <n v="1941"/>
    <s v="LinkedIn profile"/>
    <d v="2024-07-04T00:00:00"/>
    <n v="1"/>
    <s v="In Progress"/>
    <s v="TAS"/>
    <s v="14581 Park Avenue"/>
    <s v="Devonport"/>
    <n v="7310"/>
    <n v="300"/>
    <n v="300"/>
    <s v="+61 9 7209 6188"/>
  </r>
  <r>
    <n v="3710"/>
    <s v="Potts"/>
    <s v="Walter Potts"/>
    <s v="Walter"/>
    <n v="1942"/>
    <x v="4"/>
    <x v="124"/>
    <n v="1"/>
    <x v="0"/>
    <x v="3"/>
    <n v="0.25"/>
    <n v="164"/>
    <n v="656"/>
    <n v="492"/>
    <s v="Daniel"/>
    <n v="1942"/>
    <s v="Mentoring program"/>
    <d v="2024-06-23T00:00:00"/>
    <n v="1"/>
    <s v="Delivered"/>
    <s v="VIC"/>
    <s v="87461 King Street"/>
    <s v="Melbourne"/>
    <n v="3000"/>
    <n v="1200"/>
    <n v="1200"/>
    <s v="+61 4 8198 1974"/>
  </r>
  <r>
    <n v="3711"/>
    <s v="Herman"/>
    <s v="Walter Herman"/>
    <s v="Walter"/>
    <n v="1943"/>
    <x v="5"/>
    <x v="317"/>
    <n v="1"/>
    <x v="2"/>
    <x v="2"/>
    <n v="0.3"/>
    <n v="144.6"/>
    <n v="482"/>
    <n v="337.4"/>
    <s v="Brian"/>
    <n v="1943"/>
    <s v="Resume (service fee)"/>
    <d v="2024-08-09T00:00:00"/>
    <n v="3"/>
    <s v="Service Booked"/>
    <s v="NSW"/>
    <s v="53570 George Street"/>
    <s v="Sydney"/>
    <n v="2000"/>
    <n v="600"/>
    <n v="1800"/>
    <s v="+61 8 5655 6160"/>
  </r>
  <r>
    <n v="3712"/>
    <s v="Estes"/>
    <s v="Eduardo Estes"/>
    <s v="Eduardo"/>
    <n v="1944"/>
    <x v="0"/>
    <x v="149"/>
    <n v="1"/>
    <x v="0"/>
    <x v="6"/>
    <n v="0.1"/>
    <n v="26.700000000000003"/>
    <n v="267"/>
    <n v="240.3"/>
    <s v="Daniel"/>
    <n v="1944"/>
    <s v="Interview Prep"/>
    <d v="2024-10-06T00:00:00"/>
    <n v="3"/>
    <s v="Delivered"/>
    <s v="TAS"/>
    <s v="95441 Park Avenue"/>
    <s v="Launceston"/>
    <n v="7250"/>
    <n v="250"/>
    <n v="750"/>
    <s v="+61 5 7878 5007"/>
  </r>
  <r>
    <n v="3713"/>
    <s v="Daugherty"/>
    <s v="Samara Daugherty"/>
    <s v="Samara"/>
    <n v="1945"/>
    <x v="1"/>
    <x v="289"/>
    <n v="1"/>
    <x v="1"/>
    <x v="3"/>
    <n v="0.3"/>
    <n v="263.09999999999997"/>
    <n v="877"/>
    <n v="613.90000000000009"/>
    <s v="Terrence"/>
    <n v="1945"/>
    <s v="Resume + LinkedIn Profile"/>
    <d v="2024-01-03T00:00:00"/>
    <n v="2"/>
    <s v="In Progress"/>
    <s v="VIC"/>
    <s v="43305 Main Street"/>
    <s v="Ballarat"/>
    <n v="3350"/>
    <n v="800"/>
    <n v="1600"/>
    <s v="+61 6 5788 7897"/>
  </r>
  <r>
    <n v="3714"/>
    <s v="Gillespie"/>
    <s v="Allison Gillespie"/>
    <s v="Allison"/>
    <n v="1946"/>
    <x v="2"/>
    <x v="169"/>
    <n v="2"/>
    <x v="0"/>
    <x v="7"/>
    <n v="0.25"/>
    <n v="67"/>
    <n v="268"/>
    <n v="201"/>
    <s v="Brian"/>
    <n v="1946"/>
    <s v="LinkedIn profile"/>
    <d v="2024-10-10T00:00:00"/>
    <n v="3"/>
    <s v="Delivered"/>
    <s v="NT"/>
    <s v="25421 Main Street"/>
    <s v="Alice Springs"/>
    <n v="870"/>
    <n v="300"/>
    <n v="900"/>
    <s v="+61 8 6851 5481"/>
  </r>
  <r>
    <n v="3715"/>
    <s v="Harrington"/>
    <s v="Emersyn Harrington"/>
    <s v="Emersyn"/>
    <n v="1947"/>
    <x v="1"/>
    <x v="231"/>
    <n v="1"/>
    <x v="0"/>
    <x v="1"/>
    <n v="0.3"/>
    <n v="393.3"/>
    <n v="1311"/>
    <n v="917.7"/>
    <s v="Priscilla"/>
    <n v="1947"/>
    <s v="Resume + LinkedIn Profile"/>
    <d v="2024-07-10T00:00:00"/>
    <n v="3"/>
    <s v="Delivered"/>
    <s v="ACT"/>
    <s v="6020 Main Street"/>
    <s v="Canberra"/>
    <n v="2600"/>
    <n v="800"/>
    <n v="2400"/>
    <s v="+61 2 5790 3825"/>
  </r>
  <r>
    <n v="3716"/>
    <s v="Ingram"/>
    <s v="Arya Ingram"/>
    <s v="Arya"/>
    <n v="1948"/>
    <x v="5"/>
    <x v="268"/>
    <n v="3"/>
    <x v="0"/>
    <x v="2"/>
    <n v="0.3"/>
    <n v="388.2"/>
    <n v="1294"/>
    <n v="905.8"/>
    <s v="Daniel"/>
    <n v="1948"/>
    <s v="Resume (service fee)"/>
    <d v="2024-05-12T00:00:00"/>
    <n v="1"/>
    <s v="Delivered"/>
    <s v="NSW"/>
    <s v="41808 George Street"/>
    <s v="Wollongong"/>
    <n v="2500"/>
    <n v="600"/>
    <n v="600"/>
    <s v="+61 3 1993 3133"/>
  </r>
  <r>
    <n v="3717"/>
    <s v="Reyes"/>
    <s v="Aaliyah Reyes"/>
    <s v="Aaliyah"/>
    <n v="1949"/>
    <x v="1"/>
    <x v="7"/>
    <n v="3"/>
    <x v="2"/>
    <x v="2"/>
    <n v="0.3"/>
    <n v="523.19999999999993"/>
    <n v="1744"/>
    <n v="1220.8000000000002"/>
    <s v="Kelly"/>
    <n v="1949"/>
    <s v="Resume + LinkedIn Profile"/>
    <d v="2024-10-26T00:00:00"/>
    <n v="3"/>
    <s v="Service Booked"/>
    <s v="NSW"/>
    <s v="44156 George Street"/>
    <s v="Newcastle"/>
    <n v="2300"/>
    <n v="800"/>
    <n v="2400"/>
    <s v="+61 2 8265 9367"/>
  </r>
  <r>
    <n v="3718"/>
    <s v="George"/>
    <s v="Mary George"/>
    <s v="Mary"/>
    <n v="1950"/>
    <x v="2"/>
    <x v="159"/>
    <n v="2"/>
    <x v="0"/>
    <x v="6"/>
    <n v="0.25"/>
    <n v="321.25"/>
    <n v="1285"/>
    <n v="963.75"/>
    <s v="Daniel"/>
    <n v="1950"/>
    <s v="LinkedIn profile"/>
    <d v="2024-03-12T00:00:00"/>
    <n v="3"/>
    <s v="Delivered"/>
    <s v="TAS"/>
    <s v="68676 Main Street"/>
    <s v="Launceston"/>
    <n v="7250"/>
    <n v="300"/>
    <n v="900"/>
    <s v="+61 7 8607 7855"/>
  </r>
  <r>
    <n v="3719"/>
    <s v="Greer"/>
    <s v="Elian Greer"/>
    <s v="Elian"/>
    <n v="1951"/>
    <x v="1"/>
    <x v="164"/>
    <n v="1"/>
    <x v="0"/>
    <x v="7"/>
    <n v="0.3"/>
    <n v="272.7"/>
    <n v="909"/>
    <n v="636.29999999999995"/>
    <s v="Daniel"/>
    <n v="1951"/>
    <s v="Resume + LinkedIn Profile"/>
    <d v="2024-05-15T00:00:00"/>
    <n v="3"/>
    <s v="Delivered"/>
    <s v="NT"/>
    <s v="99885 George Street"/>
    <s v="Alice Springs"/>
    <n v="870"/>
    <n v="800"/>
    <n v="2400"/>
    <s v="+61 4 5458 7719"/>
  </r>
  <r>
    <n v="3720"/>
    <s v="Phillips"/>
    <s v="Frederick Phillips"/>
    <s v="Frederick"/>
    <n v="1952"/>
    <x v="1"/>
    <x v="318"/>
    <n v="1"/>
    <x v="0"/>
    <x v="1"/>
    <n v="0.3"/>
    <n v="33.299999999999997"/>
    <n v="111"/>
    <n v="77.7"/>
    <s v="Priscilla"/>
    <n v="1952"/>
    <s v="Resume + LinkedIn Profile"/>
    <d v="2024-08-18T00:00:00"/>
    <n v="1"/>
    <s v="Delivered"/>
    <s v="ACT"/>
    <s v="29696 Park Avenue"/>
    <s v="Canberra"/>
    <n v="2600"/>
    <n v="800"/>
    <n v="800"/>
    <s v="+61 9 2070 1866"/>
  </r>
  <r>
    <n v="3721"/>
    <s v="Velazquez"/>
    <s v="Rhys Velazquez"/>
    <s v="Rhys"/>
    <n v="1953"/>
    <x v="3"/>
    <x v="10"/>
    <n v="2"/>
    <x v="0"/>
    <x v="6"/>
    <n v="0.2"/>
    <n v="83.800000000000011"/>
    <n v="419"/>
    <n v="335.2"/>
    <s v="Brian"/>
    <n v="1953"/>
    <s v="Networking Strategy"/>
    <d v="2024-05-02T00:00:00"/>
    <n v="1"/>
    <s v="Delivered"/>
    <s v="TAS"/>
    <s v="68948 George Street"/>
    <s v="Hobart"/>
    <n v="7000"/>
    <n v="250"/>
    <n v="250"/>
    <s v="+61 2 4251 4528"/>
  </r>
  <r>
    <n v="3722"/>
    <s v="Cardenas"/>
    <s v="Michelle Cardenas"/>
    <s v="Michelle"/>
    <n v="1954"/>
    <x v="4"/>
    <x v="267"/>
    <n v="3"/>
    <x v="2"/>
    <x v="4"/>
    <n v="0.25"/>
    <n v="314.5"/>
    <n v="1258"/>
    <n v="943.5"/>
    <s v="Daniel"/>
    <n v="1954"/>
    <s v="Mentoring program"/>
    <d v="2024-01-31T00:00:00"/>
    <n v="2"/>
    <s v="Service Booked"/>
    <s v="QLD"/>
    <s v="2296 Elizabeth Street"/>
    <s v="Gold Coast"/>
    <n v="4217"/>
    <n v="1200"/>
    <n v="2400"/>
    <s v="+61 2 1388 4878"/>
  </r>
  <r>
    <n v="3723"/>
    <s v="Vaughan"/>
    <s v="Autumn Vaughan"/>
    <s v="Autumn"/>
    <n v="1955"/>
    <x v="2"/>
    <x v="183"/>
    <n v="3"/>
    <x v="3"/>
    <x v="4"/>
    <n v="0.25"/>
    <n v="58"/>
    <n v="232"/>
    <n v="174"/>
    <s v="Daniel"/>
    <n v="1955"/>
    <s v="LinkedIn profile"/>
    <d v="2024-05-05T00:00:00"/>
    <n v="2"/>
    <s v="Cancelled"/>
    <s v="QLD"/>
    <s v="31675 Park Avenue"/>
    <s v="Brisbane"/>
    <n v="4000"/>
    <n v="300"/>
    <n v="600"/>
    <s v="+61 9 4952 3851"/>
  </r>
  <r>
    <n v="3724"/>
    <s v="Charles"/>
    <s v="Jade Charles"/>
    <s v="Jade"/>
    <n v="1956"/>
    <x v="2"/>
    <x v="20"/>
    <n v="3"/>
    <x v="2"/>
    <x v="6"/>
    <n v="0.25"/>
    <n v="373.75"/>
    <n v="1495"/>
    <n v="1121.25"/>
    <s v="Brian"/>
    <n v="1956"/>
    <s v="LinkedIn profile"/>
    <d v="2024-11-19T00:00:00"/>
    <n v="2"/>
    <s v="Service Booked"/>
    <s v="TAS"/>
    <s v="84056 George Street"/>
    <s v="Devonport"/>
    <n v="7310"/>
    <n v="300"/>
    <n v="600"/>
    <s v="+61 2 4875 2517"/>
  </r>
  <r>
    <n v="3725"/>
    <s v="Colón"/>
    <s v="Emiliano Colón"/>
    <s v="Emiliano"/>
    <n v="1957"/>
    <x v="0"/>
    <x v="110"/>
    <n v="3"/>
    <x v="0"/>
    <x v="2"/>
    <n v="0.1"/>
    <n v="66.8"/>
    <n v="668"/>
    <n v="601.20000000000005"/>
    <s v="Brian"/>
    <n v="1957"/>
    <s v="Interview Prep"/>
    <d v="2024-03-14T00:00:00"/>
    <n v="1"/>
    <s v="Delivered"/>
    <s v="NSW"/>
    <s v="46659 George Street"/>
    <s v="Sydney"/>
    <n v="2000"/>
    <n v="250"/>
    <n v="250"/>
    <s v="+61 9 6542 2924"/>
  </r>
  <r>
    <n v="3726"/>
    <s v="Rosales"/>
    <s v="Malik Rosales"/>
    <s v="Malik"/>
    <n v="1958"/>
    <x v="0"/>
    <x v="319"/>
    <n v="3"/>
    <x v="2"/>
    <x v="6"/>
    <n v="0.1"/>
    <n v="46.800000000000004"/>
    <n v="468"/>
    <n v="421.2"/>
    <s v="Kelly"/>
    <n v="1958"/>
    <s v="Interview Prep"/>
    <d v="2024-11-04T00:00:00"/>
    <n v="1"/>
    <s v="Service Booked"/>
    <s v="TAS"/>
    <s v="66610 Main Street"/>
    <s v="Devonport"/>
    <n v="7310"/>
    <n v="250"/>
    <n v="250"/>
    <s v="+61 8 7988 9047"/>
  </r>
  <r>
    <n v="3727"/>
    <s v="Potts"/>
    <s v="Aria Potts"/>
    <s v="Aria"/>
    <n v="1959"/>
    <x v="1"/>
    <x v="158"/>
    <n v="3"/>
    <x v="0"/>
    <x v="7"/>
    <n v="0.3"/>
    <n v="424.8"/>
    <n v="1416"/>
    <n v="991.2"/>
    <s v="Brian"/>
    <n v="1959"/>
    <s v="Resume + LinkedIn Profile"/>
    <d v="2024-07-03T00:00:00"/>
    <n v="3"/>
    <s v="Delivered"/>
    <s v="NT"/>
    <s v="15229 King Street"/>
    <s v="Alice Springs"/>
    <n v="870"/>
    <n v="800"/>
    <n v="2400"/>
    <s v="+61 6 9128 8842"/>
  </r>
  <r>
    <n v="3728"/>
    <s v="Jacobson"/>
    <s v="Ariah Jacobson"/>
    <s v="Ariah"/>
    <n v="1960"/>
    <x v="0"/>
    <x v="235"/>
    <n v="1"/>
    <x v="2"/>
    <x v="5"/>
    <n v="0.1"/>
    <n v="178.3"/>
    <n v="1783"/>
    <n v="1604.7"/>
    <s v="Kelly"/>
    <n v="1960"/>
    <s v="Interview Prep"/>
    <d v="2024-08-02T00:00:00"/>
    <n v="1"/>
    <s v="Service Booked"/>
    <s v="SA"/>
    <s v="4169 Elizabeth Street"/>
    <s v="Adelaide"/>
    <n v="5000"/>
    <n v="250"/>
    <n v="250"/>
    <s v="+61 7 6123 3820"/>
  </r>
  <r>
    <n v="3729"/>
    <s v="Beasley"/>
    <s v="Teagan Beasley"/>
    <s v="Teagan"/>
    <n v="1961"/>
    <x v="0"/>
    <x v="320"/>
    <n v="3"/>
    <x v="2"/>
    <x v="3"/>
    <n v="0.1"/>
    <n v="123.30000000000001"/>
    <n v="1233"/>
    <n v="1109.7"/>
    <s v="Priscilla"/>
    <n v="1961"/>
    <s v="Interview Prep"/>
    <d v="2024-09-12T00:00:00"/>
    <n v="3"/>
    <s v="Service Booked"/>
    <s v="VIC"/>
    <s v="62550 George Street"/>
    <s v="Ballarat"/>
    <n v="3350"/>
    <n v="250"/>
    <n v="750"/>
    <s v="+61 9 9694 2757"/>
  </r>
  <r>
    <n v="3730"/>
    <s v="Pollard"/>
    <s v="Sebastian Pollard"/>
    <s v="Sebastian"/>
    <n v="1962"/>
    <x v="5"/>
    <x v="195"/>
    <n v="1"/>
    <x v="3"/>
    <x v="3"/>
    <n v="0.3"/>
    <n v="375"/>
    <n v="1250"/>
    <n v="875"/>
    <s v="Kelly"/>
    <n v="1962"/>
    <s v="Resume (service fee)"/>
    <d v="2024-04-13T00:00:00"/>
    <n v="3"/>
    <s v="Cancelled"/>
    <s v="VIC"/>
    <s v="35501 King Street"/>
    <s v="Melbourne"/>
    <n v="3000"/>
    <n v="600"/>
    <n v="1800"/>
    <s v="+61 5 8191 2980"/>
  </r>
  <r>
    <n v="3731"/>
    <s v="Stanley"/>
    <s v="Malia Stanley"/>
    <s v="Malia"/>
    <n v="1963"/>
    <x v="3"/>
    <x v="298"/>
    <n v="2"/>
    <x v="1"/>
    <x v="4"/>
    <n v="0.2"/>
    <n v="68.2"/>
    <n v="341"/>
    <n v="272.8"/>
    <s v="Priscilla"/>
    <n v="1963"/>
    <s v="Networking Strategy"/>
    <d v="2024-06-11T00:00:00"/>
    <n v="2"/>
    <s v="In Progress"/>
    <s v="QLD"/>
    <s v="30149 Elizabeth Street"/>
    <s v="Brisbane"/>
    <n v="4000"/>
    <n v="250"/>
    <n v="500"/>
    <s v="+61 6 4128 7887"/>
  </r>
  <r>
    <n v="3732"/>
    <s v="Aguirre"/>
    <s v="Baylor Aguirre"/>
    <s v="Baylor"/>
    <n v="1964"/>
    <x v="0"/>
    <x v="156"/>
    <n v="1"/>
    <x v="2"/>
    <x v="2"/>
    <n v="0.1"/>
    <n v="70.400000000000006"/>
    <n v="704"/>
    <n v="633.6"/>
    <s v="Brian"/>
    <n v="1964"/>
    <s v="Interview Prep"/>
    <d v="2024-03-04T00:00:00"/>
    <n v="1"/>
    <s v="Service Booked"/>
    <s v="NSW"/>
    <s v="80300 Elizabeth Street"/>
    <s v="Sydney"/>
    <n v="2000"/>
    <n v="250"/>
    <n v="250"/>
    <s v="+61 8 3507 3369"/>
  </r>
  <r>
    <n v="3733"/>
    <s v="Thompson"/>
    <s v="Kayden Thompson"/>
    <s v="Kayden"/>
    <n v="1965"/>
    <x v="4"/>
    <x v="78"/>
    <n v="3"/>
    <x v="0"/>
    <x v="2"/>
    <n v="0.25"/>
    <n v="331.75"/>
    <n v="1327"/>
    <n v="995.25"/>
    <s v="Daniel"/>
    <n v="1965"/>
    <s v="Mentoring program"/>
    <d v="2024-08-10T00:00:00"/>
    <n v="2"/>
    <s v="Delivered"/>
    <s v="NSW"/>
    <s v="17340 Elizabeth Street"/>
    <s v="Sydney"/>
    <n v="2000"/>
    <n v="1200"/>
    <n v="2400"/>
    <s v="+61 8 2790 5877"/>
  </r>
  <r>
    <n v="3734"/>
    <s v="Boone"/>
    <s v="Rose Boone"/>
    <s v="Rose"/>
    <n v="1966"/>
    <x v="3"/>
    <x v="47"/>
    <n v="1"/>
    <x v="2"/>
    <x v="1"/>
    <n v="0.2"/>
    <n v="318.60000000000002"/>
    <n v="1593"/>
    <n v="1274.4000000000001"/>
    <s v="Kelly"/>
    <n v="1966"/>
    <s v="Networking Strategy"/>
    <d v="2024-08-01T00:00:00"/>
    <n v="2"/>
    <s v="Service Booked"/>
    <s v="ACT"/>
    <s v="79497 King Street"/>
    <s v="Canberra"/>
    <n v="2600"/>
    <n v="250"/>
    <n v="500"/>
    <s v="+61 4 3865 4071"/>
  </r>
  <r>
    <n v="3735"/>
    <s v="Barrera"/>
    <s v="Christian Barrera"/>
    <s v="Christian"/>
    <n v="1967"/>
    <x v="5"/>
    <x v="89"/>
    <n v="1"/>
    <x v="0"/>
    <x v="2"/>
    <n v="0.3"/>
    <n v="378"/>
    <n v="1260"/>
    <n v="882"/>
    <s v="Brian"/>
    <n v="1967"/>
    <s v="Resume (service fee)"/>
    <d v="2024-03-08T00:00:00"/>
    <n v="3"/>
    <s v="Delivered"/>
    <s v="NSW"/>
    <s v="10147 George Street"/>
    <s v="Sydney"/>
    <n v="2000"/>
    <n v="600"/>
    <n v="1800"/>
    <s v="+61 3 3104 6815"/>
  </r>
  <r>
    <n v="3736"/>
    <s v="Hoffman"/>
    <s v="Nicolas Hoffman"/>
    <s v="Nicolas"/>
    <n v="1968"/>
    <x v="0"/>
    <x v="301"/>
    <n v="3"/>
    <x v="3"/>
    <x v="7"/>
    <n v="0.1"/>
    <n v="132.9"/>
    <n v="1329"/>
    <n v="1196.0999999999999"/>
    <s v="Brian"/>
    <n v="1968"/>
    <s v="Interview Prep"/>
    <d v="2024-11-29T00:00:00"/>
    <n v="2"/>
    <s v="Cancelled"/>
    <s v="NT"/>
    <s v="81266 King Street"/>
    <s v="Darwin"/>
    <n v="800"/>
    <n v="250"/>
    <n v="500"/>
    <s v="+61 2 6319 1578"/>
  </r>
  <r>
    <n v="3737"/>
    <s v="Morrison"/>
    <s v="Caiden Morrison"/>
    <s v="Caiden"/>
    <n v="1969"/>
    <x v="2"/>
    <x v="163"/>
    <n v="2"/>
    <x v="0"/>
    <x v="0"/>
    <n v="0.25"/>
    <n v="189"/>
    <n v="756"/>
    <n v="567"/>
    <s v="Priscilla"/>
    <n v="1969"/>
    <s v="LinkedIn profile"/>
    <d v="2024-03-23T00:00:00"/>
    <n v="2"/>
    <s v="Delivered"/>
    <s v="WA"/>
    <s v="62106 Main Street"/>
    <s v="Fremantle"/>
    <n v="6160"/>
    <n v="300"/>
    <n v="600"/>
    <s v="+61 2 8636 6568"/>
  </r>
  <r>
    <n v="3738"/>
    <s v="Crawford"/>
    <s v="Dallas Crawford"/>
    <s v="Dallas"/>
    <n v="1970"/>
    <x v="5"/>
    <x v="231"/>
    <n v="2"/>
    <x v="2"/>
    <x v="5"/>
    <n v="0.3"/>
    <n v="325.5"/>
    <n v="1085"/>
    <n v="759.5"/>
    <s v="Daniel"/>
    <n v="1970"/>
    <s v="Resume (service fee)"/>
    <d v="2024-07-10T00:00:00"/>
    <n v="3"/>
    <s v="Service Booked"/>
    <s v="SA"/>
    <s v="14817 Main Street"/>
    <s v="Whyalla"/>
    <n v="5600"/>
    <n v="600"/>
    <n v="1800"/>
    <s v="+61 6 1005 3426"/>
  </r>
  <r>
    <n v="3739"/>
    <s v="Gomez"/>
    <s v="Sawyer Gomez"/>
    <s v="Sawyer"/>
    <n v="1971"/>
    <x v="4"/>
    <x v="290"/>
    <n v="1"/>
    <x v="0"/>
    <x v="1"/>
    <n v="0.25"/>
    <n v="365.25"/>
    <n v="1461"/>
    <n v="1095.75"/>
    <s v="Terrence"/>
    <n v="1971"/>
    <s v="Mentoring program"/>
    <d v="2024-03-07T00:00:00"/>
    <n v="2"/>
    <s v="Delivered"/>
    <s v="ACT"/>
    <s v="97383 George Street"/>
    <s v="Canberra"/>
    <n v="2600"/>
    <n v="1200"/>
    <n v="2400"/>
    <s v="+61 5 4101 4003"/>
  </r>
  <r>
    <n v="3740"/>
    <s v="Frederick"/>
    <s v="Oakley Frederick"/>
    <s v="Oakley"/>
    <n v="1972"/>
    <x v="2"/>
    <x v="321"/>
    <n v="2"/>
    <x v="0"/>
    <x v="6"/>
    <n v="0.25"/>
    <n v="48.75"/>
    <n v="195"/>
    <n v="146.25"/>
    <s v="Terrence"/>
    <n v="1972"/>
    <s v="LinkedIn profile"/>
    <d v="2024-01-12T00:00:00"/>
    <n v="2"/>
    <s v="Delivered"/>
    <s v="TAS"/>
    <s v="55442 King Street"/>
    <s v="Hobart"/>
    <n v="7000"/>
    <n v="300"/>
    <n v="600"/>
    <s v="+61 2 2837 7029"/>
  </r>
  <r>
    <n v="3741"/>
    <s v="Correa"/>
    <s v="Kaiden Correa"/>
    <s v="Kaiden"/>
    <n v="1973"/>
    <x v="4"/>
    <x v="166"/>
    <n v="3"/>
    <x v="2"/>
    <x v="1"/>
    <n v="0.25"/>
    <n v="30.5"/>
    <n v="122"/>
    <n v="91.5"/>
    <s v="Priscilla"/>
    <n v="1973"/>
    <s v="Mentoring program"/>
    <d v="2024-10-09T00:00:00"/>
    <n v="2"/>
    <s v="Service Booked"/>
    <s v="ACT"/>
    <s v="59327 King Street"/>
    <s v="Canberra"/>
    <n v="2600"/>
    <n v="1200"/>
    <n v="2400"/>
    <s v="+61 8 1195 1422"/>
  </r>
  <r>
    <n v="3742"/>
    <s v="Raymond"/>
    <s v="Declan Raymond"/>
    <s v="Declan"/>
    <n v="1974"/>
    <x v="4"/>
    <x v="314"/>
    <n v="1"/>
    <x v="0"/>
    <x v="7"/>
    <n v="0.25"/>
    <n v="301.75"/>
    <n v="1207"/>
    <n v="905.25"/>
    <s v="Kelly"/>
    <n v="1974"/>
    <s v="Mentoring program"/>
    <d v="2024-03-25T00:00:00"/>
    <n v="3"/>
    <s v="Delivered"/>
    <s v="NT"/>
    <s v="53822 George Street"/>
    <s v="Alice Springs"/>
    <n v="870"/>
    <n v="1200"/>
    <n v="3600"/>
    <s v="+61 4 5476 9238"/>
  </r>
  <r>
    <n v="3743"/>
    <s v="Portillo"/>
    <s v="Reed Portillo"/>
    <s v="Reed"/>
    <n v="1975"/>
    <x v="4"/>
    <x v="32"/>
    <n v="3"/>
    <x v="2"/>
    <x v="2"/>
    <n v="0.25"/>
    <n v="397.5"/>
    <n v="1590"/>
    <n v="1192.5"/>
    <s v="Priscilla"/>
    <n v="1975"/>
    <s v="Mentoring program"/>
    <d v="2024-12-14T00:00:00"/>
    <n v="3"/>
    <s v="Service Booked"/>
    <s v="NSW"/>
    <s v="46735 Main Street"/>
    <s v="Sydney"/>
    <n v="2000"/>
    <n v="1200"/>
    <n v="3600"/>
    <s v="+61 3 7949 9681"/>
  </r>
  <r>
    <n v="3744"/>
    <s v="Swanson"/>
    <s v="Carolina Swanson"/>
    <s v="Carolina"/>
    <n v="1976"/>
    <x v="4"/>
    <x v="159"/>
    <n v="2"/>
    <x v="3"/>
    <x v="5"/>
    <n v="0.25"/>
    <n v="208"/>
    <n v="832"/>
    <n v="624"/>
    <s v="Priscilla"/>
    <n v="1976"/>
    <s v="Mentoring program"/>
    <d v="2024-03-12T00:00:00"/>
    <n v="2"/>
    <s v="Cancelled"/>
    <s v="SA"/>
    <s v="7522 Park Avenue"/>
    <s v="Mount Gambier"/>
    <n v="5290"/>
    <n v="1200"/>
    <n v="2400"/>
    <s v="+61 3 9429 7892"/>
  </r>
  <r>
    <n v="3745"/>
    <s v="Craig"/>
    <s v="Ayden Craig"/>
    <s v="Ayden"/>
    <n v="1977"/>
    <x v="0"/>
    <x v="191"/>
    <n v="1"/>
    <x v="2"/>
    <x v="1"/>
    <n v="0.1"/>
    <n v="55.5"/>
    <n v="555"/>
    <n v="499.5"/>
    <s v="Brian"/>
    <n v="1977"/>
    <s v="Interview Prep"/>
    <d v="2024-09-02T00:00:00"/>
    <n v="2"/>
    <s v="Service Booked"/>
    <s v="ACT"/>
    <s v="6350 Main Street"/>
    <s v="Canberra"/>
    <n v="2600"/>
    <n v="250"/>
    <n v="500"/>
    <s v="+61 6 7064 6818"/>
  </r>
  <r>
    <n v="3746"/>
    <s v="Nolan"/>
    <s v="Skylar Nolan"/>
    <s v="Skylar"/>
    <n v="1978"/>
    <x v="3"/>
    <x v="166"/>
    <n v="3"/>
    <x v="3"/>
    <x v="7"/>
    <n v="0.2"/>
    <n v="45.400000000000006"/>
    <n v="227"/>
    <n v="181.6"/>
    <s v="Priscilla"/>
    <n v="1978"/>
    <s v="Networking Strategy"/>
    <d v="2024-10-09T00:00:00"/>
    <n v="2"/>
    <s v="Cancelled"/>
    <s v="NT"/>
    <s v="96678 Park Avenue"/>
    <s v="Alice Springs"/>
    <n v="870"/>
    <n v="250"/>
    <n v="500"/>
    <s v="+61 9 1631 1192"/>
  </r>
  <r>
    <n v="3747"/>
    <s v="Noble"/>
    <s v="Josephine Noble"/>
    <s v="Josephine"/>
    <n v="1979"/>
    <x v="0"/>
    <x v="28"/>
    <n v="2"/>
    <x v="3"/>
    <x v="0"/>
    <n v="0.1"/>
    <n v="165.3"/>
    <n v="1653"/>
    <n v="1487.7"/>
    <s v="Terrence"/>
    <n v="1979"/>
    <s v="Interview Prep"/>
    <d v="2024-08-25T00:00:00"/>
    <n v="3"/>
    <s v="Cancelled"/>
    <s v="WA"/>
    <s v="43350 George Street"/>
    <s v="Perth"/>
    <n v="6000"/>
    <n v="250"/>
    <n v="750"/>
    <s v="+61 4 8840 2470"/>
  </r>
  <r>
    <n v="3748"/>
    <s v="Dawson"/>
    <s v="Sage Dawson"/>
    <s v="Sage"/>
    <n v="1980"/>
    <x v="4"/>
    <x v="18"/>
    <n v="3"/>
    <x v="0"/>
    <x v="4"/>
    <n v="0.25"/>
    <n v="411.75"/>
    <n v="1647"/>
    <n v="1235.25"/>
    <s v="Brian"/>
    <n v="1980"/>
    <s v="Mentoring program"/>
    <d v="2024-06-12T00:00:00"/>
    <n v="3"/>
    <s v="Delivered"/>
    <s v="QLD"/>
    <s v="11845 Main Street"/>
    <s v="Cairns"/>
    <n v="4870"/>
    <n v="1200"/>
    <n v="3600"/>
    <s v="+61 7 8222 4251"/>
  </r>
  <r>
    <n v="3749"/>
    <s v="Hunt"/>
    <s v="Bryce Hunt"/>
    <s v="Bryce"/>
    <n v="1981"/>
    <x v="4"/>
    <x v="35"/>
    <n v="3"/>
    <x v="2"/>
    <x v="7"/>
    <n v="0.25"/>
    <n v="116.25"/>
    <n v="465"/>
    <n v="348.75"/>
    <s v="Terrence"/>
    <n v="1981"/>
    <s v="Mentoring program"/>
    <d v="2024-12-07T00:00:00"/>
    <n v="1"/>
    <s v="Service Booked"/>
    <s v="NT"/>
    <s v="98000 Park Avenue"/>
    <s v="Alice Springs"/>
    <n v="870"/>
    <n v="1200"/>
    <n v="1200"/>
    <s v="+61 2 5979 6159"/>
  </r>
  <r>
    <n v="3750"/>
    <s v="Horn"/>
    <s v="Ivy Horn"/>
    <s v="Ivy"/>
    <n v="1982"/>
    <x v="2"/>
    <x v="20"/>
    <n v="2"/>
    <x v="0"/>
    <x v="7"/>
    <n v="0.25"/>
    <n v="77.25"/>
    <n v="309"/>
    <n v="231.75"/>
    <s v="Kelly"/>
    <n v="1982"/>
    <s v="LinkedIn profile"/>
    <d v="2024-11-19T00:00:00"/>
    <n v="2"/>
    <s v="Delivered"/>
    <s v="NT"/>
    <s v="11938 Elizabeth Street"/>
    <s v="Alice Springs"/>
    <n v="870"/>
    <n v="300"/>
    <n v="600"/>
    <s v="+61 8 5401 7010"/>
  </r>
  <r>
    <n v="3751"/>
    <s v="Kelly"/>
    <s v="Kayson Kelly"/>
    <s v="Kayson"/>
    <n v="1983"/>
    <x v="1"/>
    <x v="89"/>
    <n v="1"/>
    <x v="1"/>
    <x v="3"/>
    <n v="0.3"/>
    <n v="311.7"/>
    <n v="1039"/>
    <n v="727.3"/>
    <s v="Daniel"/>
    <n v="1983"/>
    <s v="Resume + LinkedIn Profile"/>
    <d v="2024-03-08T00:00:00"/>
    <n v="3"/>
    <s v="In Progress"/>
    <s v="VIC"/>
    <s v="63763 Park Avenue"/>
    <s v="Ballarat"/>
    <n v="3350"/>
    <n v="800"/>
    <n v="2400"/>
    <s v="+61 6 5930 5424"/>
  </r>
  <r>
    <n v="3752"/>
    <s v="Washington"/>
    <s v="Savannah Washington"/>
    <s v="Savannah"/>
    <n v="1984"/>
    <x v="4"/>
    <x v="155"/>
    <n v="1"/>
    <x v="1"/>
    <x v="5"/>
    <n v="0.25"/>
    <n v="88.25"/>
    <n v="353"/>
    <n v="264.75"/>
    <s v="Terrence"/>
    <n v="1984"/>
    <s v="Mentoring program"/>
    <d v="2024-11-03T00:00:00"/>
    <n v="2"/>
    <s v="In Progress"/>
    <s v="SA"/>
    <s v="48740 George Street"/>
    <s v="Mount Gambier"/>
    <n v="5290"/>
    <n v="1200"/>
    <n v="2400"/>
    <s v="+61 7 5851 4195"/>
  </r>
  <r>
    <n v="3753"/>
    <s v="Kennedy"/>
    <s v="Georgia Kennedy"/>
    <s v="Georgia"/>
    <n v="1985"/>
    <x v="3"/>
    <x v="63"/>
    <n v="2"/>
    <x v="0"/>
    <x v="0"/>
    <n v="0.2"/>
    <n v="319.20000000000005"/>
    <n v="1596"/>
    <n v="1276.8"/>
    <s v="Brian"/>
    <n v="1985"/>
    <s v="Networking Strategy"/>
    <d v="2024-01-22T00:00:00"/>
    <n v="3"/>
    <s v="Delivered"/>
    <s v="WA"/>
    <s v="57883 Elizabeth Street"/>
    <s v="Perth"/>
    <n v="6000"/>
    <n v="250"/>
    <n v="750"/>
    <s v="+61 6 7078 6555"/>
  </r>
  <r>
    <n v="3754"/>
    <s v="Avalos"/>
    <s v="Alan Avalos"/>
    <s v="Alan"/>
    <n v="1986"/>
    <x v="1"/>
    <x v="175"/>
    <n v="1"/>
    <x v="2"/>
    <x v="2"/>
    <n v="0.3"/>
    <n v="277.5"/>
    <n v="925"/>
    <n v="647.5"/>
    <s v="Kelly"/>
    <n v="1986"/>
    <s v="Resume + LinkedIn Profile"/>
    <d v="2024-08-06T00:00:00"/>
    <n v="2"/>
    <s v="Service Booked"/>
    <s v="NSW"/>
    <s v="55153 Park Avenue"/>
    <s v="Newcastle"/>
    <n v="2300"/>
    <n v="800"/>
    <n v="1600"/>
    <s v="+61 5 2670 2417"/>
  </r>
  <r>
    <n v="3755"/>
    <s v="Adams"/>
    <s v="Valerie Adams"/>
    <s v="Valerie"/>
    <n v="1987"/>
    <x v="1"/>
    <x v="200"/>
    <n v="2"/>
    <x v="0"/>
    <x v="1"/>
    <n v="0.3"/>
    <n v="114.89999999999999"/>
    <n v="383"/>
    <n v="268.10000000000002"/>
    <s v="Terrence"/>
    <n v="1987"/>
    <s v="Resume + LinkedIn Profile"/>
    <d v="2024-10-20T00:00:00"/>
    <n v="3"/>
    <s v="Delivered"/>
    <s v="ACT"/>
    <s v="95328 King Street"/>
    <s v="Canberra"/>
    <n v="2600"/>
    <n v="800"/>
    <n v="2400"/>
    <s v="+61 3 5038 4277"/>
  </r>
  <r>
    <n v="3756"/>
    <s v="Brock"/>
    <s v="Helen Brock"/>
    <s v="Helen"/>
    <n v="1988"/>
    <x v="5"/>
    <x v="282"/>
    <n v="3"/>
    <x v="2"/>
    <x v="7"/>
    <n v="0.3"/>
    <n v="210.6"/>
    <n v="702"/>
    <n v="491.4"/>
    <s v="Brian"/>
    <n v="1988"/>
    <s v="Resume (service fee)"/>
    <d v="2024-12-28T00:00:00"/>
    <n v="2"/>
    <s v="Service Booked"/>
    <s v="NT"/>
    <s v="25991 Main Street"/>
    <s v="Alice Springs"/>
    <n v="870"/>
    <n v="600"/>
    <n v="1200"/>
    <s v="+61 2 6933 8167"/>
  </r>
  <r>
    <n v="3757"/>
    <s v="Allen"/>
    <s v="Alan Allen"/>
    <s v="Alan"/>
    <n v="1989"/>
    <x v="5"/>
    <x v="302"/>
    <n v="2"/>
    <x v="2"/>
    <x v="2"/>
    <n v="0.3"/>
    <n v="182.7"/>
    <n v="609"/>
    <n v="426.3"/>
    <s v="Kelly"/>
    <n v="1989"/>
    <s v="Resume (service fee)"/>
    <d v="2024-12-21T00:00:00"/>
    <n v="3"/>
    <s v="Service Booked"/>
    <s v="NSW"/>
    <s v="66702 King Street"/>
    <s v="Wollongong"/>
    <n v="2500"/>
    <n v="600"/>
    <n v="1800"/>
    <s v="+61 6 1194 6947"/>
  </r>
  <r>
    <n v="3758"/>
    <s v="Rodriguez"/>
    <s v="Itzel Rodriguez"/>
    <s v="Itzel"/>
    <n v="1990"/>
    <x v="4"/>
    <x v="172"/>
    <n v="1"/>
    <x v="0"/>
    <x v="0"/>
    <n v="0.25"/>
    <n v="66.75"/>
    <n v="267"/>
    <n v="200.25"/>
    <s v="Daniel"/>
    <n v="1990"/>
    <s v="Mentoring program"/>
    <d v="2024-03-05T00:00:00"/>
    <n v="2"/>
    <s v="Delivered"/>
    <s v="WA"/>
    <s v="57574 Elizabeth Street"/>
    <s v="Fremantle"/>
    <n v="6160"/>
    <n v="1200"/>
    <n v="2400"/>
    <s v="+61 4 4080 8755"/>
  </r>
  <r>
    <n v="3759"/>
    <s v="Holt"/>
    <s v="Jimena Holt"/>
    <s v="Jimena"/>
    <n v="1991"/>
    <x v="2"/>
    <x v="256"/>
    <n v="2"/>
    <x v="0"/>
    <x v="7"/>
    <n v="0.25"/>
    <n v="67.75"/>
    <n v="271"/>
    <n v="203.25"/>
    <s v="Brian"/>
    <n v="1991"/>
    <s v="LinkedIn profile"/>
    <d v="2024-05-07T00:00:00"/>
    <n v="2"/>
    <s v="Delivered"/>
    <s v="NT"/>
    <s v="84314 Elizabeth Street"/>
    <s v="Alice Springs"/>
    <n v="870"/>
    <n v="300"/>
    <n v="600"/>
    <s v="+61 9 2519 8063"/>
  </r>
  <r>
    <n v="3760"/>
    <s v="Nash"/>
    <s v="Alyssa Nash"/>
    <s v="Alyssa"/>
    <n v="1992"/>
    <x v="3"/>
    <x v="215"/>
    <n v="3"/>
    <x v="1"/>
    <x v="4"/>
    <n v="0.2"/>
    <n v="50.6"/>
    <n v="253"/>
    <n v="202.4"/>
    <s v="Daniel"/>
    <n v="1992"/>
    <s v="Networking Strategy"/>
    <d v="2024-08-21T00:00:00"/>
    <n v="1"/>
    <s v="In Progress"/>
    <s v="QLD"/>
    <s v="59813 Main Street"/>
    <s v="Gold Coast"/>
    <n v="4217"/>
    <n v="250"/>
    <n v="250"/>
    <s v="+61 2 9506 7848"/>
  </r>
  <r>
    <n v="3761"/>
    <s v="Miles"/>
    <s v="Declan Miles"/>
    <s v="Declan"/>
    <n v="1993"/>
    <x v="0"/>
    <x v="313"/>
    <n v="3"/>
    <x v="2"/>
    <x v="4"/>
    <n v="0.1"/>
    <n v="80.900000000000006"/>
    <n v="809"/>
    <n v="728.1"/>
    <s v="Terrence"/>
    <n v="1993"/>
    <s v="Interview Prep"/>
    <d v="2024-08-19T00:00:00"/>
    <n v="1"/>
    <s v="Service Booked"/>
    <s v="QLD"/>
    <s v="36301 Elizabeth Street"/>
    <s v="Gold Coast"/>
    <n v="4217"/>
    <n v="250"/>
    <n v="250"/>
    <s v="+61 9 3806 1672"/>
  </r>
  <r>
    <n v="3762"/>
    <s v="Skinner"/>
    <s v="Gideon Skinner"/>
    <s v="Gideon"/>
    <n v="1994"/>
    <x v="4"/>
    <x v="322"/>
    <n v="1"/>
    <x v="0"/>
    <x v="6"/>
    <n v="0.25"/>
    <n v="166.25"/>
    <n v="665"/>
    <n v="498.75"/>
    <s v="Terrence"/>
    <n v="1994"/>
    <s v="Mentoring program"/>
    <d v="2024-12-15T00:00:00"/>
    <n v="2"/>
    <s v="Delivered"/>
    <s v="TAS"/>
    <s v="12825 King Street"/>
    <s v="Hobart"/>
    <n v="7000"/>
    <n v="1200"/>
    <n v="2400"/>
    <s v="+61 9 3284 7956"/>
  </r>
  <r>
    <n v="3763"/>
    <s v="Zamora"/>
    <s v="Celine Zamora"/>
    <s v="Celine"/>
    <n v="1995"/>
    <x v="0"/>
    <x v="285"/>
    <n v="2"/>
    <x v="0"/>
    <x v="0"/>
    <n v="0.1"/>
    <n v="107.10000000000001"/>
    <n v="1071"/>
    <n v="963.9"/>
    <s v="Daniel"/>
    <n v="1995"/>
    <s v="Interview Prep"/>
    <d v="2024-06-09T00:00:00"/>
    <n v="3"/>
    <s v="Delivered"/>
    <s v="WA"/>
    <s v="7339 Park Avenue"/>
    <s v="Fremantle"/>
    <n v="6160"/>
    <n v="250"/>
    <n v="750"/>
    <s v="+61 6 3437 4535"/>
  </r>
  <r>
    <n v="3764"/>
    <s v="Drake"/>
    <s v="Jimena Drake"/>
    <s v="Jimena"/>
    <n v="1996"/>
    <x v="3"/>
    <x v="7"/>
    <n v="2"/>
    <x v="2"/>
    <x v="4"/>
    <n v="0.2"/>
    <n v="149"/>
    <n v="745"/>
    <n v="596"/>
    <s v="Brian"/>
    <n v="1996"/>
    <s v="Networking Strategy"/>
    <d v="2024-10-26T00:00:00"/>
    <n v="3"/>
    <s v="Service Booked"/>
    <s v="QLD"/>
    <s v="16697 Elizabeth Street"/>
    <s v="Cairns"/>
    <n v="4870"/>
    <n v="250"/>
    <n v="750"/>
    <s v="+61 3 5364 2657"/>
  </r>
  <r>
    <n v="3765"/>
    <s v="Bennett"/>
    <s v="Emma Bennett"/>
    <s v="Emma"/>
    <n v="1997"/>
    <x v="0"/>
    <x v="174"/>
    <n v="1"/>
    <x v="2"/>
    <x v="6"/>
    <n v="0.1"/>
    <n v="117.60000000000001"/>
    <n v="1176"/>
    <n v="1058.4000000000001"/>
    <s v="Terrence"/>
    <n v="1997"/>
    <s v="Interview Prep"/>
    <d v="2024-03-13T00:00:00"/>
    <n v="1"/>
    <s v="Service Booked"/>
    <s v="TAS"/>
    <s v="45150 Park Avenue"/>
    <s v="Launceston"/>
    <n v="7250"/>
    <n v="250"/>
    <n v="250"/>
    <s v="+61 4 4720 2050"/>
  </r>
  <r>
    <n v="3766"/>
    <s v="Kane"/>
    <s v="Fatima Kane"/>
    <s v="Fatima"/>
    <n v="1998"/>
    <x v="4"/>
    <x v="156"/>
    <n v="2"/>
    <x v="3"/>
    <x v="7"/>
    <n v="0.25"/>
    <n v="261.25"/>
    <n v="1045"/>
    <n v="783.75"/>
    <s v="Brian"/>
    <n v="1998"/>
    <s v="Mentoring program"/>
    <d v="2024-03-04T00:00:00"/>
    <n v="3"/>
    <s v="Cancelled"/>
    <s v="NT"/>
    <s v="4051 Park Avenue"/>
    <s v="Darwin"/>
    <n v="800"/>
    <n v="1200"/>
    <n v="3600"/>
    <s v="+61 8 6430 8522"/>
  </r>
  <r>
    <n v="3767"/>
    <s v="Dawson"/>
    <s v="Alyssa Dawson"/>
    <s v="Alyssa"/>
    <n v="1999"/>
    <x v="3"/>
    <x v="259"/>
    <n v="3"/>
    <x v="0"/>
    <x v="0"/>
    <n v="0.2"/>
    <n v="11.4"/>
    <n v="57"/>
    <n v="45.6"/>
    <s v="Daniel"/>
    <n v="1999"/>
    <s v="Networking Strategy"/>
    <d v="2024-08-07T00:00:00"/>
    <n v="3"/>
    <s v="Delivered"/>
    <s v="WA"/>
    <s v="10329 George Street"/>
    <s v="Fremantle"/>
    <n v="6160"/>
    <n v="250"/>
    <n v="750"/>
    <s v="+61 6 1775 2410"/>
  </r>
  <r>
    <n v="3768"/>
    <s v="Bonilla"/>
    <s v="Melanie Bonilla"/>
    <s v="Melanie"/>
    <n v="2000"/>
    <x v="4"/>
    <x v="107"/>
    <n v="2"/>
    <x v="2"/>
    <x v="0"/>
    <n v="0.25"/>
    <n v="151.75"/>
    <n v="607"/>
    <n v="455.25"/>
    <s v="Kelly"/>
    <n v="2000"/>
    <s v="Mentoring program"/>
    <d v="2024-12-27T00:00:00"/>
    <n v="3"/>
    <s v="Service Booked"/>
    <s v="WA"/>
    <s v="55731 Elizabeth Street"/>
    <s v="Perth"/>
    <n v="6000"/>
    <n v="1200"/>
    <n v="3600"/>
    <s v="+61 7 2518 4066"/>
  </r>
  <r>
    <n v="3769"/>
    <s v="Winters"/>
    <s v="Holden Winters"/>
    <s v="Holden"/>
    <n v="2001"/>
    <x v="4"/>
    <x v="6"/>
    <n v="1"/>
    <x v="0"/>
    <x v="2"/>
    <n v="0.25"/>
    <n v="66.75"/>
    <n v="267"/>
    <n v="200.25"/>
    <s v="Brian"/>
    <n v="2001"/>
    <s v="Mentoring program"/>
    <d v="2024-03-18T00:00:00"/>
    <n v="3"/>
    <s v="Delivered"/>
    <s v="NSW"/>
    <s v="68278 George Street"/>
    <s v="Wollongong"/>
    <n v="2500"/>
    <n v="1200"/>
    <n v="3600"/>
    <s v="+61 3 2040 4771"/>
  </r>
  <r>
    <n v="3770"/>
    <s v="Jensen"/>
    <s v="Haven Jensen"/>
    <s v="Haven"/>
    <n v="2002"/>
    <x v="4"/>
    <x v="147"/>
    <n v="2"/>
    <x v="2"/>
    <x v="3"/>
    <n v="0.25"/>
    <n v="14"/>
    <n v="56"/>
    <n v="42"/>
    <s v="Terrence"/>
    <n v="2002"/>
    <s v="Mentoring program"/>
    <d v="2024-09-17T00:00:00"/>
    <n v="2"/>
    <s v="Service Booked"/>
    <s v="VIC"/>
    <s v="63513 King Street"/>
    <s v="Ballarat"/>
    <n v="3350"/>
    <n v="1200"/>
    <n v="2400"/>
    <s v="+61 5 6972 3559"/>
  </r>
  <r>
    <n v="3771"/>
    <s v="Pollard"/>
    <s v="Zander Pollard"/>
    <s v="Zander"/>
    <n v="2003"/>
    <x v="1"/>
    <x v="98"/>
    <n v="2"/>
    <x v="2"/>
    <x v="2"/>
    <n v="0.3"/>
    <n v="276.3"/>
    <n v="921"/>
    <n v="644.70000000000005"/>
    <s v="Priscilla"/>
    <n v="2003"/>
    <s v="Resume + LinkedIn Profile"/>
    <d v="2024-12-25T00:00:00"/>
    <n v="2"/>
    <s v="Service Booked"/>
    <s v="NSW"/>
    <s v="27804 Park Avenue"/>
    <s v="Wollongong"/>
    <n v="2500"/>
    <n v="800"/>
    <n v="1600"/>
    <s v="+61 2 7525 1981"/>
  </r>
  <r>
    <n v="3772"/>
    <s v="Krueger"/>
    <s v="Aisha Krueger"/>
    <s v="Aisha"/>
    <n v="2004"/>
    <x v="0"/>
    <x v="186"/>
    <n v="3"/>
    <x v="2"/>
    <x v="2"/>
    <n v="0.1"/>
    <n v="143.20000000000002"/>
    <n v="1432"/>
    <n v="1288.8"/>
    <s v="Priscilla"/>
    <n v="2004"/>
    <s v="Interview Prep"/>
    <d v="2024-11-26T00:00:00"/>
    <n v="1"/>
    <s v="Service Booked"/>
    <s v="NSW"/>
    <s v="39163 Elizabeth Street"/>
    <s v="Wollongong"/>
    <n v="2500"/>
    <n v="250"/>
    <n v="250"/>
    <s v="+61 8 3398 2588"/>
  </r>
  <r>
    <n v="3773"/>
    <s v="Stokes"/>
    <s v="Maddox Stokes"/>
    <s v="Maddox"/>
    <n v="2005"/>
    <x v="5"/>
    <x v="323"/>
    <n v="2"/>
    <x v="0"/>
    <x v="5"/>
    <n v="0.3"/>
    <n v="152.1"/>
    <n v="507"/>
    <n v="354.9"/>
    <s v="Kelly"/>
    <n v="2005"/>
    <s v="Resume (service fee)"/>
    <d v="2024-02-05T00:00:00"/>
    <n v="2"/>
    <s v="Delivered"/>
    <s v="SA"/>
    <s v="75501 King Street"/>
    <s v="Mount Gambier"/>
    <n v="5290"/>
    <n v="600"/>
    <n v="1200"/>
    <s v="+61 7 3535 3127"/>
  </r>
  <r>
    <n v="3774"/>
    <s v="Sims"/>
    <s v="Cooper Sims"/>
    <s v="Cooper"/>
    <n v="2006"/>
    <x v="3"/>
    <x v="7"/>
    <n v="3"/>
    <x v="2"/>
    <x v="2"/>
    <n v="0.2"/>
    <n v="93.600000000000009"/>
    <n v="468"/>
    <n v="374.4"/>
    <s v="Priscilla"/>
    <n v="2006"/>
    <s v="Networking Strategy"/>
    <d v="2024-10-26T00:00:00"/>
    <n v="1"/>
    <s v="Service Booked"/>
    <s v="NSW"/>
    <s v="42244 George Street"/>
    <s v="Wollongong"/>
    <n v="2500"/>
    <n v="250"/>
    <n v="250"/>
    <s v="+61 9 5705 5775"/>
  </r>
  <r>
    <n v="3775"/>
    <s v="Jensen"/>
    <s v="Trinity Jensen"/>
    <s v="Trinity"/>
    <n v="2007"/>
    <x v="3"/>
    <x v="74"/>
    <n v="1"/>
    <x v="2"/>
    <x v="2"/>
    <n v="0.2"/>
    <n v="141"/>
    <n v="705"/>
    <n v="564"/>
    <s v="Brian"/>
    <n v="2007"/>
    <s v="Networking Strategy"/>
    <d v="2024-03-10T00:00:00"/>
    <n v="3"/>
    <s v="Service Booked"/>
    <s v="NSW"/>
    <s v="92251 George Street"/>
    <s v="Newcastle"/>
    <n v="2300"/>
    <n v="250"/>
    <n v="750"/>
    <s v="+61 3 1237 2978"/>
  </r>
  <r>
    <n v="3776"/>
    <s v="Castillo"/>
    <s v="Rosalie Castillo"/>
    <s v="Rosalie"/>
    <n v="2008"/>
    <x v="1"/>
    <x v="274"/>
    <n v="2"/>
    <x v="2"/>
    <x v="0"/>
    <n v="0.3"/>
    <n v="187.5"/>
    <n v="625"/>
    <n v="437.5"/>
    <s v="Terrence"/>
    <n v="2008"/>
    <s v="Resume + LinkedIn Profile"/>
    <d v="2024-11-21T00:00:00"/>
    <n v="1"/>
    <s v="Service Booked"/>
    <s v="WA"/>
    <s v="37200 George Street"/>
    <s v="Broome"/>
    <n v="6725"/>
    <n v="800"/>
    <n v="800"/>
    <s v="+61 4 3437 8874"/>
  </r>
  <r>
    <n v="3777"/>
    <s v="Lewis"/>
    <s v="Frank Lewis"/>
    <s v="Frank"/>
    <n v="2009"/>
    <x v="5"/>
    <x v="324"/>
    <n v="2"/>
    <x v="1"/>
    <x v="5"/>
    <n v="0.3"/>
    <n v="429.59999999999997"/>
    <n v="1432"/>
    <n v="1002.4000000000001"/>
    <s v="Kelly"/>
    <n v="2009"/>
    <s v="Resume (service fee)"/>
    <d v="2024-01-02T00:00:00"/>
    <n v="3"/>
    <s v="In Progress"/>
    <s v="SA"/>
    <s v="94598 Main Street"/>
    <s v="Mount Gambier"/>
    <n v="5290"/>
    <n v="600"/>
    <n v="1800"/>
    <s v="+61 6 4593 6853"/>
  </r>
  <r>
    <n v="3778"/>
    <s v="Doyle"/>
    <s v="Messiah Doyle"/>
    <s v="Messiah"/>
    <n v="2010"/>
    <x v="0"/>
    <x v="272"/>
    <n v="1"/>
    <x v="2"/>
    <x v="6"/>
    <n v="0.1"/>
    <n v="34.4"/>
    <n v="344"/>
    <n v="309.60000000000002"/>
    <s v="Daniel"/>
    <n v="2010"/>
    <s v="Interview Prep"/>
    <d v="2024-02-01T00:00:00"/>
    <n v="2"/>
    <s v="Service Booked"/>
    <s v="TAS"/>
    <s v="38322 Park Avenue"/>
    <s v="Hobart"/>
    <n v="7000"/>
    <n v="250"/>
    <n v="500"/>
    <s v="+61 2 3441 7354"/>
  </r>
  <r>
    <n v="3779"/>
    <s v="Becker"/>
    <s v="Owen Becker"/>
    <s v="Owen"/>
    <n v="2011"/>
    <x v="5"/>
    <x v="280"/>
    <n v="1"/>
    <x v="0"/>
    <x v="3"/>
    <n v="0.3"/>
    <n v="354.59999999999997"/>
    <n v="1182"/>
    <n v="827.40000000000009"/>
    <s v="Kelly"/>
    <n v="2011"/>
    <s v="Resume (service fee)"/>
    <d v="2024-09-22T00:00:00"/>
    <n v="3"/>
    <s v="Delivered"/>
    <s v="VIC"/>
    <s v="82155 King Street"/>
    <s v="Melbourne"/>
    <n v="3000"/>
    <n v="600"/>
    <n v="1800"/>
    <s v="+61 6 4037 4803"/>
  </r>
  <r>
    <n v="3780"/>
    <s v="Adams"/>
    <s v="Luke Adams"/>
    <s v="Luke"/>
    <n v="2012"/>
    <x v="3"/>
    <x v="37"/>
    <n v="2"/>
    <x v="0"/>
    <x v="7"/>
    <n v="0.2"/>
    <n v="304.2"/>
    <n v="1521"/>
    <n v="1216.8"/>
    <s v="Terrence"/>
    <n v="2012"/>
    <s v="Networking Strategy"/>
    <d v="2024-06-07T00:00:00"/>
    <n v="1"/>
    <s v="Delivered"/>
    <s v="NT"/>
    <s v="70552 Elizabeth Street"/>
    <s v="Darwin"/>
    <n v="800"/>
    <n v="250"/>
    <n v="250"/>
    <s v="+61 4 8831 6729"/>
  </r>
  <r>
    <n v="3781"/>
    <s v="Fletcher"/>
    <s v="Kendrick Fletcher"/>
    <s v="Kendrick"/>
    <n v="2013"/>
    <x v="4"/>
    <x v="200"/>
    <n v="3"/>
    <x v="0"/>
    <x v="3"/>
    <n v="0.25"/>
    <n v="63.25"/>
    <n v="253"/>
    <n v="189.75"/>
    <s v="Kelly"/>
    <n v="2013"/>
    <s v="Mentoring program"/>
    <d v="2024-10-20T00:00:00"/>
    <n v="1"/>
    <s v="Delivered"/>
    <s v="VIC"/>
    <s v="12655 George Street"/>
    <s v="Geelong"/>
    <n v="3220"/>
    <n v="1200"/>
    <n v="1200"/>
    <s v="+61 3 7451 4831"/>
  </r>
  <r>
    <n v="3782"/>
    <s v="Stephenson"/>
    <s v="Amari Stephenson"/>
    <s v="Amari"/>
    <n v="2014"/>
    <x v="5"/>
    <x v="180"/>
    <n v="3"/>
    <x v="0"/>
    <x v="0"/>
    <n v="0.3"/>
    <n v="384.9"/>
    <n v="1283"/>
    <n v="898.1"/>
    <s v="Priscilla"/>
    <n v="2014"/>
    <s v="Resume (service fee)"/>
    <d v="2024-02-11T00:00:00"/>
    <n v="2"/>
    <s v="Delivered"/>
    <s v="WA"/>
    <s v="39827 Main Street"/>
    <s v="Broome"/>
    <n v="6725"/>
    <n v="600"/>
    <n v="1200"/>
    <s v="+61 2 9143 7230"/>
  </r>
  <r>
    <n v="3783"/>
    <s v="Hodges"/>
    <s v="Cade Hodges"/>
    <s v="Cade"/>
    <n v="2015"/>
    <x v="2"/>
    <x v="220"/>
    <n v="1"/>
    <x v="0"/>
    <x v="3"/>
    <n v="0.25"/>
    <n v="287.5"/>
    <n v="1150"/>
    <n v="862.5"/>
    <s v="Brian"/>
    <n v="2015"/>
    <s v="LinkedIn profile"/>
    <d v="2024-06-13T00:00:00"/>
    <n v="3"/>
    <s v="Delivered"/>
    <s v="VIC"/>
    <s v="32733 George Street"/>
    <s v="Melbourne"/>
    <n v="3000"/>
    <n v="300"/>
    <n v="900"/>
    <s v="+61 9 7040 2875"/>
  </r>
  <r>
    <n v="3784"/>
    <s v="Hopkins"/>
    <s v="Serenity Hopkins"/>
    <s v="Serenity"/>
    <n v="2016"/>
    <x v="4"/>
    <x v="325"/>
    <n v="2"/>
    <x v="0"/>
    <x v="0"/>
    <n v="0.25"/>
    <n v="312"/>
    <n v="1248"/>
    <n v="936"/>
    <s v="Daniel"/>
    <n v="2016"/>
    <s v="Mentoring program"/>
    <d v="2024-05-14T00:00:00"/>
    <n v="3"/>
    <s v="Delivered"/>
    <s v="WA"/>
    <s v="83943 George Street"/>
    <s v="Fremantle"/>
    <n v="6160"/>
    <n v="1200"/>
    <n v="3600"/>
    <s v="+61 3 7636 5229"/>
  </r>
  <r>
    <n v="3785"/>
    <s v="Parks"/>
    <s v="Leonardo Parks"/>
    <s v="Leonardo"/>
    <n v="2017"/>
    <x v="5"/>
    <x v="76"/>
    <n v="3"/>
    <x v="0"/>
    <x v="3"/>
    <n v="0.3"/>
    <n v="434.09999999999997"/>
    <n v="1447"/>
    <n v="1012.9000000000001"/>
    <s v="Terrence"/>
    <n v="2017"/>
    <s v="Resume (service fee)"/>
    <d v="2024-12-16T00:00:00"/>
    <n v="2"/>
    <s v="Delivered"/>
    <s v="VIC"/>
    <s v="75362 George Street"/>
    <s v="Melbourne"/>
    <n v="3000"/>
    <n v="600"/>
    <n v="1200"/>
    <s v="+61 5 2868 8079"/>
  </r>
  <r>
    <n v="3786"/>
    <s v="Kennedy"/>
    <s v="Serenity Kennedy"/>
    <s v="Serenity"/>
    <n v="2018"/>
    <x v="3"/>
    <x v="306"/>
    <n v="3"/>
    <x v="0"/>
    <x v="4"/>
    <n v="0.2"/>
    <n v="106"/>
    <n v="530"/>
    <n v="424"/>
    <s v="Priscilla"/>
    <n v="2018"/>
    <s v="Networking Strategy"/>
    <d v="2024-06-27T00:00:00"/>
    <n v="2"/>
    <s v="Delivered"/>
    <s v="QLD"/>
    <s v="63674 George Street"/>
    <s v="Gold Coast"/>
    <n v="4217"/>
    <n v="250"/>
    <n v="500"/>
    <s v="+61 9 7419 5680"/>
  </r>
  <r>
    <n v="3787"/>
    <s v="Russo"/>
    <s v="Payton Russo"/>
    <s v="Payton"/>
    <n v="2019"/>
    <x v="4"/>
    <x v="281"/>
    <n v="1"/>
    <x v="0"/>
    <x v="2"/>
    <n v="0.25"/>
    <n v="205.75"/>
    <n v="823"/>
    <n v="617.25"/>
    <s v="Priscilla"/>
    <n v="2019"/>
    <s v="Mentoring program"/>
    <d v="2024-09-13T00:00:00"/>
    <n v="2"/>
    <s v="Delivered"/>
    <s v="NSW"/>
    <s v="30357 Elizabeth Street"/>
    <s v="Newcastle"/>
    <n v="2300"/>
    <n v="1200"/>
    <n v="2400"/>
    <s v="+61 4 2766 8754"/>
  </r>
  <r>
    <n v="3788"/>
    <s v="Case"/>
    <s v="Atticus Case"/>
    <s v="Atticus"/>
    <n v="2020"/>
    <x v="0"/>
    <x v="259"/>
    <n v="1"/>
    <x v="2"/>
    <x v="5"/>
    <n v="0.1"/>
    <n v="122.7"/>
    <n v="1227"/>
    <n v="1104.3"/>
    <s v="Priscilla"/>
    <n v="2020"/>
    <s v="Interview Prep"/>
    <d v="2024-08-07T00:00:00"/>
    <n v="1"/>
    <s v="Service Booked"/>
    <s v="SA"/>
    <s v="27719 Elizabeth Street"/>
    <s v="Mount Gambier"/>
    <n v="5290"/>
    <n v="250"/>
    <n v="250"/>
    <s v="+61 3 2527 3906"/>
  </r>
  <r>
    <n v="3789"/>
    <s v="Graham"/>
    <s v="Zyaire Graham"/>
    <s v="Zyaire"/>
    <n v="2021"/>
    <x v="2"/>
    <x v="68"/>
    <n v="1"/>
    <x v="1"/>
    <x v="4"/>
    <n v="0.25"/>
    <n v="262.25"/>
    <n v="1049"/>
    <n v="786.75"/>
    <s v="Priscilla"/>
    <n v="2021"/>
    <s v="LinkedIn profile"/>
    <d v="2024-10-29T00:00:00"/>
    <n v="1"/>
    <s v="In Progress"/>
    <s v="QLD"/>
    <s v="12106 Main Street"/>
    <s v="Cairns"/>
    <n v="4870"/>
    <n v="300"/>
    <n v="300"/>
    <s v="+61 7 3190 2793"/>
  </r>
  <r>
    <n v="3790"/>
    <s v="Ball"/>
    <s v="Myles Ball"/>
    <s v="Myles"/>
    <n v="2022"/>
    <x v="1"/>
    <x v="60"/>
    <n v="3"/>
    <x v="2"/>
    <x v="1"/>
    <n v="0.3"/>
    <n v="195.9"/>
    <n v="653"/>
    <n v="457.1"/>
    <s v="Terrence"/>
    <n v="2022"/>
    <s v="Resume + LinkedIn Profile"/>
    <d v="2024-09-21T00:00:00"/>
    <n v="1"/>
    <s v="Service Booked"/>
    <s v="ACT"/>
    <s v="32220 Main Street"/>
    <s v="Canberra"/>
    <n v="2600"/>
    <n v="800"/>
    <n v="800"/>
    <s v="+61 8 6304 8751"/>
  </r>
  <r>
    <n v="3791"/>
    <s v="Moore"/>
    <s v="Liliana Moore"/>
    <s v="Liliana"/>
    <n v="2023"/>
    <x v="5"/>
    <x v="261"/>
    <n v="3"/>
    <x v="2"/>
    <x v="6"/>
    <n v="0.3"/>
    <n v="382.8"/>
    <n v="1276"/>
    <n v="893.2"/>
    <s v="Daniel"/>
    <n v="2023"/>
    <s v="Resume (service fee)"/>
    <d v="2024-08-24T00:00:00"/>
    <n v="3"/>
    <s v="Service Booked"/>
    <s v="TAS"/>
    <s v="8237 Park Avenue"/>
    <s v="Launceston"/>
    <n v="7250"/>
    <n v="600"/>
    <n v="1800"/>
    <s v="+61 7 9424 1990"/>
  </r>
  <r>
    <n v="3792"/>
    <s v="Schroeder"/>
    <s v="Gianna Schroeder"/>
    <s v="Gianna"/>
    <n v="2024"/>
    <x v="4"/>
    <x v="67"/>
    <n v="2"/>
    <x v="3"/>
    <x v="6"/>
    <n v="0.25"/>
    <n v="245.25"/>
    <n v="981"/>
    <n v="735.75"/>
    <s v="Daniel"/>
    <n v="2024"/>
    <s v="Mentoring program"/>
    <d v="2024-07-02T00:00:00"/>
    <n v="1"/>
    <s v="Cancelled"/>
    <s v="TAS"/>
    <s v="11369 Elizabeth Street"/>
    <s v="Launceston"/>
    <n v="7250"/>
    <n v="1200"/>
    <n v="1200"/>
    <s v="+61 9 6112 9448"/>
  </r>
  <r>
    <n v="3793"/>
    <s v="Browning"/>
    <s v="Robert Browning"/>
    <s v="Robert"/>
    <n v="2025"/>
    <x v="4"/>
    <x v="57"/>
    <n v="1"/>
    <x v="0"/>
    <x v="3"/>
    <n v="0.25"/>
    <n v="27.75"/>
    <n v="111"/>
    <n v="83.25"/>
    <s v="Brian"/>
    <n v="2025"/>
    <s v="Mentoring program"/>
    <d v="2024-11-16T00:00:00"/>
    <n v="3"/>
    <s v="Delivered"/>
    <s v="VIC"/>
    <s v="76521 George Street"/>
    <s v="Ballarat"/>
    <n v="3350"/>
    <n v="1200"/>
    <n v="3600"/>
    <s v="+61 7 5941 8155"/>
  </r>
  <r>
    <n v="3794"/>
    <s v="Hahn"/>
    <s v="Nadia Hahn"/>
    <s v="Nadia"/>
    <n v="2026"/>
    <x v="5"/>
    <x v="294"/>
    <n v="3"/>
    <x v="0"/>
    <x v="4"/>
    <n v="0.3"/>
    <n v="206.7"/>
    <n v="689"/>
    <n v="482.3"/>
    <s v="Daniel"/>
    <n v="2026"/>
    <s v="Resume (service fee)"/>
    <d v="2024-07-05T00:00:00"/>
    <n v="3"/>
    <s v="Delivered"/>
    <s v="QLD"/>
    <s v="78249 Main Street"/>
    <s v="Cairns"/>
    <n v="4870"/>
    <n v="600"/>
    <n v="1800"/>
    <s v="+61 8 4643 1598"/>
  </r>
  <r>
    <n v="3795"/>
    <s v="Curtis"/>
    <s v="Claire Curtis"/>
    <s v="Claire"/>
    <n v="2027"/>
    <x v="4"/>
    <x v="326"/>
    <n v="1"/>
    <x v="0"/>
    <x v="7"/>
    <n v="0.25"/>
    <n v="301.75"/>
    <n v="1207"/>
    <n v="905.25"/>
    <s v="Daniel"/>
    <n v="2027"/>
    <s v="Mentoring program"/>
    <d v="2024-11-27T00:00:00"/>
    <n v="3"/>
    <s v="Delivered"/>
    <s v="NT"/>
    <s v="44477 Park Avenue"/>
    <s v="Alice Springs"/>
    <n v="870"/>
    <n v="1200"/>
    <n v="3600"/>
    <s v="+61 2 1934 6340"/>
  </r>
  <r>
    <n v="3796"/>
    <s v="Brennan"/>
    <s v="Alison Brennan"/>
    <s v="Alison"/>
    <n v="2028"/>
    <x v="0"/>
    <x v="240"/>
    <n v="1"/>
    <x v="0"/>
    <x v="7"/>
    <n v="0.1"/>
    <n v="134.1"/>
    <n v="1341"/>
    <n v="1206.9000000000001"/>
    <s v="Terrence"/>
    <n v="2028"/>
    <s v="Interview Prep"/>
    <d v="2024-03-19T00:00:00"/>
    <n v="3"/>
    <s v="Delivered"/>
    <s v="NT"/>
    <s v="32757 Main Street"/>
    <s v="Alice Springs"/>
    <n v="870"/>
    <n v="250"/>
    <n v="750"/>
    <s v="+61 8 8831 5776"/>
  </r>
  <r>
    <n v="3797"/>
    <s v="Osborne"/>
    <s v="Salem Osborne"/>
    <s v="Salem"/>
    <n v="2029"/>
    <x v="0"/>
    <x v="198"/>
    <n v="2"/>
    <x v="2"/>
    <x v="0"/>
    <n v="0.1"/>
    <n v="40.5"/>
    <n v="405"/>
    <n v="364.5"/>
    <s v="Priscilla"/>
    <n v="2029"/>
    <s v="Interview Prep"/>
    <d v="2024-09-04T00:00:00"/>
    <n v="3"/>
    <s v="Service Booked"/>
    <s v="WA"/>
    <s v="68207 Park Avenue"/>
    <s v="Fremantle"/>
    <n v="6160"/>
    <n v="250"/>
    <n v="750"/>
    <s v="+61 6 3754 9829"/>
  </r>
  <r>
    <n v="3798"/>
    <s v="Sandoval"/>
    <s v="Brooklynn Sandoval"/>
    <s v="Brooklynn"/>
    <n v="2030"/>
    <x v="4"/>
    <x v="121"/>
    <n v="1"/>
    <x v="2"/>
    <x v="3"/>
    <n v="0.25"/>
    <n v="300.75"/>
    <n v="1203"/>
    <n v="902.25"/>
    <s v="Terrence"/>
    <n v="2030"/>
    <s v="Mentoring program"/>
    <d v="2024-09-11T00:00:00"/>
    <n v="2"/>
    <s v="Service Booked"/>
    <s v="VIC"/>
    <s v="91393 Park Avenue"/>
    <s v="Melbourne"/>
    <n v="3000"/>
    <n v="1200"/>
    <n v="2400"/>
    <s v="+61 6 5469 1697"/>
  </r>
  <r>
    <n v="3799"/>
    <s v="Gibson"/>
    <s v="Charlee Gibson"/>
    <s v="Charlee"/>
    <n v="2031"/>
    <x v="0"/>
    <x v="327"/>
    <n v="2"/>
    <x v="0"/>
    <x v="3"/>
    <n v="0.1"/>
    <n v="61.6"/>
    <n v="616"/>
    <n v="554.4"/>
    <s v="Priscilla"/>
    <n v="2031"/>
    <s v="Interview Prep"/>
    <d v="2024-07-19T00:00:00"/>
    <n v="1"/>
    <s v="Delivered"/>
    <s v="VIC"/>
    <s v="9389 Park Avenue"/>
    <s v="Geelong"/>
    <n v="3220"/>
    <n v="250"/>
    <n v="250"/>
    <s v="+61 6 1752 6221"/>
  </r>
  <r>
    <n v="3800"/>
    <s v="Rowland"/>
    <s v="Sophia Rowland"/>
    <s v="Sophia"/>
    <n v="2032"/>
    <x v="2"/>
    <x v="144"/>
    <n v="3"/>
    <x v="0"/>
    <x v="1"/>
    <n v="0.25"/>
    <n v="155.5"/>
    <n v="622"/>
    <n v="466.5"/>
    <s v="Brian"/>
    <n v="2032"/>
    <s v="LinkedIn profile"/>
    <d v="2024-04-07T00:00:00"/>
    <n v="3"/>
    <s v="Delivered"/>
    <s v="ACT"/>
    <s v="79737 Park Avenue"/>
    <s v="Canberra"/>
    <n v="2600"/>
    <n v="300"/>
    <n v="900"/>
    <s v="+61 3 5985 2269"/>
  </r>
  <r>
    <n v="3801"/>
    <s v="Bonilla"/>
    <s v="Sullivan Bonilla"/>
    <s v="Sullivan"/>
    <n v="2033"/>
    <x v="2"/>
    <x v="233"/>
    <n v="1"/>
    <x v="2"/>
    <x v="3"/>
    <n v="0.25"/>
    <n v="120"/>
    <n v="480"/>
    <n v="360"/>
    <s v="Daniel"/>
    <n v="2033"/>
    <s v="LinkedIn profile"/>
    <d v="2024-11-22T00:00:00"/>
    <n v="2"/>
    <s v="Service Booked"/>
    <s v="VIC"/>
    <s v="11248 Elizabeth Street"/>
    <s v="Melbourne"/>
    <n v="3000"/>
    <n v="300"/>
    <n v="600"/>
    <s v="+61 9 9344 2012"/>
  </r>
  <r>
    <n v="3802"/>
    <s v="Gonzalez"/>
    <s v="Callie Gonzalez"/>
    <s v="Callie"/>
    <n v="2034"/>
    <x v="1"/>
    <x v="186"/>
    <n v="3"/>
    <x v="2"/>
    <x v="0"/>
    <n v="0.3"/>
    <n v="6.8999999999999995"/>
    <n v="23"/>
    <n v="16.100000000000001"/>
    <s v="Kelly"/>
    <n v="2034"/>
    <s v="Resume + LinkedIn Profile"/>
    <d v="2024-11-26T00:00:00"/>
    <n v="2"/>
    <s v="Service Booked"/>
    <s v="WA"/>
    <s v="95351 George Street"/>
    <s v="Perth"/>
    <n v="6000"/>
    <n v="800"/>
    <n v="1600"/>
    <s v="+61 4 8085 2603"/>
  </r>
  <r>
    <n v="3803"/>
    <s v="Piñeda"/>
    <s v="Sullivan Piñeda"/>
    <s v="Sullivan"/>
    <n v="2035"/>
    <x v="4"/>
    <x v="133"/>
    <n v="1"/>
    <x v="0"/>
    <x v="0"/>
    <n v="0.25"/>
    <n v="172"/>
    <n v="688"/>
    <n v="516"/>
    <s v="Daniel"/>
    <n v="2035"/>
    <s v="Mentoring program"/>
    <d v="2024-11-18T00:00:00"/>
    <n v="2"/>
    <s v="Delivered"/>
    <s v="WA"/>
    <s v="883 Park Avenue"/>
    <s v="Fremantle"/>
    <n v="6160"/>
    <n v="1200"/>
    <n v="2400"/>
    <s v="+61 8 9043 7802"/>
  </r>
  <r>
    <n v="3804"/>
    <s v="Duffy"/>
    <s v="Hannah Duffy"/>
    <s v="Hannah"/>
    <n v="2036"/>
    <x v="4"/>
    <x v="328"/>
    <n v="3"/>
    <x v="2"/>
    <x v="1"/>
    <n v="0.25"/>
    <n v="375"/>
    <n v="1500"/>
    <n v="1125"/>
    <s v="Kelly"/>
    <n v="2036"/>
    <s v="Mentoring program"/>
    <d v="2024-07-06T00:00:00"/>
    <n v="1"/>
    <s v="Service Booked"/>
    <s v="ACT"/>
    <s v="23764 King Street"/>
    <s v="Canberra"/>
    <n v="2600"/>
    <n v="1200"/>
    <n v="1200"/>
    <s v="+61 5 3834 1345"/>
  </r>
  <r>
    <n v="3805"/>
    <s v="Lang"/>
    <s v="Gracelynn Lang"/>
    <s v="Gracelynn"/>
    <n v="2037"/>
    <x v="2"/>
    <x v="59"/>
    <n v="3"/>
    <x v="2"/>
    <x v="6"/>
    <n v="0.25"/>
    <n v="107"/>
    <n v="428"/>
    <n v="321"/>
    <s v="Daniel"/>
    <n v="2037"/>
    <s v="LinkedIn profile"/>
    <d v="2024-04-22T00:00:00"/>
    <n v="3"/>
    <s v="Service Booked"/>
    <s v="TAS"/>
    <s v="75092 King Street"/>
    <s v="Hobart"/>
    <n v="7000"/>
    <n v="300"/>
    <n v="900"/>
    <s v="+61 2 6414 7362"/>
  </r>
  <r>
    <n v="3806"/>
    <s v="Daugherty"/>
    <s v="Maria Daugherty"/>
    <s v="Maria"/>
    <n v="2038"/>
    <x v="2"/>
    <x v="259"/>
    <n v="2"/>
    <x v="0"/>
    <x v="7"/>
    <n v="0.25"/>
    <n v="111.25"/>
    <n v="445"/>
    <n v="333.75"/>
    <s v="Kelly"/>
    <n v="2038"/>
    <s v="LinkedIn profile"/>
    <d v="2024-08-07T00:00:00"/>
    <n v="3"/>
    <s v="Delivered"/>
    <s v="NT"/>
    <s v="77835 Park Avenue"/>
    <s v="Alice Springs"/>
    <n v="870"/>
    <n v="300"/>
    <n v="900"/>
    <s v="+61 4 3038 4060"/>
  </r>
  <r>
    <n v="3807"/>
    <s v="Jacobson"/>
    <s v="Cataleya Jacobson"/>
    <s v="Cataleya"/>
    <n v="2039"/>
    <x v="5"/>
    <x v="33"/>
    <n v="1"/>
    <x v="2"/>
    <x v="4"/>
    <n v="0.3"/>
    <n v="26.4"/>
    <n v="88"/>
    <n v="61.6"/>
    <s v="Terrence"/>
    <n v="2039"/>
    <s v="Resume (service fee)"/>
    <d v="2024-08-26T00:00:00"/>
    <n v="3"/>
    <s v="Service Booked"/>
    <s v="QLD"/>
    <s v="8746 Elizabeth Street"/>
    <s v="Gold Coast"/>
    <n v="4217"/>
    <n v="600"/>
    <n v="1800"/>
    <s v="+61 7 4156 8778"/>
  </r>
  <r>
    <n v="3808"/>
    <s v="Guevara"/>
    <s v="Princeton Guevara"/>
    <s v="Princeton"/>
    <n v="2040"/>
    <x v="3"/>
    <x v="29"/>
    <n v="2"/>
    <x v="3"/>
    <x v="2"/>
    <n v="0.2"/>
    <n v="4.6000000000000005"/>
    <n v="23"/>
    <n v="18.399999999999999"/>
    <s v="Kelly"/>
    <n v="2040"/>
    <s v="Networking Strategy"/>
    <d v="2024-03-09T00:00:00"/>
    <n v="2"/>
    <s v="Cancelled"/>
    <s v="NSW"/>
    <s v="57959 Elizabeth Street"/>
    <s v="Sydney"/>
    <n v="2000"/>
    <n v="250"/>
    <n v="500"/>
    <s v="+61 8 1558 8894"/>
  </r>
  <r>
    <n v="3809"/>
    <s v="Dominguez"/>
    <s v="Justin Dominguez"/>
    <s v="Justin"/>
    <n v="2041"/>
    <x v="1"/>
    <x v="271"/>
    <n v="1"/>
    <x v="0"/>
    <x v="5"/>
    <n v="0.3"/>
    <n v="414.3"/>
    <n v="1381"/>
    <n v="966.7"/>
    <s v="Priscilla"/>
    <n v="2041"/>
    <s v="Resume + LinkedIn Profile"/>
    <d v="2024-01-09T00:00:00"/>
    <n v="1"/>
    <s v="Delivered"/>
    <s v="SA"/>
    <s v="24147 Elizabeth Street"/>
    <s v="Mount Gambier"/>
    <n v="5290"/>
    <n v="800"/>
    <n v="800"/>
    <s v="+61 4 5134 5801"/>
  </r>
  <r>
    <n v="3810"/>
    <s v="Maynard"/>
    <s v="Tatum Maynard"/>
    <s v="Tatum"/>
    <n v="2042"/>
    <x v="2"/>
    <x v="329"/>
    <n v="2"/>
    <x v="0"/>
    <x v="6"/>
    <n v="0.25"/>
    <n v="418.5"/>
    <n v="1674"/>
    <n v="1255.5"/>
    <s v="Kelly"/>
    <n v="2042"/>
    <s v="LinkedIn profile"/>
    <d v="2024-04-11T00:00:00"/>
    <n v="1"/>
    <s v="Delivered"/>
    <s v="TAS"/>
    <s v="54417 Elizabeth Street"/>
    <s v="Devonport"/>
    <n v="7310"/>
    <n v="300"/>
    <n v="300"/>
    <s v="+61 7 8412 6413"/>
  </r>
  <r>
    <n v="3811"/>
    <s v="Dillon"/>
    <s v="Jaxton Dillon"/>
    <s v="Jaxton"/>
    <n v="2043"/>
    <x v="3"/>
    <x v="134"/>
    <n v="2"/>
    <x v="1"/>
    <x v="2"/>
    <n v="0.2"/>
    <n v="129"/>
    <n v="645"/>
    <n v="516"/>
    <s v="Daniel"/>
    <n v="2043"/>
    <s v="Networking Strategy"/>
    <d v="2024-09-08T00:00:00"/>
    <n v="2"/>
    <s v="In Progress"/>
    <s v="NSW"/>
    <s v="79862 Elizabeth Street"/>
    <s v="Newcastle"/>
    <n v="2300"/>
    <n v="250"/>
    <n v="500"/>
    <s v="+61 7 1573 4823"/>
  </r>
  <r>
    <n v="3812"/>
    <s v="Cooper"/>
    <s v="Makenna Cooper"/>
    <s v="Makenna"/>
    <n v="2044"/>
    <x v="0"/>
    <x v="52"/>
    <n v="1"/>
    <x v="0"/>
    <x v="3"/>
    <n v="0.1"/>
    <n v="20.3"/>
    <n v="203"/>
    <n v="182.7"/>
    <s v="Terrence"/>
    <n v="2044"/>
    <s v="Interview Prep"/>
    <d v="2024-11-01T00:00:00"/>
    <n v="2"/>
    <s v="Delivered"/>
    <s v="VIC"/>
    <s v="86889 King Street"/>
    <s v="Geelong"/>
    <n v="3220"/>
    <n v="250"/>
    <n v="500"/>
    <s v="+61 8 4488 4502"/>
  </r>
  <r>
    <n v="3813"/>
    <s v="O’Brien"/>
    <s v="Donovan O’Brien"/>
    <s v="Donovan"/>
    <n v="2045"/>
    <x v="1"/>
    <x v="288"/>
    <n v="2"/>
    <x v="0"/>
    <x v="2"/>
    <n v="0.3"/>
    <n v="258.3"/>
    <n v="861"/>
    <n v="602.70000000000005"/>
    <s v="Daniel"/>
    <n v="2045"/>
    <s v="Resume + LinkedIn Profile"/>
    <d v="2024-01-04T00:00:00"/>
    <n v="3"/>
    <s v="Delivered"/>
    <s v="NSW"/>
    <s v="83346 King Street"/>
    <s v="Wollongong"/>
    <n v="2500"/>
    <n v="800"/>
    <n v="2400"/>
    <s v="+61 2 9933 4155"/>
  </r>
  <r>
    <n v="3814"/>
    <s v="Medina"/>
    <s v="Reese Medina"/>
    <s v="Reese"/>
    <n v="2046"/>
    <x v="5"/>
    <x v="330"/>
    <n v="1"/>
    <x v="3"/>
    <x v="3"/>
    <n v="0.3"/>
    <n v="269.09999999999997"/>
    <n v="897"/>
    <n v="627.90000000000009"/>
    <s v="Kelly"/>
    <n v="2046"/>
    <s v="Resume (service fee)"/>
    <d v="2024-08-08T00:00:00"/>
    <n v="1"/>
    <s v="Cancelled"/>
    <s v="VIC"/>
    <s v="45307 Park Avenue"/>
    <s v="Melbourne"/>
    <n v="3000"/>
    <n v="600"/>
    <n v="600"/>
    <s v="+61 4 5456 7383"/>
  </r>
  <r>
    <n v="3815"/>
    <s v="Hutchinson"/>
    <s v="Renata Hutchinson"/>
    <s v="Renata"/>
    <n v="2047"/>
    <x v="1"/>
    <x v="314"/>
    <n v="2"/>
    <x v="2"/>
    <x v="2"/>
    <n v="0.3"/>
    <n v="498.9"/>
    <n v="1663"/>
    <n v="1164.0999999999999"/>
    <s v="Priscilla"/>
    <n v="2047"/>
    <s v="Resume + LinkedIn Profile"/>
    <d v="2024-03-25T00:00:00"/>
    <n v="1"/>
    <s v="Service Booked"/>
    <s v="NSW"/>
    <s v="24833 King Street"/>
    <s v="Newcastle"/>
    <n v="2300"/>
    <n v="800"/>
    <n v="800"/>
    <s v="+61 2 3110 9406"/>
  </r>
  <r>
    <n v="3816"/>
    <s v="Rice"/>
    <s v="Millie Rice"/>
    <s v="Millie"/>
    <n v="2048"/>
    <x v="1"/>
    <x v="214"/>
    <n v="2"/>
    <x v="3"/>
    <x v="4"/>
    <n v="0.3"/>
    <n v="35.1"/>
    <n v="117"/>
    <n v="81.900000000000006"/>
    <s v="Kelly"/>
    <n v="2048"/>
    <s v="Resume + LinkedIn Profile"/>
    <d v="2024-04-19T00:00:00"/>
    <n v="2"/>
    <s v="Cancelled"/>
    <s v="QLD"/>
    <s v="20321 George Street"/>
    <s v="Cairns"/>
    <n v="4870"/>
    <n v="800"/>
    <n v="1600"/>
    <s v="+61 8 1793 9908"/>
  </r>
  <r>
    <n v="3817"/>
    <s v="Espinosa"/>
    <s v="Harlow Espinosa"/>
    <s v="Harlow"/>
    <n v="2049"/>
    <x v="4"/>
    <x v="46"/>
    <n v="2"/>
    <x v="2"/>
    <x v="4"/>
    <n v="0.25"/>
    <n v="214.75"/>
    <n v="859"/>
    <n v="644.25"/>
    <s v="Kelly"/>
    <n v="2049"/>
    <s v="Mentoring program"/>
    <d v="2024-05-24T00:00:00"/>
    <n v="2"/>
    <s v="Service Booked"/>
    <s v="QLD"/>
    <s v="11470 Park Avenue"/>
    <s v="Cairns"/>
    <n v="4870"/>
    <n v="1200"/>
    <n v="2400"/>
    <s v="+61 6 5978 5212"/>
  </r>
  <r>
    <n v="3818"/>
    <s v="Harmon"/>
    <s v="Camille Harmon"/>
    <s v="Camille"/>
    <n v="2050"/>
    <x v="4"/>
    <x v="63"/>
    <n v="1"/>
    <x v="1"/>
    <x v="4"/>
    <n v="0.25"/>
    <n v="233.25"/>
    <n v="933"/>
    <n v="699.75"/>
    <s v="Daniel"/>
    <n v="2050"/>
    <s v="Mentoring program"/>
    <d v="2024-01-22T00:00:00"/>
    <n v="2"/>
    <s v="In Progress"/>
    <s v="QLD"/>
    <s v="97748 Park Avenue"/>
    <s v="Gold Coast"/>
    <n v="4217"/>
    <n v="1200"/>
    <n v="2400"/>
    <s v="+61 3 7673 2590"/>
  </r>
  <r>
    <n v="3819"/>
    <s v="Lamb"/>
    <s v="Gracie Lamb"/>
    <s v="Gracie"/>
    <n v="2051"/>
    <x v="0"/>
    <x v="35"/>
    <n v="1"/>
    <x v="0"/>
    <x v="1"/>
    <n v="0.1"/>
    <n v="170.3"/>
    <n v="1703"/>
    <n v="1532.7"/>
    <s v="Terrence"/>
    <n v="2051"/>
    <s v="Interview Prep"/>
    <d v="2024-12-07T00:00:00"/>
    <n v="1"/>
    <s v="Delivered"/>
    <s v="ACT"/>
    <s v="31112 Park Avenue"/>
    <s v="Canberra"/>
    <n v="2600"/>
    <n v="250"/>
    <n v="250"/>
    <s v="+61 3 7858 1698"/>
  </r>
  <r>
    <n v="3820"/>
    <s v="Truong"/>
    <s v="Lia Truong"/>
    <s v="Lia"/>
    <n v="2052"/>
    <x v="3"/>
    <x v="20"/>
    <n v="3"/>
    <x v="0"/>
    <x v="5"/>
    <n v="0.2"/>
    <n v="70.400000000000006"/>
    <n v="352"/>
    <n v="281.60000000000002"/>
    <s v="Terrence"/>
    <n v="2052"/>
    <s v="Networking Strategy"/>
    <d v="2024-11-19T00:00:00"/>
    <n v="3"/>
    <s v="Delivered"/>
    <s v="SA"/>
    <s v="48199 King Street"/>
    <s v="Adelaide"/>
    <n v="5000"/>
    <n v="250"/>
    <n v="750"/>
    <s v="+61 3 4518 4408"/>
  </r>
  <r>
    <n v="3821"/>
    <s v="Walters"/>
    <s v="Franklin Walters"/>
    <s v="Franklin"/>
    <n v="2053"/>
    <x v="1"/>
    <x v="76"/>
    <n v="2"/>
    <x v="1"/>
    <x v="4"/>
    <n v="0.3"/>
    <n v="307.8"/>
    <n v="1026"/>
    <n v="718.2"/>
    <s v="Daniel"/>
    <n v="2053"/>
    <s v="Resume + LinkedIn Profile"/>
    <d v="2024-12-16T00:00:00"/>
    <n v="1"/>
    <s v="In Progress"/>
    <s v="QLD"/>
    <s v="43095 Elizabeth Street"/>
    <s v="Gold Coast"/>
    <n v="4217"/>
    <n v="800"/>
    <n v="800"/>
    <s v="+61 4 9780 7495"/>
  </r>
  <r>
    <n v="3822"/>
    <s v="Farrell"/>
    <s v="Raelynn Farrell"/>
    <s v="Raelynn"/>
    <n v="2054"/>
    <x v="3"/>
    <x v="127"/>
    <n v="2"/>
    <x v="2"/>
    <x v="6"/>
    <n v="0.2"/>
    <n v="16.400000000000002"/>
    <n v="82"/>
    <n v="65.599999999999994"/>
    <s v="Priscilla"/>
    <n v="2054"/>
    <s v="Networking Strategy"/>
    <d v="2024-07-27T00:00:00"/>
    <n v="1"/>
    <s v="Service Booked"/>
    <s v="TAS"/>
    <s v="26830 Elizabeth Street"/>
    <s v="Devonport"/>
    <n v="7310"/>
    <n v="250"/>
    <n v="250"/>
    <s v="+61 6 8916 7174"/>
  </r>
  <r>
    <n v="3823"/>
    <s v="Hurst"/>
    <s v="Kali Hurst"/>
    <s v="Kali"/>
    <n v="2055"/>
    <x v="2"/>
    <x v="285"/>
    <n v="2"/>
    <x v="0"/>
    <x v="3"/>
    <n v="0.25"/>
    <n v="427.75"/>
    <n v="1711"/>
    <n v="1283.25"/>
    <s v="Kelly"/>
    <n v="2055"/>
    <s v="LinkedIn profile"/>
    <d v="2024-06-09T00:00:00"/>
    <n v="1"/>
    <s v="Delivered"/>
    <s v="VIC"/>
    <s v="43981 Park Avenue"/>
    <s v="Ballarat"/>
    <n v="3350"/>
    <n v="300"/>
    <n v="300"/>
    <s v="+61 5 5589 2886"/>
  </r>
  <r>
    <n v="3824"/>
    <s v="Frost"/>
    <s v="Kyler Frost"/>
    <s v="Kyler"/>
    <n v="2056"/>
    <x v="3"/>
    <x v="83"/>
    <n v="3"/>
    <x v="0"/>
    <x v="6"/>
    <n v="0.2"/>
    <n v="201.8"/>
    <n v="1009"/>
    <n v="807.2"/>
    <s v="Terrence"/>
    <n v="2056"/>
    <s v="Networking Strategy"/>
    <d v="2024-04-29T00:00:00"/>
    <n v="2"/>
    <s v="Delivered"/>
    <s v="TAS"/>
    <s v="95026 George Street"/>
    <s v="Devonport"/>
    <n v="7310"/>
    <n v="250"/>
    <n v="500"/>
    <s v="+61 9 1745 1713"/>
  </r>
  <r>
    <n v="3825"/>
    <s v="Perez"/>
    <s v="Avery Perez"/>
    <s v="Avery"/>
    <n v="2057"/>
    <x v="2"/>
    <x v="240"/>
    <n v="2"/>
    <x v="2"/>
    <x v="4"/>
    <n v="0.25"/>
    <n v="7.5"/>
    <n v="30"/>
    <n v="22.5"/>
    <s v="Priscilla"/>
    <n v="2057"/>
    <s v="LinkedIn profile"/>
    <d v="2024-03-19T00:00:00"/>
    <n v="2"/>
    <s v="Service Booked"/>
    <s v="QLD"/>
    <s v="9470 King Street"/>
    <s v="Cairns"/>
    <n v="4870"/>
    <n v="300"/>
    <n v="600"/>
    <s v="+61 2 8988 1637"/>
  </r>
  <r>
    <n v="3826"/>
    <s v="Ruiz"/>
    <s v="Alayah Ruiz"/>
    <s v="Alayah"/>
    <n v="2058"/>
    <x v="4"/>
    <x v="21"/>
    <n v="3"/>
    <x v="2"/>
    <x v="2"/>
    <n v="0.25"/>
    <n v="126.75"/>
    <n v="507"/>
    <n v="380.25"/>
    <s v="Kelly"/>
    <n v="2058"/>
    <s v="Mentoring program"/>
    <d v="2024-06-15T00:00:00"/>
    <n v="1"/>
    <s v="Service Booked"/>
    <s v="NSW"/>
    <s v="41334 George Street"/>
    <s v="Sydney"/>
    <n v="2000"/>
    <n v="1200"/>
    <n v="1200"/>
    <s v="+61 2 1597 8892"/>
  </r>
  <r>
    <n v="3827"/>
    <s v="Kerr"/>
    <s v="Adelaide Kerr"/>
    <s v="Adelaide"/>
    <n v="2059"/>
    <x v="3"/>
    <x v="311"/>
    <n v="3"/>
    <x v="0"/>
    <x v="2"/>
    <n v="0.2"/>
    <n v="217"/>
    <n v="1085"/>
    <n v="868"/>
    <s v="Priscilla"/>
    <n v="2059"/>
    <s v="Networking Strategy"/>
    <d v="2024-01-08T00:00:00"/>
    <n v="2"/>
    <s v="Delivered"/>
    <s v="NSW"/>
    <s v="11180 Main Street"/>
    <s v="Wollongong"/>
    <n v="2500"/>
    <n v="250"/>
    <n v="500"/>
    <s v="+61 8 7714 4638"/>
  </r>
  <r>
    <n v="3828"/>
    <s v="Nash"/>
    <s v="Hallie Nash"/>
    <s v="Hallie"/>
    <n v="2060"/>
    <x v="3"/>
    <x v="178"/>
    <n v="1"/>
    <x v="3"/>
    <x v="3"/>
    <n v="0.2"/>
    <n v="261.60000000000002"/>
    <n v="1308"/>
    <n v="1046.4000000000001"/>
    <s v="Brian"/>
    <n v="2060"/>
    <s v="Networking Strategy"/>
    <d v="2024-12-05T00:00:00"/>
    <n v="1"/>
    <s v="Cancelled"/>
    <s v="VIC"/>
    <s v="50616 Main Street"/>
    <s v="Ballarat"/>
    <n v="3350"/>
    <n v="250"/>
    <n v="250"/>
    <s v="+61 4 3916 4791"/>
  </r>
  <r>
    <n v="3829"/>
    <s v="Fleming"/>
    <s v="Elaine Fleming"/>
    <s v="Elaine"/>
    <n v="2061"/>
    <x v="4"/>
    <x v="239"/>
    <n v="3"/>
    <x v="1"/>
    <x v="4"/>
    <n v="0.25"/>
    <n v="127.75"/>
    <n v="511"/>
    <n v="383.25"/>
    <s v="Brian"/>
    <n v="2061"/>
    <s v="Mentoring program"/>
    <d v="2024-03-02T00:00:00"/>
    <n v="1"/>
    <s v="In Progress"/>
    <s v="QLD"/>
    <s v="29419 George Street"/>
    <s v="Cairns"/>
    <n v="4870"/>
    <n v="1200"/>
    <n v="1200"/>
    <s v="+61 2 8150 3701"/>
  </r>
  <r>
    <n v="3830"/>
    <s v="Johnson"/>
    <s v="Ronan Johnson"/>
    <s v="Ronan"/>
    <n v="2062"/>
    <x v="4"/>
    <x v="70"/>
    <n v="1"/>
    <x v="2"/>
    <x v="0"/>
    <n v="0.25"/>
    <n v="59.75"/>
    <n v="239"/>
    <n v="179.25"/>
    <s v="Daniel"/>
    <n v="2062"/>
    <s v="Mentoring program"/>
    <d v="2024-07-12T00:00:00"/>
    <n v="1"/>
    <s v="Service Booked"/>
    <s v="WA"/>
    <s v="9647 Elizabeth Street"/>
    <s v="Broome"/>
    <n v="6725"/>
    <n v="1200"/>
    <n v="1200"/>
    <s v="+61 4 5131 9769"/>
  </r>
  <r>
    <n v="3831"/>
    <s v="Dean"/>
    <s v="Aurora Dean"/>
    <s v="Aurora"/>
    <n v="2063"/>
    <x v="1"/>
    <x v="331"/>
    <n v="1"/>
    <x v="2"/>
    <x v="2"/>
    <n v="0.3"/>
    <n v="96.6"/>
    <n v="322"/>
    <n v="225.4"/>
    <s v="Brian"/>
    <n v="2063"/>
    <s v="Resume + LinkedIn Profile"/>
    <d v="2024-06-01T00:00:00"/>
    <n v="3"/>
    <s v="Service Booked"/>
    <s v="NSW"/>
    <s v="43957 Main Street"/>
    <s v="Newcastle"/>
    <n v="2300"/>
    <n v="800"/>
    <n v="2400"/>
    <s v="+61 3 2222 3737"/>
  </r>
  <r>
    <n v="3832"/>
    <s v="Kerr"/>
    <s v="Garrett Kerr"/>
    <s v="Garrett"/>
    <n v="2064"/>
    <x v="4"/>
    <x v="171"/>
    <n v="1"/>
    <x v="2"/>
    <x v="2"/>
    <n v="0.25"/>
    <n v="373.5"/>
    <n v="1494"/>
    <n v="1120.5"/>
    <s v="Brian"/>
    <n v="2064"/>
    <s v="Mentoring program"/>
    <d v="2024-03-06T00:00:00"/>
    <n v="2"/>
    <s v="Service Booked"/>
    <s v="NSW"/>
    <s v="29031 George Street"/>
    <s v="Sydney"/>
    <n v="2000"/>
    <n v="1200"/>
    <n v="2400"/>
    <s v="+61 7 8730 9484"/>
  </r>
  <r>
    <n v="3833"/>
    <s v="Garrett"/>
    <s v="Ricardo Garrett"/>
    <s v="Ricardo"/>
    <n v="2065"/>
    <x v="1"/>
    <x v="106"/>
    <n v="3"/>
    <x v="0"/>
    <x v="4"/>
    <n v="0.3"/>
    <n v="36.9"/>
    <n v="123"/>
    <n v="86.1"/>
    <s v="Terrence"/>
    <n v="2065"/>
    <s v="Resume + LinkedIn Profile"/>
    <d v="2024-07-07T00:00:00"/>
    <n v="1"/>
    <s v="Delivered"/>
    <s v="QLD"/>
    <s v="5057 Park Avenue"/>
    <s v="Cairns"/>
    <n v="4870"/>
    <n v="800"/>
    <n v="800"/>
    <s v="+61 3 4844 2708"/>
  </r>
  <r>
    <n v="3834"/>
    <s v="Leon"/>
    <s v="Gunner Leon"/>
    <s v="Gunner"/>
    <n v="2066"/>
    <x v="4"/>
    <x v="170"/>
    <n v="2"/>
    <x v="1"/>
    <x v="7"/>
    <n v="0.25"/>
    <n v="116"/>
    <n v="464"/>
    <n v="348"/>
    <s v="Priscilla"/>
    <n v="2066"/>
    <s v="Mentoring program"/>
    <d v="2024-08-31T00:00:00"/>
    <n v="3"/>
    <s v="In Progress"/>
    <s v="NT"/>
    <s v="30716 King Street"/>
    <s v="Darwin"/>
    <n v="800"/>
    <n v="1200"/>
    <n v="3600"/>
    <s v="+61 3 5471 9630"/>
  </r>
  <r>
    <n v="3835"/>
    <s v="Mcconnell"/>
    <s v="Lilah Mcconnell"/>
    <s v="Lilah"/>
    <n v="2067"/>
    <x v="4"/>
    <x v="104"/>
    <n v="1"/>
    <x v="3"/>
    <x v="0"/>
    <n v="0.25"/>
    <n v="294.5"/>
    <n v="1178"/>
    <n v="883.5"/>
    <s v="Priscilla"/>
    <n v="2067"/>
    <s v="Mentoring program"/>
    <d v="2024-02-21T00:00:00"/>
    <n v="1"/>
    <s v="Cancelled"/>
    <s v="WA"/>
    <s v="99518 Elizabeth Street"/>
    <s v="Perth"/>
    <n v="6000"/>
    <n v="1200"/>
    <n v="1200"/>
    <s v="+61 5 2076 2548"/>
  </r>
  <r>
    <n v="3836"/>
    <s v="Webster"/>
    <s v="Sylas Webster"/>
    <s v="Sylas"/>
    <n v="2068"/>
    <x v="3"/>
    <x v="256"/>
    <n v="3"/>
    <x v="0"/>
    <x v="0"/>
    <n v="0.2"/>
    <n v="86.600000000000009"/>
    <n v="433"/>
    <n v="346.4"/>
    <s v="Daniel"/>
    <n v="2068"/>
    <s v="Networking Strategy"/>
    <d v="2024-05-07T00:00:00"/>
    <n v="1"/>
    <s v="Delivered"/>
    <s v="WA"/>
    <s v="92379 Park Avenue"/>
    <s v="Fremantle"/>
    <n v="6160"/>
    <n v="250"/>
    <n v="250"/>
    <s v="+61 7 2454 8254"/>
  </r>
  <r>
    <n v="3837"/>
    <s v="Porter"/>
    <s v="Lyla Porter"/>
    <s v="Lyla"/>
    <n v="2069"/>
    <x v="4"/>
    <x v="306"/>
    <n v="2"/>
    <x v="2"/>
    <x v="1"/>
    <n v="0.25"/>
    <n v="76.5"/>
    <n v="306"/>
    <n v="229.5"/>
    <s v="Brian"/>
    <n v="2069"/>
    <s v="Mentoring program"/>
    <d v="2024-06-27T00:00:00"/>
    <n v="1"/>
    <s v="Service Booked"/>
    <s v="ACT"/>
    <s v="28056 Elizabeth Street"/>
    <s v="Canberra"/>
    <n v="2600"/>
    <n v="1200"/>
    <n v="1200"/>
    <s v="+61 4 7373 3760"/>
  </r>
  <r>
    <n v="3838"/>
    <s v="Robinson"/>
    <s v="Walter Robinson"/>
    <s v="Walter"/>
    <n v="2070"/>
    <x v="1"/>
    <x v="121"/>
    <n v="3"/>
    <x v="2"/>
    <x v="0"/>
    <n v="0.3"/>
    <n v="292.8"/>
    <n v="976"/>
    <n v="683.2"/>
    <s v="Kelly"/>
    <n v="2070"/>
    <s v="Resume + LinkedIn Profile"/>
    <d v="2024-09-11T00:00:00"/>
    <n v="1"/>
    <s v="Service Booked"/>
    <s v="WA"/>
    <s v="74397 Main Street"/>
    <s v="Perth"/>
    <n v="6000"/>
    <n v="800"/>
    <n v="800"/>
    <s v="+61 3 7065 6013"/>
  </r>
  <r>
    <n v="3839"/>
    <s v="Ho"/>
    <s v="Sawyer Ho"/>
    <s v="Sawyer"/>
    <n v="2071"/>
    <x v="4"/>
    <x v="28"/>
    <n v="1"/>
    <x v="2"/>
    <x v="0"/>
    <n v="0.25"/>
    <n v="47"/>
    <n v="188"/>
    <n v="141"/>
    <s v="Terrence"/>
    <n v="2071"/>
    <s v="Mentoring program"/>
    <d v="2024-08-25T00:00:00"/>
    <n v="2"/>
    <s v="Service Booked"/>
    <s v="WA"/>
    <s v="82595 Main Street"/>
    <s v="Perth"/>
    <n v="6000"/>
    <n v="1200"/>
    <n v="2400"/>
    <s v="+61 2 2237 5702"/>
  </r>
  <r>
    <n v="3840"/>
    <s v="Mcbride"/>
    <s v="Kane Mcbride"/>
    <s v="Kane"/>
    <n v="2072"/>
    <x v="4"/>
    <x v="189"/>
    <n v="3"/>
    <x v="2"/>
    <x v="5"/>
    <n v="0.25"/>
    <n v="40.5"/>
    <n v="162"/>
    <n v="121.5"/>
    <s v="Terrence"/>
    <n v="2072"/>
    <s v="Mentoring program"/>
    <d v="2024-02-28T00:00:00"/>
    <n v="2"/>
    <s v="Service Booked"/>
    <s v="SA"/>
    <s v="80327 Main Street"/>
    <s v="Adelaide"/>
    <n v="5000"/>
    <n v="1200"/>
    <n v="2400"/>
    <s v="+61 7 9848 1754"/>
  </r>
  <r>
    <n v="3841"/>
    <s v="Burgess"/>
    <s v="Everleigh Burgess"/>
    <s v="Everleigh"/>
    <n v="2073"/>
    <x v="0"/>
    <x v="94"/>
    <n v="3"/>
    <x v="0"/>
    <x v="2"/>
    <n v="0.1"/>
    <n v="72.600000000000009"/>
    <n v="726"/>
    <n v="653.4"/>
    <s v="Daniel"/>
    <n v="2073"/>
    <s v="Interview Prep"/>
    <d v="2024-11-23T00:00:00"/>
    <n v="3"/>
    <s v="Delivered"/>
    <s v="NSW"/>
    <s v="86566 King Street"/>
    <s v="Sydney"/>
    <n v="2000"/>
    <n v="250"/>
    <n v="750"/>
    <s v="+61 5 3191 2697"/>
  </r>
  <r>
    <n v="3842"/>
    <s v="Harrell"/>
    <s v="Felix Harrell"/>
    <s v="Felix"/>
    <n v="2074"/>
    <x v="0"/>
    <x v="43"/>
    <n v="2"/>
    <x v="1"/>
    <x v="3"/>
    <n v="0.1"/>
    <n v="113.10000000000001"/>
    <n v="1131"/>
    <n v="1017.9"/>
    <s v="Brian"/>
    <n v="2074"/>
    <s v="Interview Prep"/>
    <d v="2024-12-22T00:00:00"/>
    <n v="2"/>
    <s v="In Progress"/>
    <s v="VIC"/>
    <s v="62804 Park Avenue"/>
    <s v="Ballarat"/>
    <n v="3350"/>
    <n v="250"/>
    <n v="500"/>
    <s v="+61 5 3441 2297"/>
  </r>
  <r>
    <n v="3843"/>
    <s v="Burgess"/>
    <s v="Bryson Burgess"/>
    <s v="Bryson"/>
    <n v="2075"/>
    <x v="5"/>
    <x v="332"/>
    <n v="2"/>
    <x v="3"/>
    <x v="7"/>
    <n v="0.3"/>
    <n v="64.2"/>
    <n v="214"/>
    <n v="149.80000000000001"/>
    <s v="Brian"/>
    <n v="2075"/>
    <s v="Resume (service fee)"/>
    <d v="2024-09-09T00:00:00"/>
    <n v="2"/>
    <s v="Cancelled"/>
    <s v="NT"/>
    <s v="90569 Main Street"/>
    <s v="Alice Springs"/>
    <n v="870"/>
    <n v="600"/>
    <n v="1200"/>
    <s v="+61 3 7114 1123"/>
  </r>
  <r>
    <n v="3844"/>
    <s v="Marshall"/>
    <s v="Cole Marshall"/>
    <s v="Cole"/>
    <n v="2076"/>
    <x v="5"/>
    <x v="134"/>
    <n v="3"/>
    <x v="2"/>
    <x v="2"/>
    <n v="0.3"/>
    <n v="425.09999999999997"/>
    <n v="1417"/>
    <n v="991.90000000000009"/>
    <s v="Daniel"/>
    <n v="2076"/>
    <s v="Resume (service fee)"/>
    <d v="2024-09-08T00:00:00"/>
    <n v="3"/>
    <s v="Service Booked"/>
    <s v="NSW"/>
    <s v="93541 Park Avenue"/>
    <s v="Wollongong"/>
    <n v="2500"/>
    <n v="600"/>
    <n v="1800"/>
    <s v="+61 2 4172 9162"/>
  </r>
  <r>
    <n v="3845"/>
    <s v="Sanford"/>
    <s v="Caroline Sanford"/>
    <s v="Caroline"/>
    <n v="2077"/>
    <x v="2"/>
    <x v="241"/>
    <n v="3"/>
    <x v="0"/>
    <x v="2"/>
    <n v="0.25"/>
    <n v="59.75"/>
    <n v="239"/>
    <n v="179.25"/>
    <s v="Priscilla"/>
    <n v="2077"/>
    <s v="LinkedIn profile"/>
    <d v="2024-07-28T00:00:00"/>
    <n v="2"/>
    <s v="Delivered"/>
    <s v="NSW"/>
    <s v="49736 Park Avenue"/>
    <s v="Wollongong"/>
    <n v="2500"/>
    <n v="300"/>
    <n v="600"/>
    <s v="+61 5 8202 9389"/>
  </r>
  <r>
    <n v="3846"/>
    <s v="Cunningham"/>
    <s v="Judah Cunningham"/>
    <s v="Judah"/>
    <n v="2078"/>
    <x v="4"/>
    <x v="39"/>
    <n v="2"/>
    <x v="3"/>
    <x v="6"/>
    <n v="0.25"/>
    <n v="66.75"/>
    <n v="267"/>
    <n v="200.25"/>
    <s v="Daniel"/>
    <n v="2078"/>
    <s v="Mentoring program"/>
    <d v="2024-05-19T00:00:00"/>
    <n v="1"/>
    <s v="Cancelled"/>
    <s v="TAS"/>
    <s v="91049 King Street"/>
    <s v="Launceston"/>
    <n v="7250"/>
    <n v="1200"/>
    <n v="1200"/>
    <s v="+61 8 4046 7362"/>
  </r>
  <r>
    <n v="3847"/>
    <s v="Price"/>
    <s v="Amari Price"/>
    <s v="Amari"/>
    <n v="2079"/>
    <x v="5"/>
    <x v="138"/>
    <n v="3"/>
    <x v="1"/>
    <x v="5"/>
    <n v="0.3"/>
    <n v="216"/>
    <n v="720"/>
    <n v="504"/>
    <s v="Priscilla"/>
    <n v="2079"/>
    <s v="Resume (service fee)"/>
    <d v="2024-06-19T00:00:00"/>
    <n v="2"/>
    <s v="In Progress"/>
    <s v="SA"/>
    <s v="42080 Elizabeth Street"/>
    <s v="Mount Gambier"/>
    <n v="5290"/>
    <n v="600"/>
    <n v="1200"/>
    <s v="+61 6 9269 9267"/>
  </r>
  <r>
    <n v="3848"/>
    <s v="Tucker"/>
    <s v="Jaylen Tucker"/>
    <s v="Jaylen"/>
    <n v="2080"/>
    <x v="2"/>
    <x v="19"/>
    <n v="3"/>
    <x v="2"/>
    <x v="3"/>
    <n v="0.25"/>
    <n v="175.25"/>
    <n v="701"/>
    <n v="525.75"/>
    <s v="Priscilla"/>
    <n v="2080"/>
    <s v="LinkedIn profile"/>
    <d v="2024-01-17T00:00:00"/>
    <n v="3"/>
    <s v="Service Booked"/>
    <s v="VIC"/>
    <s v="38755 Main Street"/>
    <s v="Geelong"/>
    <n v="3220"/>
    <n v="300"/>
    <n v="900"/>
    <s v="+61 2 7694 5089"/>
  </r>
  <r>
    <n v="3849"/>
    <s v="Harris"/>
    <s v="Greyson Harris"/>
    <s v="Greyson"/>
    <n v="2081"/>
    <x v="3"/>
    <x v="130"/>
    <n v="1"/>
    <x v="1"/>
    <x v="0"/>
    <n v="0.2"/>
    <n v="142.6"/>
    <n v="713"/>
    <n v="570.4"/>
    <s v="Kelly"/>
    <n v="2081"/>
    <s v="Networking Strategy"/>
    <d v="2024-12-11T00:00:00"/>
    <n v="1"/>
    <s v="In Progress"/>
    <s v="WA"/>
    <s v="65790 Elizabeth Street"/>
    <s v="Broome"/>
    <n v="6725"/>
    <n v="250"/>
    <n v="250"/>
    <s v="+61 2 7851 1671"/>
  </r>
  <r>
    <n v="3850"/>
    <s v="Bates"/>
    <s v="Grayson Bates"/>
    <s v="Grayson"/>
    <n v="2082"/>
    <x v="4"/>
    <x v="105"/>
    <n v="1"/>
    <x v="2"/>
    <x v="2"/>
    <n v="0.25"/>
    <n v="117.5"/>
    <n v="470"/>
    <n v="352.5"/>
    <s v="Brian"/>
    <n v="2082"/>
    <s v="Mentoring program"/>
    <d v="2024-07-16T00:00:00"/>
    <n v="2"/>
    <s v="Service Booked"/>
    <s v="NSW"/>
    <s v="73823 Main Street"/>
    <s v="Wollongong"/>
    <n v="2500"/>
    <n v="1200"/>
    <n v="2400"/>
    <s v="+61 3 9040 1489"/>
  </r>
  <r>
    <n v="3851"/>
    <s v="Pope"/>
    <s v="Rose Pope"/>
    <s v="Rose"/>
    <n v="2083"/>
    <x v="4"/>
    <x v="279"/>
    <n v="2"/>
    <x v="3"/>
    <x v="6"/>
    <n v="0.25"/>
    <n v="125.5"/>
    <n v="502"/>
    <n v="376.5"/>
    <s v="Terrence"/>
    <n v="2083"/>
    <s v="Mentoring program"/>
    <d v="2024-10-02T00:00:00"/>
    <n v="2"/>
    <s v="Cancelled"/>
    <s v="TAS"/>
    <s v="88466 Park Avenue"/>
    <s v="Devonport"/>
    <n v="7310"/>
    <n v="1200"/>
    <n v="2400"/>
    <s v="+61 2 2126 8323"/>
  </r>
  <r>
    <n v="3852"/>
    <s v="Savage"/>
    <s v="Marlee Savage"/>
    <s v="Marlee"/>
    <n v="2084"/>
    <x v="0"/>
    <x v="118"/>
    <n v="3"/>
    <x v="0"/>
    <x v="4"/>
    <n v="0.1"/>
    <n v="23.400000000000002"/>
    <n v="234"/>
    <n v="210.6"/>
    <s v="Terrence"/>
    <n v="2084"/>
    <s v="Interview Prep"/>
    <d v="2024-01-01T00:00:00"/>
    <n v="3"/>
    <s v="Delivered"/>
    <s v="QLD"/>
    <s v="34956 Main Street"/>
    <s v="Cairns"/>
    <n v="4870"/>
    <n v="250"/>
    <n v="750"/>
    <s v="+61 9 1687 9155"/>
  </r>
  <r>
    <n v="3853"/>
    <s v="Rogers"/>
    <s v="Phoebe Rogers"/>
    <s v="Phoebe"/>
    <n v="2085"/>
    <x v="0"/>
    <x v="263"/>
    <n v="3"/>
    <x v="1"/>
    <x v="0"/>
    <n v="0.1"/>
    <n v="171.3"/>
    <n v="1713"/>
    <n v="1541.7"/>
    <s v="Brian"/>
    <n v="2085"/>
    <s v="Interview Prep"/>
    <d v="2024-02-13T00:00:00"/>
    <n v="3"/>
    <s v="In Progress"/>
    <s v="WA"/>
    <s v="10602 Park Avenue"/>
    <s v="Broome"/>
    <n v="6725"/>
    <n v="250"/>
    <n v="750"/>
    <s v="+61 9 4712 8943"/>
  </r>
  <r>
    <n v="3854"/>
    <s v="Huerta"/>
    <s v="Liliana Huerta"/>
    <s v="Liliana"/>
    <n v="2086"/>
    <x v="5"/>
    <x v="204"/>
    <n v="3"/>
    <x v="2"/>
    <x v="3"/>
    <n v="0.3"/>
    <n v="510.59999999999997"/>
    <n v="1702"/>
    <n v="1191.4000000000001"/>
    <s v="Kelly"/>
    <n v="2086"/>
    <s v="Resume (service fee)"/>
    <d v="2024-05-01T00:00:00"/>
    <n v="3"/>
    <s v="Service Booked"/>
    <s v="VIC"/>
    <s v="69103 Main Street"/>
    <s v="Geelong"/>
    <n v="3220"/>
    <n v="600"/>
    <n v="1800"/>
    <s v="+61 6 4370 9711"/>
  </r>
  <r>
    <n v="3855"/>
    <s v="Webster"/>
    <s v="Annabelle Webster"/>
    <s v="Annabelle"/>
    <n v="2087"/>
    <x v="3"/>
    <x v="250"/>
    <n v="2"/>
    <x v="0"/>
    <x v="4"/>
    <n v="0.2"/>
    <n v="164.8"/>
    <n v="824"/>
    <n v="659.2"/>
    <s v="Kelly"/>
    <n v="2087"/>
    <s v="Networking Strategy"/>
    <d v="2024-05-31T00:00:00"/>
    <n v="1"/>
    <s v="Delivered"/>
    <s v="QLD"/>
    <s v="98172 King Street"/>
    <s v="Cairns"/>
    <n v="4870"/>
    <n v="250"/>
    <n v="250"/>
    <s v="+61 3 8764 9868"/>
  </r>
  <r>
    <n v="3856"/>
    <s v="Peck"/>
    <s v="Sophie Peck"/>
    <s v="Sophie"/>
    <n v="2088"/>
    <x v="0"/>
    <x v="79"/>
    <n v="1"/>
    <x v="0"/>
    <x v="3"/>
    <n v="0.1"/>
    <n v="130.5"/>
    <n v="1305"/>
    <n v="1174.5"/>
    <s v="Terrence"/>
    <n v="2088"/>
    <s v="Interview Prep"/>
    <d v="2024-08-14T00:00:00"/>
    <n v="2"/>
    <s v="Delivered"/>
    <s v="VIC"/>
    <s v="26157 Elizabeth Street"/>
    <s v="Ballarat"/>
    <n v="3350"/>
    <n v="250"/>
    <n v="500"/>
    <s v="+61 8 7556 9184"/>
  </r>
  <r>
    <n v="3857"/>
    <s v="Wilkinson"/>
    <s v="Javier Wilkinson"/>
    <s v="Javier"/>
    <n v="2089"/>
    <x v="0"/>
    <x v="217"/>
    <n v="2"/>
    <x v="3"/>
    <x v="3"/>
    <n v="0.1"/>
    <n v="43.6"/>
    <n v="436"/>
    <n v="392.4"/>
    <s v="Terrence"/>
    <n v="2089"/>
    <s v="Interview Prep"/>
    <d v="2024-05-09T00:00:00"/>
    <n v="1"/>
    <s v="Cancelled"/>
    <s v="VIC"/>
    <s v="6441 Main Street"/>
    <s v="Melbourne"/>
    <n v="3000"/>
    <n v="250"/>
    <n v="250"/>
    <s v="+61 4 4875 7688"/>
  </r>
  <r>
    <n v="3858"/>
    <s v="Welch"/>
    <s v="Timothy Welch"/>
    <s v="Timothy"/>
    <n v="2090"/>
    <x v="1"/>
    <x v="69"/>
    <n v="2"/>
    <x v="0"/>
    <x v="0"/>
    <n v="0.3"/>
    <n v="62.4"/>
    <n v="208"/>
    <n v="145.6"/>
    <s v="Brian"/>
    <n v="2090"/>
    <s v="Resume + LinkedIn Profile"/>
    <d v="2024-12-31T00:00:00"/>
    <n v="2"/>
    <s v="Delivered"/>
    <s v="WA"/>
    <s v="98446 George Street"/>
    <s v="Fremantle"/>
    <n v="6160"/>
    <n v="800"/>
    <n v="1600"/>
    <s v="+61 2 4260 2352"/>
  </r>
  <r>
    <n v="3860"/>
    <s v="Moran"/>
    <s v="Bentley Moran"/>
    <s v="Bentley"/>
    <n v="2091"/>
    <x v="4"/>
    <x v="50"/>
    <n v="2"/>
    <x v="3"/>
    <x v="1"/>
    <n v="0.25"/>
    <n v="272.75"/>
    <n v="1091"/>
    <n v="818.25"/>
    <s v="Kelly"/>
    <n v="2091"/>
    <s v="Mentoring program"/>
    <d v="2024-02-02T00:00:00"/>
    <n v="2"/>
    <s v="Cancelled"/>
    <s v="ACT"/>
    <s v="43394 Park Avenue"/>
    <s v="Canberra"/>
    <n v="2600"/>
    <n v="1200"/>
    <n v="2400"/>
    <s v="+61 9 4206 6827"/>
  </r>
  <r>
    <n v="3861"/>
    <s v="Mayo"/>
    <s v="Octavia Mayo"/>
    <s v="Octavia"/>
    <n v="2092"/>
    <x v="0"/>
    <x v="333"/>
    <n v="3"/>
    <x v="0"/>
    <x v="1"/>
    <n v="0.1"/>
    <n v="159.30000000000001"/>
    <n v="1593"/>
    <n v="1433.7"/>
    <s v="Daniel"/>
    <n v="2092"/>
    <s v="Interview Prep"/>
    <d v="2024-01-21T00:00:00"/>
    <n v="2"/>
    <s v="Delivered"/>
    <s v="ACT"/>
    <s v="12774 George Street"/>
    <s v="Canberra"/>
    <n v="2600"/>
    <n v="250"/>
    <n v="500"/>
    <s v="+61 4 2501 5784"/>
  </r>
  <r>
    <n v="3862"/>
    <s v="Cortéz"/>
    <s v="Gael Cortéz"/>
    <s v="Gael"/>
    <n v="2093"/>
    <x v="3"/>
    <x v="197"/>
    <n v="3"/>
    <x v="0"/>
    <x v="5"/>
    <n v="0.2"/>
    <n v="64.600000000000009"/>
    <n v="323"/>
    <n v="258.39999999999998"/>
    <s v="Daniel"/>
    <n v="2093"/>
    <s v="Networking Strategy"/>
    <d v="2024-11-10T00:00:00"/>
    <n v="2"/>
    <s v="Delivered"/>
    <s v="SA"/>
    <s v="10582 King Street"/>
    <s v="Adelaide"/>
    <n v="5000"/>
    <n v="250"/>
    <n v="500"/>
    <s v="+61 6 1149 1612"/>
  </r>
  <r>
    <n v="3863"/>
    <s v="Solis"/>
    <s v="Catalina Solis"/>
    <s v="Catalina"/>
    <n v="2094"/>
    <x v="2"/>
    <x v="30"/>
    <n v="2"/>
    <x v="0"/>
    <x v="5"/>
    <n v="0.25"/>
    <n v="339.5"/>
    <n v="1358"/>
    <n v="1018.5"/>
    <s v="Daniel"/>
    <n v="2094"/>
    <s v="LinkedIn profile"/>
    <d v="2024-12-20T00:00:00"/>
    <n v="1"/>
    <s v="Delivered"/>
    <s v="SA"/>
    <s v="20265 Main Street"/>
    <s v="Mount Gambier"/>
    <n v="5290"/>
    <n v="300"/>
    <n v="300"/>
    <s v="+61 3 3870 1467"/>
  </r>
  <r>
    <n v="3864"/>
    <s v="Bravo"/>
    <s v="Dahlia Bravo"/>
    <s v="Dahlia"/>
    <n v="2095"/>
    <x v="0"/>
    <x v="18"/>
    <n v="3"/>
    <x v="0"/>
    <x v="1"/>
    <n v="0.1"/>
    <n v="147.80000000000001"/>
    <n v="1478"/>
    <n v="1330.2"/>
    <s v="Brian"/>
    <n v="2095"/>
    <s v="Interview Prep"/>
    <d v="2024-06-12T00:00:00"/>
    <n v="2"/>
    <s v="Delivered"/>
    <s v="ACT"/>
    <s v="86175 Park Avenue"/>
    <s v="Canberra"/>
    <n v="2600"/>
    <n v="250"/>
    <n v="500"/>
    <s v="+61 6 3470 5178"/>
  </r>
  <r>
    <n v="3865"/>
    <s v="Bernal"/>
    <s v="Finley Bernal"/>
    <s v="Finley"/>
    <n v="2096"/>
    <x v="0"/>
    <x v="142"/>
    <n v="3"/>
    <x v="0"/>
    <x v="6"/>
    <n v="0.1"/>
    <n v="30.6"/>
    <n v="306"/>
    <n v="275.39999999999998"/>
    <s v="Priscilla"/>
    <n v="2096"/>
    <s v="Interview Prep"/>
    <d v="2024-11-24T00:00:00"/>
    <n v="1"/>
    <s v="Delivered"/>
    <s v="TAS"/>
    <s v="38559 Park Avenue"/>
    <s v="Hobart"/>
    <n v="7000"/>
    <n v="250"/>
    <n v="250"/>
    <s v="+61 4 6516 9335"/>
  </r>
  <r>
    <n v="3866"/>
    <s v="Klein"/>
    <s v="Nash Klein"/>
    <s v="Nash"/>
    <n v="2097"/>
    <x v="2"/>
    <x v="286"/>
    <n v="3"/>
    <x v="3"/>
    <x v="6"/>
    <n v="0.25"/>
    <n v="204.5"/>
    <n v="818"/>
    <n v="613.5"/>
    <s v="Kelly"/>
    <n v="2097"/>
    <s v="LinkedIn profile"/>
    <d v="2024-10-21T00:00:00"/>
    <n v="2"/>
    <s v="Cancelled"/>
    <s v="TAS"/>
    <s v="24047 Elizabeth Street"/>
    <s v="Launceston"/>
    <n v="7250"/>
    <n v="300"/>
    <n v="600"/>
    <s v="+61 5 8849 1486"/>
  </r>
  <r>
    <n v="3867"/>
    <s v="Norman"/>
    <s v="Stephanie Norman"/>
    <s v="Stephanie"/>
    <n v="2098"/>
    <x v="4"/>
    <x v="91"/>
    <n v="3"/>
    <x v="0"/>
    <x v="1"/>
    <n v="0.25"/>
    <n v="261.25"/>
    <n v="1045"/>
    <n v="783.75"/>
    <s v="Priscilla"/>
    <n v="2098"/>
    <s v="Mentoring program"/>
    <d v="2024-08-15T00:00:00"/>
    <n v="1"/>
    <s v="Delivered"/>
    <s v="ACT"/>
    <s v="41937 Main Street"/>
    <s v="Canberra"/>
    <n v="2600"/>
    <n v="1200"/>
    <n v="1200"/>
    <s v="+61 2 2369 2495"/>
  </r>
  <r>
    <n v="3868"/>
    <s v="Cisneros"/>
    <s v="Sabrina Cisneros"/>
    <s v="Sabrina"/>
    <n v="2099"/>
    <x v="1"/>
    <x v="259"/>
    <n v="1"/>
    <x v="3"/>
    <x v="4"/>
    <n v="0.3"/>
    <n v="551.69999999999993"/>
    <n v="1839"/>
    <n v="1287.3000000000002"/>
    <s v="Brian"/>
    <n v="2099"/>
    <s v="Resume + LinkedIn Profile"/>
    <d v="2024-08-07T00:00:00"/>
    <n v="2"/>
    <s v="Cancelled"/>
    <s v="QLD"/>
    <s v="73258 Main Street"/>
    <s v="Cairns"/>
    <n v="4870"/>
    <n v="800"/>
    <n v="1600"/>
    <s v="+61 3 4213 2277"/>
  </r>
  <r>
    <n v="3869"/>
    <s v="Serrano"/>
    <s v="Laura Serrano"/>
    <s v="Laura"/>
    <n v="2100"/>
    <x v="4"/>
    <x v="324"/>
    <n v="1"/>
    <x v="1"/>
    <x v="5"/>
    <n v="0.25"/>
    <n v="22.5"/>
    <n v="90"/>
    <n v="67.5"/>
    <s v="Brian"/>
    <n v="2100"/>
    <s v="Mentoring program"/>
    <d v="2024-01-02T00:00:00"/>
    <n v="3"/>
    <s v="In Progress"/>
    <s v="SA"/>
    <s v="12802 Elizabeth Street"/>
    <s v="Adelaide"/>
    <n v="5000"/>
    <n v="1200"/>
    <n v="3600"/>
    <s v="+61 9 6424 8596"/>
  </r>
  <r>
    <n v="3870"/>
    <s v="Thornton"/>
    <s v="Augustus Thornton"/>
    <s v="Augustus"/>
    <n v="2101"/>
    <x v="4"/>
    <x v="256"/>
    <n v="1"/>
    <x v="2"/>
    <x v="5"/>
    <n v="0.25"/>
    <n v="410"/>
    <n v="1640"/>
    <n v="1230"/>
    <s v="Brian"/>
    <n v="2101"/>
    <s v="Mentoring program"/>
    <d v="2024-05-07T00:00:00"/>
    <n v="1"/>
    <s v="Service Booked"/>
    <s v="SA"/>
    <s v="31474 Main Street"/>
    <s v="Mount Gambier"/>
    <n v="5290"/>
    <n v="1200"/>
    <n v="1200"/>
    <s v="+61 9 4249 8446"/>
  </r>
  <r>
    <n v="3871"/>
    <s v="Burns"/>
    <s v="Russell Burns"/>
    <s v="Russell"/>
    <n v="2102"/>
    <x v="2"/>
    <x v="201"/>
    <n v="1"/>
    <x v="0"/>
    <x v="3"/>
    <n v="0.25"/>
    <n v="40.25"/>
    <n v="161"/>
    <n v="120.75"/>
    <s v="Brian"/>
    <n v="2102"/>
    <s v="LinkedIn profile"/>
    <d v="2024-04-05T00:00:00"/>
    <n v="3"/>
    <s v="Delivered"/>
    <s v="VIC"/>
    <s v="41325 Main Street"/>
    <s v="Ballarat"/>
    <n v="3350"/>
    <n v="300"/>
    <n v="900"/>
    <s v="+61 5 1589 6261"/>
  </r>
  <r>
    <n v="3872"/>
    <s v="Atkins"/>
    <s v="Joel Atkins"/>
    <s v="Joel"/>
    <n v="2103"/>
    <x v="4"/>
    <x v="30"/>
    <n v="3"/>
    <x v="2"/>
    <x v="6"/>
    <n v="0.25"/>
    <n v="464.75"/>
    <n v="1859"/>
    <n v="1394.25"/>
    <s v="Brian"/>
    <n v="2103"/>
    <s v="Mentoring program"/>
    <d v="2024-12-20T00:00:00"/>
    <n v="1"/>
    <s v="Service Booked"/>
    <s v="TAS"/>
    <s v="97965 King Street"/>
    <s v="Launceston"/>
    <n v="7250"/>
    <n v="1200"/>
    <n v="1200"/>
    <s v="+61 9 7681 1146"/>
  </r>
  <r>
    <n v="3873"/>
    <s v="Williams"/>
    <s v="Sutton Williams"/>
    <s v="Sutton"/>
    <n v="2104"/>
    <x v="3"/>
    <x v="216"/>
    <n v="3"/>
    <x v="0"/>
    <x v="2"/>
    <n v="0.2"/>
    <n v="253.4"/>
    <n v="1267"/>
    <n v="1013.6"/>
    <s v="Daniel"/>
    <n v="2104"/>
    <s v="Networking Strategy"/>
    <d v="2024-05-11T00:00:00"/>
    <n v="1"/>
    <s v="Delivered"/>
    <s v="NSW"/>
    <s v="52512 Park Avenue"/>
    <s v="Sydney"/>
    <n v="2000"/>
    <n v="250"/>
    <n v="250"/>
    <s v="+61 7 6601 3853"/>
  </r>
  <r>
    <n v="3874"/>
    <s v="Parra"/>
    <s v="Remington Parra"/>
    <s v="Remington"/>
    <n v="2105"/>
    <x v="4"/>
    <x v="90"/>
    <n v="1"/>
    <x v="1"/>
    <x v="6"/>
    <n v="0.25"/>
    <n v="64"/>
    <n v="256"/>
    <n v="192"/>
    <s v="Kelly"/>
    <n v="2105"/>
    <s v="Mentoring program"/>
    <d v="2024-03-27T00:00:00"/>
    <n v="3"/>
    <s v="In Progress"/>
    <s v="TAS"/>
    <s v="1772 Park Avenue"/>
    <s v="Devonport"/>
    <n v="7310"/>
    <n v="1200"/>
    <n v="3600"/>
    <s v="+61 4 7987 3390"/>
  </r>
  <r>
    <n v="3875"/>
    <s v="Stone"/>
    <s v="Isabel Stone"/>
    <s v="Isabel"/>
    <n v="2106"/>
    <x v="2"/>
    <x v="230"/>
    <n v="1"/>
    <x v="3"/>
    <x v="6"/>
    <n v="0.25"/>
    <n v="302"/>
    <n v="1208"/>
    <n v="906"/>
    <s v="Daniel"/>
    <n v="2106"/>
    <s v="LinkedIn profile"/>
    <d v="2024-10-25T00:00:00"/>
    <n v="1"/>
    <s v="Cancelled"/>
    <s v="TAS"/>
    <s v="57145 Elizabeth Street"/>
    <s v="Launceston"/>
    <n v="7250"/>
    <n v="300"/>
    <n v="300"/>
    <s v="+61 6 2131 5934"/>
  </r>
  <r>
    <n v="3876"/>
    <s v="Best"/>
    <s v="Francesca Best"/>
    <s v="Francesca"/>
    <n v="2107"/>
    <x v="0"/>
    <x v="53"/>
    <n v="2"/>
    <x v="1"/>
    <x v="1"/>
    <n v="0.1"/>
    <n v="31"/>
    <n v="310"/>
    <n v="279"/>
    <s v="Daniel"/>
    <n v="2107"/>
    <s v="Interview Prep"/>
    <d v="2024-08-27T00:00:00"/>
    <n v="3"/>
    <s v="In Progress"/>
    <s v="ACT"/>
    <s v="29374 Park Avenue"/>
    <s v="Canberra"/>
    <n v="2600"/>
    <n v="250"/>
    <n v="750"/>
    <s v="+61 5 5612 7005"/>
  </r>
  <r>
    <n v="3877"/>
    <s v="Eaton"/>
    <s v="Violet Eaton"/>
    <s v="Violet"/>
    <n v="2108"/>
    <x v="3"/>
    <x v="334"/>
    <n v="3"/>
    <x v="2"/>
    <x v="1"/>
    <n v="0.2"/>
    <n v="216.60000000000002"/>
    <n v="1083"/>
    <n v="866.4"/>
    <s v="Kelly"/>
    <n v="2108"/>
    <s v="Networking Strategy"/>
    <d v="2024-08-04T00:00:00"/>
    <n v="3"/>
    <s v="Service Booked"/>
    <s v="ACT"/>
    <s v="41634 Elizabeth Street"/>
    <s v="Canberra"/>
    <n v="2600"/>
    <n v="250"/>
    <n v="750"/>
    <s v="+61 7 2472 7638"/>
  </r>
  <r>
    <n v="3878"/>
    <s v="Martinez"/>
    <s v="Journee Martinez"/>
    <s v="Journee"/>
    <n v="2109"/>
    <x v="5"/>
    <x v="90"/>
    <n v="1"/>
    <x v="0"/>
    <x v="1"/>
    <n v="0.3"/>
    <n v="121.19999999999999"/>
    <n v="404"/>
    <n v="282.8"/>
    <s v="Terrence"/>
    <n v="2109"/>
    <s v="Resume (service fee)"/>
    <d v="2024-03-27T00:00:00"/>
    <n v="3"/>
    <s v="Delivered"/>
    <s v="ACT"/>
    <s v="95129 Main Street"/>
    <s v="Canberra"/>
    <n v="2600"/>
    <n v="600"/>
    <n v="1800"/>
    <s v="+61 9 9580 4342"/>
  </r>
  <r>
    <n v="3879"/>
    <s v="Carson"/>
    <s v="Marley Carson"/>
    <s v="Marley"/>
    <n v="2110"/>
    <x v="4"/>
    <x v="240"/>
    <n v="1"/>
    <x v="2"/>
    <x v="0"/>
    <n v="0.25"/>
    <n v="414.5"/>
    <n v="1658"/>
    <n v="1243.5"/>
    <s v="Brian"/>
    <n v="2110"/>
    <s v="Mentoring program"/>
    <d v="2024-03-19T00:00:00"/>
    <n v="1"/>
    <s v="Service Booked"/>
    <s v="WA"/>
    <s v="82047 King Street"/>
    <s v="Perth"/>
    <n v="6000"/>
    <n v="1200"/>
    <n v="1200"/>
    <s v="+61 4 9972 2543"/>
  </r>
  <r>
    <n v="3880"/>
    <s v="Hill"/>
    <s v="Valentina Hill"/>
    <s v="Valentina"/>
    <n v="2111"/>
    <x v="4"/>
    <x v="331"/>
    <n v="2"/>
    <x v="3"/>
    <x v="4"/>
    <n v="0.25"/>
    <n v="181"/>
    <n v="724"/>
    <n v="543"/>
    <s v="Brian"/>
    <n v="2111"/>
    <s v="Mentoring program"/>
    <d v="2024-06-01T00:00:00"/>
    <n v="3"/>
    <s v="Cancelled"/>
    <s v="QLD"/>
    <s v="72623 King Street"/>
    <s v="Gold Coast"/>
    <n v="4217"/>
    <n v="1200"/>
    <n v="3600"/>
    <s v="+61 9 9752 3166"/>
  </r>
  <r>
    <n v="3881"/>
    <s v="Gordon"/>
    <s v="Jett Gordon"/>
    <s v="Jett"/>
    <n v="2112"/>
    <x v="3"/>
    <x v="70"/>
    <n v="2"/>
    <x v="2"/>
    <x v="0"/>
    <n v="0.2"/>
    <n v="210.8"/>
    <n v="1054"/>
    <n v="843.2"/>
    <s v="Terrence"/>
    <n v="2112"/>
    <s v="Networking Strategy"/>
    <d v="2024-07-12T00:00:00"/>
    <n v="2"/>
    <s v="Service Booked"/>
    <s v="WA"/>
    <s v="18905 King Street"/>
    <s v="Perth"/>
    <n v="6000"/>
    <n v="250"/>
    <n v="500"/>
    <s v="+61 6 8793 2531"/>
  </r>
  <r>
    <n v="3882"/>
    <s v="Hobbs"/>
    <s v="Adalyn Hobbs"/>
    <s v="Adalyn"/>
    <n v="2113"/>
    <x v="4"/>
    <x v="155"/>
    <n v="1"/>
    <x v="2"/>
    <x v="3"/>
    <n v="0.25"/>
    <n v="65.5"/>
    <n v="262"/>
    <n v="196.5"/>
    <s v="Priscilla"/>
    <n v="2113"/>
    <s v="Mentoring program"/>
    <d v="2024-11-03T00:00:00"/>
    <n v="1"/>
    <s v="Service Booked"/>
    <s v="VIC"/>
    <s v="31139 King Street"/>
    <s v="Melbourne"/>
    <n v="3000"/>
    <n v="1200"/>
    <n v="1200"/>
    <s v="+61 7 5330 8702"/>
  </r>
  <r>
    <n v="3883"/>
    <s v="Nguyen"/>
    <s v="Joshua Nguyen"/>
    <s v="Joshua"/>
    <n v="2114"/>
    <x v="0"/>
    <x v="221"/>
    <n v="2"/>
    <x v="0"/>
    <x v="2"/>
    <n v="0.1"/>
    <n v="37.300000000000004"/>
    <n v="373"/>
    <n v="335.7"/>
    <s v="Brian"/>
    <n v="2114"/>
    <s v="Interview Prep"/>
    <d v="2024-05-30T00:00:00"/>
    <n v="1"/>
    <s v="Delivered"/>
    <s v="NSW"/>
    <s v="99266 George Street"/>
    <s v="Newcastle"/>
    <n v="2300"/>
    <n v="250"/>
    <n v="250"/>
    <s v="+61 8 3368 6261"/>
  </r>
  <r>
    <n v="3884"/>
    <s v="Kaur"/>
    <s v="Martin Kaur"/>
    <s v="Martin"/>
    <n v="2115"/>
    <x v="2"/>
    <x v="133"/>
    <n v="3"/>
    <x v="0"/>
    <x v="4"/>
    <n v="0.25"/>
    <n v="276"/>
    <n v="1104"/>
    <n v="828"/>
    <s v="Kelly"/>
    <n v="2115"/>
    <s v="LinkedIn profile"/>
    <d v="2024-11-18T00:00:00"/>
    <n v="2"/>
    <s v="Delivered"/>
    <s v="QLD"/>
    <s v="83006 Elizabeth Street"/>
    <s v="Brisbane"/>
    <n v="4000"/>
    <n v="300"/>
    <n v="600"/>
    <s v="+61 6 1534 6522"/>
  </r>
  <r>
    <n v="3885"/>
    <s v="Atkinson"/>
    <s v="Jose Atkinson"/>
    <s v="Jose"/>
    <n v="2116"/>
    <x v="4"/>
    <x v="33"/>
    <n v="1"/>
    <x v="0"/>
    <x v="2"/>
    <n v="0.25"/>
    <n v="320.75"/>
    <n v="1283"/>
    <n v="962.25"/>
    <s v="Priscilla"/>
    <n v="2116"/>
    <s v="Mentoring program"/>
    <d v="2024-08-26T00:00:00"/>
    <n v="2"/>
    <s v="Delivered"/>
    <s v="NSW"/>
    <s v="37369 George Street"/>
    <s v="Sydney"/>
    <n v="2000"/>
    <n v="1200"/>
    <n v="2400"/>
    <s v="+61 6 3573 9723"/>
  </r>
  <r>
    <n v="3886"/>
    <s v="Knapp"/>
    <s v="Kendrick Knapp"/>
    <s v="Kendrick"/>
    <n v="2117"/>
    <x v="0"/>
    <x v="32"/>
    <n v="3"/>
    <x v="3"/>
    <x v="3"/>
    <n v="0.1"/>
    <n v="153.9"/>
    <n v="1539"/>
    <n v="1385.1"/>
    <s v="Daniel"/>
    <n v="2117"/>
    <s v="Interview Prep"/>
    <d v="2024-12-14T00:00:00"/>
    <n v="2"/>
    <s v="Cancelled"/>
    <s v="VIC"/>
    <s v="4447 George Street"/>
    <s v="Melbourne"/>
    <n v="3000"/>
    <n v="250"/>
    <n v="500"/>
    <s v="+61 8 2553 2421"/>
  </r>
  <r>
    <n v="3887"/>
    <s v="Ventura"/>
    <s v="Haven Ventura"/>
    <s v="Haven"/>
    <n v="2118"/>
    <x v="5"/>
    <x v="85"/>
    <n v="2"/>
    <x v="1"/>
    <x v="6"/>
    <n v="0.3"/>
    <n v="403.5"/>
    <n v="1345"/>
    <n v="941.5"/>
    <s v="Priscilla"/>
    <n v="2118"/>
    <s v="Resume (service fee)"/>
    <d v="2024-04-16T00:00:00"/>
    <n v="1"/>
    <s v="In Progress"/>
    <s v="TAS"/>
    <s v="24277 Elizabeth Street"/>
    <s v="Devonport"/>
    <n v="7310"/>
    <n v="600"/>
    <n v="600"/>
    <s v="+61 9 8720 1659"/>
  </r>
  <r>
    <n v="3888"/>
    <s v="Combs"/>
    <s v="Raphael Combs"/>
    <s v="Raphael"/>
    <n v="2119"/>
    <x v="3"/>
    <x v="63"/>
    <n v="1"/>
    <x v="1"/>
    <x v="2"/>
    <n v="0.2"/>
    <n v="95.800000000000011"/>
    <n v="479"/>
    <n v="383.2"/>
    <s v="Terrence"/>
    <n v="2119"/>
    <s v="Networking Strategy"/>
    <d v="2024-01-22T00:00:00"/>
    <n v="3"/>
    <s v="In Progress"/>
    <s v="NSW"/>
    <s v="22479 Main Street"/>
    <s v="Newcastle"/>
    <n v="2300"/>
    <n v="250"/>
    <n v="750"/>
    <s v="+61 4 4786 6051"/>
  </r>
  <r>
    <n v="3889"/>
    <s v="Truong"/>
    <s v="Zoey Truong"/>
    <s v="Zoey"/>
    <n v="2120"/>
    <x v="4"/>
    <x v="54"/>
    <n v="1"/>
    <x v="2"/>
    <x v="2"/>
    <n v="0.25"/>
    <n v="373.25"/>
    <n v="1493"/>
    <n v="1119.75"/>
    <s v="Priscilla"/>
    <n v="2120"/>
    <s v="Mentoring program"/>
    <d v="2024-10-24T00:00:00"/>
    <n v="2"/>
    <s v="Service Booked"/>
    <s v="NSW"/>
    <s v="35329 Elizabeth Street"/>
    <s v="Wollongong"/>
    <n v="2500"/>
    <n v="1200"/>
    <n v="2400"/>
    <s v="+61 4 1098 2552"/>
  </r>
  <r>
    <n v="3890"/>
    <s v="Klein"/>
    <s v="Brody Klein"/>
    <s v="Brody"/>
    <n v="2121"/>
    <x v="2"/>
    <x v="203"/>
    <n v="2"/>
    <x v="0"/>
    <x v="6"/>
    <n v="0.25"/>
    <n v="259.5"/>
    <n v="1038"/>
    <n v="778.5"/>
    <s v="Brian"/>
    <n v="2121"/>
    <s v="LinkedIn profile"/>
    <d v="2024-02-12T00:00:00"/>
    <n v="2"/>
    <s v="Delivered"/>
    <s v="TAS"/>
    <s v="31117 King Street"/>
    <s v="Launceston"/>
    <n v="7250"/>
    <n v="300"/>
    <n v="600"/>
    <s v="+61 4 9140 7079"/>
  </r>
  <r>
    <n v="3891"/>
    <s v="House"/>
    <s v="Willow House"/>
    <s v="Willow"/>
    <n v="2122"/>
    <x v="2"/>
    <x v="235"/>
    <n v="1"/>
    <x v="0"/>
    <x v="3"/>
    <n v="0.25"/>
    <n v="243.25"/>
    <n v="973"/>
    <n v="729.75"/>
    <s v="Brian"/>
    <n v="2122"/>
    <s v="LinkedIn profile"/>
    <d v="2024-08-02T00:00:00"/>
    <n v="3"/>
    <s v="Delivered"/>
    <s v="VIC"/>
    <s v="18201 Elizabeth Street"/>
    <s v="Melbourne"/>
    <n v="3000"/>
    <n v="300"/>
    <n v="900"/>
    <s v="+61 6 4204 1257"/>
  </r>
  <r>
    <n v="3892"/>
    <s v="Vargas"/>
    <s v="Zayden Vargas"/>
    <s v="Zayden"/>
    <n v="2123"/>
    <x v="4"/>
    <x v="117"/>
    <n v="1"/>
    <x v="0"/>
    <x v="1"/>
    <n v="0.25"/>
    <n v="79.75"/>
    <n v="319"/>
    <n v="239.25"/>
    <s v="Brian"/>
    <n v="2123"/>
    <s v="Mentoring program"/>
    <d v="2024-12-13T00:00:00"/>
    <n v="3"/>
    <s v="Delivered"/>
    <s v="ACT"/>
    <s v="51227 George Street"/>
    <s v="Canberra"/>
    <n v="2600"/>
    <n v="1200"/>
    <n v="3600"/>
    <s v="+61 8 9465 2211"/>
  </r>
  <r>
    <n v="3893"/>
    <s v="Bentley"/>
    <s v="Royalty Bentley"/>
    <s v="Royalty"/>
    <n v="2124"/>
    <x v="0"/>
    <x v="73"/>
    <n v="2"/>
    <x v="2"/>
    <x v="0"/>
    <n v="0.1"/>
    <n v="143.6"/>
    <n v="1436"/>
    <n v="1292.4000000000001"/>
    <s v="Kelly"/>
    <n v="2124"/>
    <s v="Interview Prep"/>
    <d v="2024-08-29T00:00:00"/>
    <n v="2"/>
    <s v="Service Booked"/>
    <s v="WA"/>
    <s v="39992 Elizabeth Street"/>
    <s v="Fremantle"/>
    <n v="6160"/>
    <n v="250"/>
    <n v="500"/>
    <s v="+61 7 2486 2244"/>
  </r>
  <r>
    <n v="3894"/>
    <s v="Mcdonald"/>
    <s v="Adrian Mcdonald"/>
    <s v="Adrian"/>
    <n v="2125"/>
    <x v="3"/>
    <x v="94"/>
    <n v="3"/>
    <x v="0"/>
    <x v="2"/>
    <n v="0.2"/>
    <n v="290"/>
    <n v="1450"/>
    <n v="1160"/>
    <s v="Priscilla"/>
    <n v="2125"/>
    <s v="Networking Strategy"/>
    <d v="2024-11-23T00:00:00"/>
    <n v="1"/>
    <s v="Delivered"/>
    <s v="NSW"/>
    <s v="3725 Main Street"/>
    <s v="Wollongong"/>
    <n v="2500"/>
    <n v="250"/>
    <n v="250"/>
    <s v="+61 8 1957 2694"/>
  </r>
  <r>
    <n v="3895"/>
    <s v="Leblanc"/>
    <s v="Quinn Leblanc"/>
    <s v="Quinn"/>
    <n v="2126"/>
    <x v="3"/>
    <x v="272"/>
    <n v="3"/>
    <x v="3"/>
    <x v="2"/>
    <n v="0.2"/>
    <n v="333.40000000000003"/>
    <n v="1667"/>
    <n v="1333.6"/>
    <s v="Priscilla"/>
    <n v="2126"/>
    <s v="Networking Strategy"/>
    <d v="2024-02-01T00:00:00"/>
    <n v="3"/>
    <s v="Cancelled"/>
    <s v="NSW"/>
    <s v="77203 King Street"/>
    <s v="Wollongong"/>
    <n v="2500"/>
    <n v="250"/>
    <n v="750"/>
    <s v="+61 2 7016 1161"/>
  </r>
  <r>
    <n v="3896"/>
    <s v="Sutton"/>
    <s v="Zayn Sutton"/>
    <s v="Zayn"/>
    <n v="2127"/>
    <x v="2"/>
    <x v="112"/>
    <n v="1"/>
    <x v="1"/>
    <x v="7"/>
    <n v="0.25"/>
    <n v="270"/>
    <n v="1080"/>
    <n v="810"/>
    <s v="Brian"/>
    <n v="2127"/>
    <s v="LinkedIn profile"/>
    <d v="2024-06-05T00:00:00"/>
    <n v="3"/>
    <s v="In Progress"/>
    <s v="NT"/>
    <s v="46847 George Street"/>
    <s v="Alice Springs"/>
    <n v="870"/>
    <n v="300"/>
    <n v="900"/>
    <s v="+61 8 6245 1660"/>
  </r>
  <r>
    <n v="3897"/>
    <s v="Bishop"/>
    <s v="Marley Bishop"/>
    <s v="Marley"/>
    <n v="2128"/>
    <x v="1"/>
    <x v="307"/>
    <n v="3"/>
    <x v="0"/>
    <x v="5"/>
    <n v="0.3"/>
    <n v="196.2"/>
    <n v="654"/>
    <n v="457.8"/>
    <s v="Kelly"/>
    <n v="2128"/>
    <s v="Resume + LinkedIn Profile"/>
    <d v="2024-11-14T00:00:00"/>
    <n v="1"/>
    <s v="Delivered"/>
    <s v="SA"/>
    <s v="61770 George Street"/>
    <s v="Mount Gambier"/>
    <n v="5290"/>
    <n v="800"/>
    <n v="800"/>
    <s v="+61 6 8214 9657"/>
  </r>
  <r>
    <n v="3898"/>
    <s v="Holt"/>
    <s v="Aspen Holt"/>
    <s v="Aspen"/>
    <n v="2129"/>
    <x v="3"/>
    <x v="161"/>
    <n v="1"/>
    <x v="0"/>
    <x v="5"/>
    <n v="0.2"/>
    <n v="224.8"/>
    <n v="1124"/>
    <n v="899.2"/>
    <s v="Daniel"/>
    <n v="2129"/>
    <s v="Networking Strategy"/>
    <d v="2024-12-18T00:00:00"/>
    <n v="3"/>
    <s v="Delivered"/>
    <s v="SA"/>
    <s v="30338 Elizabeth Street"/>
    <s v="Whyalla"/>
    <n v="5600"/>
    <n v="250"/>
    <n v="750"/>
    <s v="+61 9 3905 3692"/>
  </r>
  <r>
    <n v="3899"/>
    <s v="Mack"/>
    <s v="Stevie Mack"/>
    <s v="Stevie"/>
    <n v="2130"/>
    <x v="4"/>
    <x v="335"/>
    <n v="1"/>
    <x v="3"/>
    <x v="4"/>
    <n v="0.25"/>
    <n v="300"/>
    <n v="1200"/>
    <n v="900"/>
    <s v="Terrence"/>
    <n v="2130"/>
    <s v="Mentoring program"/>
    <d v="2024-06-22T00:00:00"/>
    <n v="3"/>
    <s v="Cancelled"/>
    <s v="QLD"/>
    <s v="33555 Park Avenue"/>
    <s v="Cairns"/>
    <n v="4870"/>
    <n v="1200"/>
    <n v="3600"/>
    <s v="+61 8 4556 9126"/>
  </r>
  <r>
    <n v="3900"/>
    <s v="Chung"/>
    <s v="Remi Chung"/>
    <s v="Remi"/>
    <n v="2131"/>
    <x v="1"/>
    <x v="289"/>
    <n v="3"/>
    <x v="2"/>
    <x v="4"/>
    <n v="0.3"/>
    <n v="3.3"/>
    <n v="11"/>
    <n v="7.7"/>
    <s v="Brian"/>
    <n v="2131"/>
    <s v="Resume + LinkedIn Profile"/>
    <d v="2024-01-03T00:00:00"/>
    <n v="2"/>
    <s v="Service Booked"/>
    <s v="QLD"/>
    <s v="17812 King Street"/>
    <s v="Gold Coast"/>
    <n v="4217"/>
    <n v="800"/>
    <n v="1600"/>
    <s v="+61 9 7251 1132"/>
  </r>
  <r>
    <n v="3901"/>
    <s v="Nixon"/>
    <s v="Eleanor Nixon"/>
    <s v="Eleanor"/>
    <n v="2132"/>
    <x v="4"/>
    <x v="267"/>
    <n v="3"/>
    <x v="0"/>
    <x v="1"/>
    <n v="0.25"/>
    <n v="95"/>
    <n v="380"/>
    <n v="285"/>
    <s v="Brian"/>
    <n v="2132"/>
    <s v="Mentoring program"/>
    <d v="2024-01-31T00:00:00"/>
    <n v="1"/>
    <s v="Delivered"/>
    <s v="ACT"/>
    <s v="80427 Elizabeth Street"/>
    <s v="Canberra"/>
    <n v="2600"/>
    <n v="1200"/>
    <n v="1200"/>
    <s v="+61 2 9938 7426"/>
  </r>
  <r>
    <n v="3902"/>
    <s v="Travis"/>
    <s v="Sawyer Travis"/>
    <s v="Sawyer"/>
    <n v="2133"/>
    <x v="4"/>
    <x v="44"/>
    <n v="3"/>
    <x v="0"/>
    <x v="7"/>
    <n v="0.25"/>
    <n v="458"/>
    <n v="1832"/>
    <n v="1374"/>
    <s v="Kelly"/>
    <n v="2133"/>
    <s v="Mentoring program"/>
    <d v="2024-09-28T00:00:00"/>
    <n v="2"/>
    <s v="Delivered"/>
    <s v="NT"/>
    <s v="18009 Park Avenue"/>
    <s v="Alice Springs"/>
    <n v="870"/>
    <n v="1200"/>
    <n v="2400"/>
    <s v="+61 3 8124 4969"/>
  </r>
  <r>
    <n v="3903"/>
    <s v="Calhoun"/>
    <s v="Aubree Calhoun"/>
    <s v="Aubree"/>
    <n v="2134"/>
    <x v="2"/>
    <x v="226"/>
    <n v="1"/>
    <x v="2"/>
    <x v="0"/>
    <n v="0.25"/>
    <n v="49.5"/>
    <n v="198"/>
    <n v="148.5"/>
    <s v="Priscilla"/>
    <n v="2134"/>
    <s v="LinkedIn profile"/>
    <d v="2024-06-17T00:00:00"/>
    <n v="2"/>
    <s v="Service Booked"/>
    <s v="WA"/>
    <s v="50662 Elizabeth Street"/>
    <s v="Perth"/>
    <n v="6000"/>
    <n v="300"/>
    <n v="600"/>
    <s v="+61 6 9102 1179"/>
  </r>
  <r>
    <n v="3904"/>
    <s v="Frank"/>
    <s v="Collin Frank"/>
    <s v="Collin"/>
    <n v="2135"/>
    <x v="0"/>
    <x v="76"/>
    <n v="3"/>
    <x v="2"/>
    <x v="2"/>
    <n v="0.1"/>
    <n v="159.60000000000002"/>
    <n v="1596"/>
    <n v="1436.4"/>
    <s v="Brian"/>
    <n v="2135"/>
    <s v="Interview Prep"/>
    <d v="2024-12-16T00:00:00"/>
    <n v="3"/>
    <s v="Service Booked"/>
    <s v="NSW"/>
    <s v="90489 Elizabeth Street"/>
    <s v="Newcastle"/>
    <n v="2300"/>
    <n v="250"/>
    <n v="750"/>
    <s v="+61 4 9457 9775"/>
  </r>
  <r>
    <n v="3905"/>
    <s v="Cabrera"/>
    <s v="Kira Cabrera"/>
    <s v="Kira"/>
    <n v="2136"/>
    <x v="4"/>
    <x v="313"/>
    <n v="1"/>
    <x v="0"/>
    <x v="3"/>
    <n v="0.25"/>
    <n v="323.25"/>
    <n v="1293"/>
    <n v="969.75"/>
    <s v="Priscilla"/>
    <n v="2136"/>
    <s v="Mentoring program"/>
    <d v="2024-08-19T00:00:00"/>
    <n v="2"/>
    <s v="Delivered"/>
    <s v="VIC"/>
    <s v="65499 George Street"/>
    <s v="Ballarat"/>
    <n v="3350"/>
    <n v="1200"/>
    <n v="2400"/>
    <s v="+61 9 6345 5487"/>
  </r>
  <r>
    <n v="3906"/>
    <s v="Reynolds"/>
    <s v="Alayna Reynolds"/>
    <s v="Alayna"/>
    <n v="2137"/>
    <x v="3"/>
    <x v="336"/>
    <n v="3"/>
    <x v="0"/>
    <x v="4"/>
    <n v="0.2"/>
    <n v="201"/>
    <n v="1005"/>
    <n v="804"/>
    <s v="Kelly"/>
    <n v="2137"/>
    <s v="Networking Strategy"/>
    <d v="2024-10-13T00:00:00"/>
    <n v="3"/>
    <s v="Delivered"/>
    <s v="QLD"/>
    <s v="17645 Park Avenue"/>
    <s v="Gold Coast"/>
    <n v="4217"/>
    <n v="250"/>
    <n v="750"/>
    <s v="+61 2 2551 6310"/>
  </r>
  <r>
    <n v="3907"/>
    <s v="Thornton"/>
    <s v="Luis Thornton"/>
    <s v="Luis"/>
    <n v="2138"/>
    <x v="2"/>
    <x v="209"/>
    <n v="2"/>
    <x v="1"/>
    <x v="7"/>
    <n v="0.25"/>
    <n v="396.25"/>
    <n v="1585"/>
    <n v="1188.75"/>
    <s v="Priscilla"/>
    <n v="2138"/>
    <s v="LinkedIn profile"/>
    <d v="2024-11-17T00:00:00"/>
    <n v="3"/>
    <s v="In Progress"/>
    <s v="NT"/>
    <s v="82462 King Street"/>
    <s v="Darwin"/>
    <n v="800"/>
    <n v="300"/>
    <n v="900"/>
    <s v="+61 8 9576 4400"/>
  </r>
  <r>
    <n v="3908"/>
    <s v="Willis"/>
    <s v="Sabrina Willis"/>
    <s v="Sabrina"/>
    <n v="2139"/>
    <x v="4"/>
    <x v="184"/>
    <n v="2"/>
    <x v="2"/>
    <x v="2"/>
    <n v="0.25"/>
    <n v="21.25"/>
    <n v="85"/>
    <n v="63.75"/>
    <s v="Kelly"/>
    <n v="2139"/>
    <s v="Mentoring program"/>
    <d v="2024-05-22T00:00:00"/>
    <n v="3"/>
    <s v="Service Booked"/>
    <s v="NSW"/>
    <s v="42423 George Street"/>
    <s v="Sydney"/>
    <n v="2000"/>
    <n v="1200"/>
    <n v="3600"/>
    <s v="+61 4 8456 7645"/>
  </r>
  <r>
    <n v="3909"/>
    <s v="Crosby"/>
    <s v="Jasper Crosby"/>
    <s v="Jasper"/>
    <n v="2140"/>
    <x v="3"/>
    <x v="287"/>
    <n v="1"/>
    <x v="0"/>
    <x v="1"/>
    <n v="0.2"/>
    <n v="115.60000000000001"/>
    <n v="578"/>
    <n v="462.4"/>
    <s v="Daniel"/>
    <n v="2140"/>
    <s v="Networking Strategy"/>
    <d v="2024-10-27T00:00:00"/>
    <n v="3"/>
    <s v="Delivered"/>
    <s v="ACT"/>
    <s v="2090 Elizabeth Street"/>
    <s v="Canberra"/>
    <n v="2600"/>
    <n v="250"/>
    <n v="750"/>
    <s v="+61 4 4268 7371"/>
  </r>
  <r>
    <n v="3910"/>
    <s v="Marsh"/>
    <s v="Aubrey Marsh"/>
    <s v="Aubrey"/>
    <n v="2141"/>
    <x v="1"/>
    <x v="57"/>
    <n v="1"/>
    <x v="2"/>
    <x v="7"/>
    <n v="0.3"/>
    <n v="145.19999999999999"/>
    <n v="484"/>
    <n v="338.8"/>
    <s v="Brian"/>
    <n v="2141"/>
    <s v="Resume + LinkedIn Profile"/>
    <d v="2024-11-16T00:00:00"/>
    <n v="3"/>
    <s v="Service Booked"/>
    <s v="NT"/>
    <s v="51748 George Street"/>
    <s v="Darwin"/>
    <n v="800"/>
    <n v="800"/>
    <n v="2400"/>
    <s v="+61 5 6116 8150"/>
  </r>
  <r>
    <n v="3911"/>
    <s v="Whitaker"/>
    <s v="Charlotte Whitaker"/>
    <s v="Charlotte"/>
    <n v="2142"/>
    <x v="3"/>
    <x v="53"/>
    <n v="2"/>
    <x v="0"/>
    <x v="5"/>
    <n v="0.2"/>
    <n v="109"/>
    <n v="545"/>
    <n v="436"/>
    <s v="Priscilla"/>
    <n v="2142"/>
    <s v="Networking Strategy"/>
    <d v="2024-08-27T00:00:00"/>
    <n v="3"/>
    <s v="Delivered"/>
    <s v="SA"/>
    <s v="79152 King Street"/>
    <s v="Whyalla"/>
    <n v="5600"/>
    <n v="250"/>
    <n v="750"/>
    <s v="+61 8 8499 6554"/>
  </r>
  <r>
    <n v="3912"/>
    <s v="Raymond"/>
    <s v="Abel Raymond"/>
    <s v="Abel"/>
    <n v="2143"/>
    <x v="2"/>
    <x v="337"/>
    <n v="2"/>
    <x v="0"/>
    <x v="4"/>
    <n v="0.25"/>
    <n v="208.5"/>
    <n v="834"/>
    <n v="625.5"/>
    <s v="Daniel"/>
    <n v="2143"/>
    <s v="LinkedIn profile"/>
    <d v="2024-06-29T00:00:00"/>
    <n v="3"/>
    <s v="Delivered"/>
    <s v="QLD"/>
    <s v="99259 Elizabeth Street"/>
    <s v="Gold Coast"/>
    <n v="4217"/>
    <n v="300"/>
    <n v="900"/>
    <s v="+61 3 8916 7488"/>
  </r>
  <r>
    <n v="3913"/>
    <s v="Arias"/>
    <s v="Everett Arias"/>
    <s v="Everett"/>
    <n v="2144"/>
    <x v="5"/>
    <x v="31"/>
    <n v="1"/>
    <x v="2"/>
    <x v="0"/>
    <n v="0.3"/>
    <n v="4.8"/>
    <n v="16"/>
    <n v="11.2"/>
    <s v="Brian"/>
    <n v="2144"/>
    <s v="Resume (service fee)"/>
    <d v="2024-10-23T00:00:00"/>
    <n v="1"/>
    <s v="Service Booked"/>
    <s v="WA"/>
    <s v="37095 Elizabeth Street"/>
    <s v="Fremantle"/>
    <n v="6160"/>
    <n v="600"/>
    <n v="600"/>
    <s v="+61 8 7837 8020"/>
  </r>
  <r>
    <n v="3914"/>
    <s v="Morrison"/>
    <s v="Esme Morrison"/>
    <s v="Esme"/>
    <n v="2145"/>
    <x v="4"/>
    <x v="220"/>
    <n v="3"/>
    <x v="2"/>
    <x v="7"/>
    <n v="0.25"/>
    <n v="192"/>
    <n v="768"/>
    <n v="576"/>
    <s v="Kelly"/>
    <n v="2145"/>
    <s v="Mentoring program"/>
    <d v="2024-06-13T00:00:00"/>
    <n v="3"/>
    <s v="Service Booked"/>
    <s v="NT"/>
    <s v="21531 Park Avenue"/>
    <s v="Darwin"/>
    <n v="800"/>
    <n v="1200"/>
    <n v="3600"/>
    <s v="+61 7 3660 9589"/>
  </r>
  <r>
    <n v="3915"/>
    <s v="Jefferson"/>
    <s v="Delaney Jefferson"/>
    <s v="Delaney"/>
    <n v="2146"/>
    <x v="1"/>
    <x v="15"/>
    <n v="3"/>
    <x v="0"/>
    <x v="4"/>
    <n v="0.3"/>
    <n v="37.5"/>
    <n v="125"/>
    <n v="87.5"/>
    <s v="Daniel"/>
    <n v="2146"/>
    <s v="Resume + LinkedIn Profile"/>
    <d v="2024-08-13T00:00:00"/>
    <n v="3"/>
    <s v="Delivered"/>
    <s v="QLD"/>
    <s v="77541 Elizabeth Street"/>
    <s v="Brisbane"/>
    <n v="4000"/>
    <n v="800"/>
    <n v="2400"/>
    <s v="+61 7 1029 8957"/>
  </r>
  <r>
    <n v="3916"/>
    <s v="Ellis"/>
    <s v="Callan Ellis"/>
    <s v="Callan"/>
    <n v="2147"/>
    <x v="0"/>
    <x v="302"/>
    <n v="3"/>
    <x v="2"/>
    <x v="4"/>
    <n v="0.1"/>
    <n v="37"/>
    <n v="370"/>
    <n v="333"/>
    <s v="Priscilla"/>
    <n v="2147"/>
    <s v="Interview Prep"/>
    <d v="2024-12-21T00:00:00"/>
    <n v="3"/>
    <s v="Service Booked"/>
    <s v="QLD"/>
    <s v="69964 George Street"/>
    <s v="Cairns"/>
    <n v="4870"/>
    <n v="250"/>
    <n v="750"/>
    <s v="+61 5 2857 2489"/>
  </r>
  <r>
    <n v="3917"/>
    <s v="Kirby"/>
    <s v="Griffin Kirby"/>
    <s v="Griffin"/>
    <n v="2148"/>
    <x v="5"/>
    <x v="112"/>
    <n v="3"/>
    <x v="2"/>
    <x v="4"/>
    <n v="0.3"/>
    <n v="461.4"/>
    <n v="1538"/>
    <n v="1076.5999999999999"/>
    <s v="Priscilla"/>
    <n v="2148"/>
    <s v="Resume (service fee)"/>
    <d v="2024-06-05T00:00:00"/>
    <n v="2"/>
    <s v="Service Booked"/>
    <s v="QLD"/>
    <s v="63608 George Street"/>
    <s v="Brisbane"/>
    <n v="4000"/>
    <n v="600"/>
    <n v="1200"/>
    <s v="+61 6 1261 1472"/>
  </r>
  <r>
    <n v="3918"/>
    <s v="Burns"/>
    <s v="Danielle Burns"/>
    <s v="Danielle"/>
    <n v="2149"/>
    <x v="3"/>
    <x v="42"/>
    <n v="1"/>
    <x v="2"/>
    <x v="2"/>
    <n v="0.2"/>
    <n v="56.6"/>
    <n v="283"/>
    <n v="226.4"/>
    <s v="Priscilla"/>
    <n v="2149"/>
    <s v="Networking Strategy"/>
    <d v="2024-11-09T00:00:00"/>
    <n v="2"/>
    <s v="Service Booked"/>
    <s v="NSW"/>
    <s v="6491 Elizabeth Street"/>
    <s v="Newcastle"/>
    <n v="2300"/>
    <n v="250"/>
    <n v="500"/>
    <s v="+61 9 2370 1410"/>
  </r>
  <r>
    <n v="3919"/>
    <s v="West"/>
    <s v="Kashton West"/>
    <s v="Kashton"/>
    <n v="2150"/>
    <x v="1"/>
    <x v="309"/>
    <n v="3"/>
    <x v="0"/>
    <x v="7"/>
    <n v="0.3"/>
    <n v="165.29999999999998"/>
    <n v="551"/>
    <n v="385.70000000000005"/>
    <s v="Brian"/>
    <n v="2150"/>
    <s v="Resume + LinkedIn Profile"/>
    <d v="2024-07-29T00:00:00"/>
    <n v="3"/>
    <s v="Delivered"/>
    <s v="NT"/>
    <s v="22837 Park Avenue"/>
    <s v="Alice Springs"/>
    <n v="870"/>
    <n v="800"/>
    <n v="2400"/>
    <s v="+61 5 6542 4896"/>
  </r>
  <r>
    <n v="3920"/>
    <s v="Mueller"/>
    <s v="Poppy Mueller"/>
    <s v="Poppy"/>
    <n v="2151"/>
    <x v="2"/>
    <x v="96"/>
    <n v="3"/>
    <x v="0"/>
    <x v="2"/>
    <n v="0.25"/>
    <n v="346"/>
    <n v="1384"/>
    <n v="1038"/>
    <s v="Daniel"/>
    <n v="2151"/>
    <s v="LinkedIn profile"/>
    <d v="2024-11-20T00:00:00"/>
    <n v="3"/>
    <s v="Delivered"/>
    <s v="NSW"/>
    <s v="96730 George Street"/>
    <s v="Wollongong"/>
    <n v="2500"/>
    <n v="300"/>
    <n v="900"/>
    <s v="+61 2 1382 4652"/>
  </r>
  <r>
    <n v="3921"/>
    <s v="Mann"/>
    <s v="Cody Mann"/>
    <s v="Cody"/>
    <n v="2152"/>
    <x v="4"/>
    <x v="7"/>
    <n v="3"/>
    <x v="0"/>
    <x v="0"/>
    <n v="0.25"/>
    <n v="354.5"/>
    <n v="1418"/>
    <n v="1063.5"/>
    <s v="Brian"/>
    <n v="2152"/>
    <s v="Mentoring program"/>
    <d v="2024-10-26T00:00:00"/>
    <n v="2"/>
    <s v="Delivered"/>
    <s v="WA"/>
    <s v="76873 George Street"/>
    <s v="Fremantle"/>
    <n v="6160"/>
    <n v="1200"/>
    <n v="2400"/>
    <s v="+61 8 1457 1376"/>
  </r>
  <r>
    <n v="3922"/>
    <s v="Simmons"/>
    <s v="Emiliano Simmons"/>
    <s v="Emiliano"/>
    <n v="2153"/>
    <x v="1"/>
    <x v="1"/>
    <n v="2"/>
    <x v="1"/>
    <x v="2"/>
    <n v="0.3"/>
    <n v="184.79999999999998"/>
    <n v="616"/>
    <n v="431.20000000000005"/>
    <s v="Kelly"/>
    <n v="2153"/>
    <s v="Resume + LinkedIn Profile"/>
    <d v="2024-07-18T00:00:00"/>
    <n v="1"/>
    <s v="In Progress"/>
    <s v="NSW"/>
    <s v="74288 Park Avenue"/>
    <s v="Newcastle"/>
    <n v="2300"/>
    <n v="800"/>
    <n v="800"/>
    <s v="+61 9 4300 9324"/>
  </r>
  <r>
    <n v="3923"/>
    <s v="Bennett"/>
    <s v="Joy Bennett"/>
    <s v="Joy"/>
    <n v="2154"/>
    <x v="2"/>
    <x v="246"/>
    <n v="3"/>
    <x v="3"/>
    <x v="3"/>
    <n v="0.25"/>
    <n v="332.5"/>
    <n v="1330"/>
    <n v="997.5"/>
    <s v="Priscilla"/>
    <n v="2154"/>
    <s v="LinkedIn profile"/>
    <d v="2024-05-27T00:00:00"/>
    <n v="2"/>
    <s v="Cancelled"/>
    <s v="VIC"/>
    <s v="66485 Elizabeth Street"/>
    <s v="Melbourne"/>
    <n v="3000"/>
    <n v="300"/>
    <n v="600"/>
    <s v="+61 6 7447 5150"/>
  </r>
  <r>
    <n v="3924"/>
    <s v="Saunders"/>
    <s v="Millie Saunders"/>
    <s v="Millie"/>
    <n v="2155"/>
    <x v="5"/>
    <x v="24"/>
    <n v="2"/>
    <x v="0"/>
    <x v="6"/>
    <n v="0.3"/>
    <n v="531"/>
    <n v="1770"/>
    <n v="1239"/>
    <s v="Priscilla"/>
    <n v="2155"/>
    <s v="Resume (service fee)"/>
    <d v="2024-09-23T00:00:00"/>
    <n v="2"/>
    <s v="Delivered"/>
    <s v="TAS"/>
    <s v="38273 Main Street"/>
    <s v="Devonport"/>
    <n v="7310"/>
    <n v="600"/>
    <n v="1200"/>
    <s v="+61 6 2685 5577"/>
  </r>
  <r>
    <n v="3925"/>
    <s v="Duffy"/>
    <s v="Warren Duffy"/>
    <s v="Warren"/>
    <n v="2156"/>
    <x v="5"/>
    <x v="104"/>
    <n v="3"/>
    <x v="2"/>
    <x v="7"/>
    <n v="0.3"/>
    <n v="309.3"/>
    <n v="1031"/>
    <n v="721.7"/>
    <s v="Kelly"/>
    <n v="2156"/>
    <s v="Resume (service fee)"/>
    <d v="2024-02-21T00:00:00"/>
    <n v="1"/>
    <s v="Service Booked"/>
    <s v="NT"/>
    <s v="33105 Elizabeth Street"/>
    <s v="Alice Springs"/>
    <n v="870"/>
    <n v="600"/>
    <n v="600"/>
    <s v="+61 7 8100 4537"/>
  </r>
  <r>
    <n v="3926"/>
    <s v="Davila"/>
    <s v="Spencer Davila"/>
    <s v="Spencer"/>
    <n v="2157"/>
    <x v="4"/>
    <x v="82"/>
    <n v="1"/>
    <x v="0"/>
    <x v="4"/>
    <n v="0.25"/>
    <n v="248.75"/>
    <n v="995"/>
    <n v="746.25"/>
    <s v="Kelly"/>
    <n v="2157"/>
    <s v="Mentoring program"/>
    <d v="2024-07-15T00:00:00"/>
    <n v="1"/>
    <s v="Delivered"/>
    <s v="QLD"/>
    <s v="97891 Main Street"/>
    <s v="Cairns"/>
    <n v="4870"/>
    <n v="1200"/>
    <n v="1200"/>
    <s v="+61 6 6625 6354"/>
  </r>
  <r>
    <n v="3927"/>
    <s v="Cooper"/>
    <s v="Tristan Cooper"/>
    <s v="Tristan"/>
    <n v="2158"/>
    <x v="4"/>
    <x v="142"/>
    <n v="2"/>
    <x v="1"/>
    <x v="7"/>
    <n v="0.25"/>
    <n v="387.25"/>
    <n v="1549"/>
    <n v="1161.75"/>
    <s v="Kelly"/>
    <n v="2158"/>
    <s v="Mentoring program"/>
    <d v="2024-11-24T00:00:00"/>
    <n v="3"/>
    <s v="In Progress"/>
    <s v="NT"/>
    <s v="14344 Elizabeth Street"/>
    <s v="Alice Springs"/>
    <n v="870"/>
    <n v="1200"/>
    <n v="3600"/>
    <s v="+61 7 6964 2128"/>
  </r>
  <r>
    <n v="3928"/>
    <s v="Barrett"/>
    <s v="Sawyer Barrett"/>
    <s v="Sawyer"/>
    <n v="2159"/>
    <x v="1"/>
    <x v="28"/>
    <n v="3"/>
    <x v="0"/>
    <x v="4"/>
    <n v="0.3"/>
    <n v="171.9"/>
    <n v="573"/>
    <n v="401.1"/>
    <s v="Kelly"/>
    <n v="2159"/>
    <s v="Resume + LinkedIn Profile"/>
    <d v="2024-08-25T00:00:00"/>
    <n v="1"/>
    <s v="Delivered"/>
    <s v="QLD"/>
    <s v="93051 Main Street"/>
    <s v="Cairns"/>
    <n v="4870"/>
    <n v="800"/>
    <n v="800"/>
    <s v="+61 2 9772 2108"/>
  </r>
  <r>
    <n v="3929"/>
    <s v="Drake"/>
    <s v="Mckenzie Drake"/>
    <s v="Mckenzie"/>
    <n v="2160"/>
    <x v="4"/>
    <x v="189"/>
    <n v="3"/>
    <x v="0"/>
    <x v="0"/>
    <n v="0.25"/>
    <n v="356.5"/>
    <n v="1426"/>
    <n v="1069.5"/>
    <s v="Daniel"/>
    <n v="2160"/>
    <s v="Mentoring program"/>
    <d v="2024-02-28T00:00:00"/>
    <n v="3"/>
    <s v="Delivered"/>
    <s v="WA"/>
    <s v="8735 Elizabeth Street"/>
    <s v="Fremantle"/>
    <n v="6160"/>
    <n v="1200"/>
    <n v="3600"/>
    <s v="+61 7 6989 9907"/>
  </r>
  <r>
    <n v="3930"/>
    <s v="Crawford"/>
    <s v="Ryker Crawford"/>
    <s v="Ryker"/>
    <n v="2161"/>
    <x v="4"/>
    <x v="290"/>
    <n v="2"/>
    <x v="0"/>
    <x v="2"/>
    <n v="0.25"/>
    <n v="374"/>
    <n v="1496"/>
    <n v="1122"/>
    <s v="Kelly"/>
    <n v="2161"/>
    <s v="Mentoring program"/>
    <d v="2024-03-07T00:00:00"/>
    <n v="2"/>
    <s v="Delivered"/>
    <s v="NSW"/>
    <s v="96040 Main Street"/>
    <s v="Newcastle"/>
    <n v="2300"/>
    <n v="1200"/>
    <n v="2400"/>
    <s v="+61 5 3704 2340"/>
  </r>
  <r>
    <n v="3931"/>
    <s v="Khan"/>
    <s v="Frances Khan"/>
    <s v="Frances"/>
    <n v="2162"/>
    <x v="3"/>
    <x v="283"/>
    <n v="2"/>
    <x v="2"/>
    <x v="4"/>
    <n v="0.2"/>
    <n v="151.80000000000001"/>
    <n v="759"/>
    <n v="607.20000000000005"/>
    <s v="Terrence"/>
    <n v="2162"/>
    <s v="Networking Strategy"/>
    <d v="2024-09-16T00:00:00"/>
    <n v="1"/>
    <s v="Service Booked"/>
    <s v="QLD"/>
    <s v="87526 Elizabeth Street"/>
    <s v="Cairns"/>
    <n v="4870"/>
    <n v="250"/>
    <n v="250"/>
    <s v="+61 8 2027 9658"/>
  </r>
  <r>
    <n v="3932"/>
    <s v="Greer"/>
    <s v="Armani Greer"/>
    <s v="Armani"/>
    <n v="2163"/>
    <x v="1"/>
    <x v="36"/>
    <n v="2"/>
    <x v="2"/>
    <x v="1"/>
    <n v="0.3"/>
    <n v="405.9"/>
    <n v="1353"/>
    <n v="947.1"/>
    <s v="Kelly"/>
    <n v="2163"/>
    <s v="Resume + LinkedIn Profile"/>
    <d v="2024-01-06T00:00:00"/>
    <n v="3"/>
    <s v="Service Booked"/>
    <s v="ACT"/>
    <s v="12472 Park Avenue"/>
    <s v="Canberra"/>
    <n v="2600"/>
    <n v="800"/>
    <n v="2400"/>
    <s v="+61 8 2544 7021"/>
  </r>
  <r>
    <n v="3933"/>
    <s v="Caldwell"/>
    <s v="Aylin Caldwell"/>
    <s v="Aylin"/>
    <n v="2164"/>
    <x v="4"/>
    <x v="301"/>
    <n v="3"/>
    <x v="1"/>
    <x v="0"/>
    <n v="0.25"/>
    <n v="319.75"/>
    <n v="1279"/>
    <n v="959.25"/>
    <s v="Terrence"/>
    <n v="2164"/>
    <s v="Mentoring program"/>
    <d v="2024-11-29T00:00:00"/>
    <n v="2"/>
    <s v="In Progress"/>
    <s v="WA"/>
    <s v="66602 George Street"/>
    <s v="Fremantle"/>
    <n v="6160"/>
    <n v="1200"/>
    <n v="2400"/>
    <s v="+61 3 4076 1723"/>
  </r>
  <r>
    <n v="3934"/>
    <s v="Fernandez"/>
    <s v="Dax Fernandez"/>
    <s v="Dax"/>
    <n v="2165"/>
    <x v="0"/>
    <x v="86"/>
    <n v="1"/>
    <x v="3"/>
    <x v="5"/>
    <n v="0.1"/>
    <n v="90.600000000000009"/>
    <n v="906"/>
    <n v="815.4"/>
    <s v="Terrence"/>
    <n v="2165"/>
    <s v="Interview Prep"/>
    <d v="2024-07-01T00:00:00"/>
    <n v="2"/>
    <s v="Cancelled"/>
    <s v="SA"/>
    <s v="24441 King Street"/>
    <s v="Adelaide"/>
    <n v="5000"/>
    <n v="250"/>
    <n v="500"/>
    <s v="+61 5 2716 1025"/>
  </r>
  <r>
    <n v="3935"/>
    <s v="Brown"/>
    <s v="Catherine Brown"/>
    <s v="Catherine"/>
    <n v="2166"/>
    <x v="5"/>
    <x v="110"/>
    <n v="1"/>
    <x v="2"/>
    <x v="5"/>
    <n v="0.3"/>
    <n v="388.8"/>
    <n v="1296"/>
    <n v="907.2"/>
    <s v="Terrence"/>
    <n v="2166"/>
    <s v="Resume (service fee)"/>
    <d v="2024-03-14T00:00:00"/>
    <n v="2"/>
    <s v="Service Booked"/>
    <s v="SA"/>
    <s v="62727 George Street"/>
    <s v="Mount Gambier"/>
    <n v="5290"/>
    <n v="600"/>
    <n v="1200"/>
    <s v="+61 7 1678 2149"/>
  </r>
  <r>
    <n v="3936"/>
    <s v="Maldonado"/>
    <s v="Beckett Maldonado"/>
    <s v="Beckett"/>
    <n v="2167"/>
    <x v="5"/>
    <x v="291"/>
    <n v="3"/>
    <x v="2"/>
    <x v="7"/>
    <n v="0.3"/>
    <n v="366.3"/>
    <n v="1221"/>
    <n v="854.7"/>
    <s v="Brian"/>
    <n v="2167"/>
    <s v="Resume (service fee)"/>
    <d v="2024-06-20T00:00:00"/>
    <n v="3"/>
    <s v="Service Booked"/>
    <s v="NT"/>
    <s v="80988 George Street"/>
    <s v="Darwin"/>
    <n v="800"/>
    <n v="600"/>
    <n v="1800"/>
    <s v="+61 7 2525 5620"/>
  </r>
  <r>
    <n v="3937"/>
    <s v="Greene"/>
    <s v="Muhammad Greene"/>
    <s v="Muhammad"/>
    <n v="2168"/>
    <x v="2"/>
    <x v="287"/>
    <n v="1"/>
    <x v="3"/>
    <x v="2"/>
    <n v="0.25"/>
    <n v="211"/>
    <n v="844"/>
    <n v="633"/>
    <s v="Daniel"/>
    <n v="2168"/>
    <s v="LinkedIn profile"/>
    <d v="2024-10-27T00:00:00"/>
    <n v="1"/>
    <s v="Cancelled"/>
    <s v="NSW"/>
    <s v="35453 George Street"/>
    <s v="Newcastle"/>
    <n v="2300"/>
    <n v="300"/>
    <n v="300"/>
    <s v="+61 3 5001 2543"/>
  </r>
  <r>
    <n v="3938"/>
    <s v="Hampton"/>
    <s v="Angelina Hampton"/>
    <s v="Angelina"/>
    <n v="2169"/>
    <x v="3"/>
    <x v="76"/>
    <n v="2"/>
    <x v="0"/>
    <x v="2"/>
    <n v="0.2"/>
    <n v="268.40000000000003"/>
    <n v="1342"/>
    <n v="1073.5999999999999"/>
    <s v="Daniel"/>
    <n v="2169"/>
    <s v="Networking Strategy"/>
    <d v="2024-12-16T00:00:00"/>
    <n v="2"/>
    <s v="Delivered"/>
    <s v="NSW"/>
    <s v="41356 Main Street"/>
    <s v="Newcastle"/>
    <n v="2300"/>
    <n v="250"/>
    <n v="500"/>
    <s v="+61 9 1915 9558"/>
  </r>
  <r>
    <n v="3939"/>
    <s v="Mckenzie"/>
    <s v="Ivan Mckenzie"/>
    <s v="Ivan"/>
    <n v="2170"/>
    <x v="5"/>
    <x v="239"/>
    <n v="3"/>
    <x v="0"/>
    <x v="1"/>
    <n v="0.3"/>
    <n v="5.0999999999999996"/>
    <n v="17"/>
    <n v="11.9"/>
    <s v="Terrence"/>
    <n v="2170"/>
    <s v="Resume (service fee)"/>
    <d v="2024-03-02T00:00:00"/>
    <n v="2"/>
    <s v="Delivered"/>
    <s v="ACT"/>
    <s v="6696 George Street"/>
    <s v="Canberra"/>
    <n v="2600"/>
    <n v="600"/>
    <n v="1200"/>
    <s v="+61 7 6474 6743"/>
  </r>
  <r>
    <n v="3940"/>
    <s v="Muñoz"/>
    <s v="Carmen Muñoz"/>
    <s v="Carmen"/>
    <n v="2171"/>
    <x v="4"/>
    <x v="290"/>
    <n v="2"/>
    <x v="2"/>
    <x v="0"/>
    <n v="0.25"/>
    <n v="275"/>
    <n v="1100"/>
    <n v="825"/>
    <s v="Kelly"/>
    <n v="2171"/>
    <s v="Mentoring program"/>
    <d v="2024-03-07T00:00:00"/>
    <n v="1"/>
    <s v="Service Booked"/>
    <s v="WA"/>
    <s v="12924 King Street"/>
    <s v="Perth"/>
    <n v="6000"/>
    <n v="1200"/>
    <n v="1200"/>
    <s v="+61 5 8722 8622"/>
  </r>
  <r>
    <n v="3941"/>
    <s v="Cantrell"/>
    <s v="Myles Cantrell"/>
    <s v="Myles"/>
    <n v="2172"/>
    <x v="2"/>
    <x v="104"/>
    <n v="3"/>
    <x v="2"/>
    <x v="4"/>
    <n v="0.25"/>
    <n v="4.25"/>
    <n v="17"/>
    <n v="12.75"/>
    <s v="Priscilla"/>
    <n v="2172"/>
    <s v="LinkedIn profile"/>
    <d v="2024-02-21T00:00:00"/>
    <n v="2"/>
    <s v="Service Booked"/>
    <s v="QLD"/>
    <s v="27753 George Street"/>
    <s v="Cairns"/>
    <n v="4870"/>
    <n v="300"/>
    <n v="600"/>
    <s v="+61 3 9236 9224"/>
  </r>
  <r>
    <n v="3942"/>
    <s v="Curtis"/>
    <s v="Blake Curtis"/>
    <s v="Blake"/>
    <n v="2173"/>
    <x v="3"/>
    <x v="69"/>
    <n v="3"/>
    <x v="0"/>
    <x v="3"/>
    <n v="0.2"/>
    <n v="276.8"/>
    <n v="1384"/>
    <n v="1107.2"/>
    <s v="Priscilla"/>
    <n v="2173"/>
    <s v="Networking Strategy"/>
    <d v="2024-12-31T00:00:00"/>
    <n v="3"/>
    <s v="Delivered"/>
    <s v="VIC"/>
    <s v="58734 George Street"/>
    <s v="Melbourne"/>
    <n v="3000"/>
    <n v="250"/>
    <n v="750"/>
    <s v="+61 4 5660 5602"/>
  </r>
  <r>
    <n v="3943"/>
    <s v="Molina"/>
    <s v="Cole Molina"/>
    <s v="Cole"/>
    <n v="2174"/>
    <x v="5"/>
    <x v="338"/>
    <n v="3"/>
    <x v="3"/>
    <x v="4"/>
    <n v="0.3"/>
    <n v="282.59999999999997"/>
    <n v="942"/>
    <n v="659.40000000000009"/>
    <s v="Kelly"/>
    <n v="2174"/>
    <s v="Resume (service fee)"/>
    <d v="2024-12-17T00:00:00"/>
    <n v="2"/>
    <s v="Cancelled"/>
    <s v="QLD"/>
    <s v="29627 Park Avenue"/>
    <s v="Cairns"/>
    <n v="4870"/>
    <n v="600"/>
    <n v="1200"/>
    <s v="+61 3 8458 9206"/>
  </r>
  <r>
    <n v="3944"/>
    <s v="Hughes"/>
    <s v="Kenneth Hughes"/>
    <s v="Kenneth"/>
    <n v="2175"/>
    <x v="4"/>
    <x v="195"/>
    <n v="2"/>
    <x v="1"/>
    <x v="2"/>
    <n v="0.25"/>
    <n v="25"/>
    <n v="100"/>
    <n v="75"/>
    <s v="Kelly"/>
    <n v="2175"/>
    <s v="Mentoring program"/>
    <d v="2024-04-13T00:00:00"/>
    <n v="1"/>
    <s v="In Progress"/>
    <s v="NSW"/>
    <s v="23915 Main Street"/>
    <s v="Sydney"/>
    <n v="2000"/>
    <n v="1200"/>
    <n v="1200"/>
    <s v="+61 9 7263 1554"/>
  </r>
  <r>
    <n v="3945"/>
    <s v="Weiss"/>
    <s v="Fatima Weiss"/>
    <s v="Fatima"/>
    <n v="2176"/>
    <x v="5"/>
    <x v="40"/>
    <n v="2"/>
    <x v="0"/>
    <x v="7"/>
    <n v="0.3"/>
    <n v="374.4"/>
    <n v="1248"/>
    <n v="873.6"/>
    <s v="Kelly"/>
    <n v="2176"/>
    <s v="Resume (service fee)"/>
    <d v="2024-10-07T00:00:00"/>
    <n v="3"/>
    <s v="Delivered"/>
    <s v="NT"/>
    <s v="74187 Park Avenue"/>
    <s v="Darwin"/>
    <n v="800"/>
    <n v="600"/>
    <n v="1800"/>
    <s v="+61 9 5313 7834"/>
  </r>
  <r>
    <n v="3946"/>
    <s v="Dean"/>
    <s v="Maddox Dean"/>
    <s v="Maddox"/>
    <n v="2177"/>
    <x v="2"/>
    <x v="58"/>
    <n v="1"/>
    <x v="2"/>
    <x v="5"/>
    <n v="0.25"/>
    <n v="341.5"/>
    <n v="1366"/>
    <n v="1024.5"/>
    <s v="Priscilla"/>
    <n v="2177"/>
    <s v="LinkedIn profile"/>
    <d v="2024-06-04T00:00:00"/>
    <n v="1"/>
    <s v="Service Booked"/>
    <s v="SA"/>
    <s v="60360 Elizabeth Street"/>
    <s v="Whyalla"/>
    <n v="5600"/>
    <n v="300"/>
    <n v="300"/>
    <s v="+61 7 6496 3019"/>
  </r>
  <r>
    <n v="3947"/>
    <s v="Gutierrez"/>
    <s v="Joshua Gutierrez"/>
    <s v="Joshua"/>
    <n v="2178"/>
    <x v="4"/>
    <x v="339"/>
    <n v="2"/>
    <x v="0"/>
    <x v="4"/>
    <n v="0.25"/>
    <n v="184.5"/>
    <n v="738"/>
    <n v="553.5"/>
    <s v="Kelly"/>
    <n v="2178"/>
    <s v="Mentoring program"/>
    <d v="2024-12-26T00:00:00"/>
    <n v="2"/>
    <s v="Delivered"/>
    <s v="QLD"/>
    <s v="10042 Main Street"/>
    <s v="Cairns"/>
    <n v="4870"/>
    <n v="1200"/>
    <n v="2400"/>
    <s v="+61 3 6435 5221"/>
  </r>
  <r>
    <n v="3948"/>
    <s v="Briggs"/>
    <s v="Andy Briggs"/>
    <s v="Andy"/>
    <n v="2179"/>
    <x v="4"/>
    <x v="340"/>
    <n v="2"/>
    <x v="2"/>
    <x v="5"/>
    <n v="0.25"/>
    <n v="251"/>
    <n v="1004"/>
    <n v="753"/>
    <s v="Kelly"/>
    <n v="2179"/>
    <s v="Mentoring program"/>
    <d v="2024-10-18T00:00:00"/>
    <n v="2"/>
    <s v="Service Booked"/>
    <s v="SA"/>
    <s v="55312 Elizabeth Street"/>
    <s v="Whyalla"/>
    <n v="5600"/>
    <n v="1200"/>
    <n v="2400"/>
    <s v="+61 3 6317 5400"/>
  </r>
  <r>
    <n v="3949"/>
    <s v="Pierce"/>
    <s v="Connor Pierce"/>
    <s v="Connor"/>
    <n v="2180"/>
    <x v="5"/>
    <x v="261"/>
    <n v="1"/>
    <x v="0"/>
    <x v="4"/>
    <n v="0.3"/>
    <n v="414"/>
    <n v="1380"/>
    <n v="966"/>
    <s v="Kelly"/>
    <n v="2180"/>
    <s v="Resume (service fee)"/>
    <d v="2024-08-24T00:00:00"/>
    <n v="1"/>
    <s v="Delivered"/>
    <s v="QLD"/>
    <s v="88725 Main Street"/>
    <s v="Cairns"/>
    <n v="4870"/>
    <n v="600"/>
    <n v="600"/>
    <s v="+61 9 4614 9272"/>
  </r>
  <r>
    <n v="3950"/>
    <s v="Boyd"/>
    <s v="Evangeline Boyd"/>
    <s v="Evangeline"/>
    <n v="2181"/>
    <x v="4"/>
    <x v="341"/>
    <n v="2"/>
    <x v="1"/>
    <x v="2"/>
    <n v="0.25"/>
    <n v="65.75"/>
    <n v="263"/>
    <n v="197.25"/>
    <s v="Brian"/>
    <n v="2181"/>
    <s v="Mentoring program"/>
    <d v="2024-06-18T00:00:00"/>
    <n v="1"/>
    <s v="In Progress"/>
    <s v="NSW"/>
    <s v="65476 Elizabeth Street"/>
    <s v="Newcastle"/>
    <n v="2300"/>
    <n v="1200"/>
    <n v="1200"/>
    <s v="+61 8 7753 1063"/>
  </r>
  <r>
    <n v="3951"/>
    <s v="Arellano"/>
    <s v="Aubrey Arellano"/>
    <s v="Aubrey"/>
    <n v="2182"/>
    <x v="0"/>
    <x v="335"/>
    <n v="1"/>
    <x v="2"/>
    <x v="2"/>
    <n v="0.1"/>
    <n v="100.9"/>
    <n v="1009"/>
    <n v="908.1"/>
    <s v="Daniel"/>
    <n v="2182"/>
    <s v="Interview Prep"/>
    <d v="2024-06-22T00:00:00"/>
    <n v="2"/>
    <s v="Service Booked"/>
    <s v="NSW"/>
    <s v="84763 Main Street"/>
    <s v="Wollongong"/>
    <n v="2500"/>
    <n v="250"/>
    <n v="500"/>
    <s v="+61 6 2285 4536"/>
  </r>
  <r>
    <n v="3952"/>
    <s v="Moses"/>
    <s v="Gabriella Moses"/>
    <s v="Gabriella"/>
    <n v="2183"/>
    <x v="0"/>
    <x v="257"/>
    <n v="3"/>
    <x v="3"/>
    <x v="2"/>
    <n v="0.1"/>
    <n v="127"/>
    <n v="1270"/>
    <n v="1143"/>
    <s v="Daniel"/>
    <n v="2183"/>
    <s v="Interview Prep"/>
    <d v="2024-07-30T00:00:00"/>
    <n v="1"/>
    <s v="Cancelled"/>
    <s v="NSW"/>
    <s v="97966 Park Avenue"/>
    <s v="Newcastle"/>
    <n v="2300"/>
    <n v="250"/>
    <n v="250"/>
    <s v="+61 6 3619 8646"/>
  </r>
  <r>
    <n v="3953"/>
    <s v="Luna"/>
    <s v="Wyatt Luna"/>
    <s v="Wyatt"/>
    <n v="2184"/>
    <x v="4"/>
    <x v="314"/>
    <n v="3"/>
    <x v="2"/>
    <x v="4"/>
    <n v="0.25"/>
    <n v="190.75"/>
    <n v="763"/>
    <n v="572.25"/>
    <s v="Terrence"/>
    <n v="2184"/>
    <s v="Mentoring program"/>
    <d v="2024-03-25T00:00:00"/>
    <n v="1"/>
    <s v="Service Booked"/>
    <s v="QLD"/>
    <s v="82748 Main Street"/>
    <s v="Gold Coast"/>
    <n v="4217"/>
    <n v="1200"/>
    <n v="1200"/>
    <s v="+61 4 7926 6885"/>
  </r>
  <r>
    <n v="3954"/>
    <s v="Clayton"/>
    <s v="Camille Clayton"/>
    <s v="Camille"/>
    <n v="2185"/>
    <x v="3"/>
    <x v="48"/>
    <n v="2"/>
    <x v="2"/>
    <x v="5"/>
    <n v="0.2"/>
    <n v="291.2"/>
    <n v="1456"/>
    <n v="1164.8"/>
    <s v="Daniel"/>
    <n v="2185"/>
    <s v="Networking Strategy"/>
    <d v="2024-02-18T00:00:00"/>
    <n v="3"/>
    <s v="Service Booked"/>
    <s v="SA"/>
    <s v="80664 Main Street"/>
    <s v="Adelaide"/>
    <n v="5000"/>
    <n v="250"/>
    <n v="750"/>
    <s v="+61 8 5225 8136"/>
  </r>
  <r>
    <n v="3955"/>
    <s v="Esparza"/>
    <s v="Connor Esparza"/>
    <s v="Connor"/>
    <n v="2186"/>
    <x v="4"/>
    <x v="42"/>
    <n v="2"/>
    <x v="3"/>
    <x v="6"/>
    <n v="0.25"/>
    <n v="299.75"/>
    <n v="1199"/>
    <n v="899.25"/>
    <s v="Priscilla"/>
    <n v="2186"/>
    <s v="Mentoring program"/>
    <d v="2024-11-09T00:00:00"/>
    <n v="2"/>
    <s v="Cancelled"/>
    <s v="TAS"/>
    <s v="85585 King Street"/>
    <s v="Devonport"/>
    <n v="7310"/>
    <n v="1200"/>
    <n v="2400"/>
    <s v="+61 8 1343 4176"/>
  </r>
  <r>
    <n v="3956"/>
    <s v="Cordova"/>
    <s v="Garrett Cordova"/>
    <s v="Garrett"/>
    <n v="2187"/>
    <x v="4"/>
    <x v="47"/>
    <n v="2"/>
    <x v="0"/>
    <x v="6"/>
    <n v="0.25"/>
    <n v="43.75"/>
    <n v="175"/>
    <n v="131.25"/>
    <s v="Priscilla"/>
    <n v="2187"/>
    <s v="Mentoring program"/>
    <d v="2024-08-01T00:00:00"/>
    <n v="1"/>
    <s v="Delivered"/>
    <s v="TAS"/>
    <s v="6792 Main Street"/>
    <s v="Devonport"/>
    <n v="7310"/>
    <n v="1200"/>
    <n v="1200"/>
    <s v="+61 4 1099 4435"/>
  </r>
  <r>
    <n v="3957"/>
    <s v="Duncan"/>
    <s v="Erick Duncan"/>
    <s v="Erick"/>
    <n v="2188"/>
    <x v="5"/>
    <x v="201"/>
    <n v="3"/>
    <x v="3"/>
    <x v="3"/>
    <n v="0.3"/>
    <n v="313.5"/>
    <n v="1045"/>
    <n v="731.5"/>
    <s v="Terrence"/>
    <n v="2188"/>
    <s v="Resume (service fee)"/>
    <d v="2024-04-05T00:00:00"/>
    <n v="3"/>
    <s v="Cancelled"/>
    <s v="VIC"/>
    <s v="61 Main Street"/>
    <s v="Melbourne"/>
    <n v="3000"/>
    <n v="600"/>
    <n v="1800"/>
    <s v="+61 9 1320 6044"/>
  </r>
  <r>
    <n v="3958"/>
    <s v="Kirk"/>
    <s v="Tobias Kirk"/>
    <s v="Tobias"/>
    <n v="2189"/>
    <x v="4"/>
    <x v="255"/>
    <n v="3"/>
    <x v="2"/>
    <x v="5"/>
    <n v="0.25"/>
    <n v="353.75"/>
    <n v="1415"/>
    <n v="1061.25"/>
    <s v="Daniel"/>
    <n v="2189"/>
    <s v="Mentoring program"/>
    <d v="2024-03-01T00:00:00"/>
    <n v="1"/>
    <s v="Service Booked"/>
    <s v="SA"/>
    <s v="64653 Main Street"/>
    <s v="Adelaide"/>
    <n v="5000"/>
    <n v="1200"/>
    <n v="1200"/>
    <s v="+61 7 4701 8525"/>
  </r>
  <r>
    <n v="3959"/>
    <s v="Floyd"/>
    <s v="Colin Floyd"/>
    <s v="Colin"/>
    <n v="2190"/>
    <x v="1"/>
    <x v="158"/>
    <n v="1"/>
    <x v="0"/>
    <x v="7"/>
    <n v="0.3"/>
    <n v="24"/>
    <n v="80"/>
    <n v="56"/>
    <s v="Brian"/>
    <n v="2190"/>
    <s v="Resume + LinkedIn Profile"/>
    <d v="2024-07-03T00:00:00"/>
    <n v="3"/>
    <s v="Delivered"/>
    <s v="NT"/>
    <s v="12837 Park Avenue"/>
    <s v="Alice Springs"/>
    <n v="870"/>
    <n v="800"/>
    <n v="2400"/>
    <s v="+61 6 2990 2237"/>
  </r>
  <r>
    <n v="3960"/>
    <s v="Rojas"/>
    <s v="Eliza Rojas"/>
    <s v="Eliza"/>
    <n v="2191"/>
    <x v="0"/>
    <x v="72"/>
    <n v="3"/>
    <x v="0"/>
    <x v="2"/>
    <n v="0.1"/>
    <n v="136.20000000000002"/>
    <n v="1362"/>
    <n v="1225.8"/>
    <s v="Brian"/>
    <n v="2191"/>
    <s v="Interview Prep"/>
    <d v="2024-04-14T00:00:00"/>
    <n v="1"/>
    <s v="Delivered"/>
    <s v="NSW"/>
    <s v="60582 Main Street"/>
    <s v="Newcastle"/>
    <n v="2300"/>
    <n v="250"/>
    <n v="250"/>
    <s v="+61 7 4788 5724"/>
  </r>
  <r>
    <n v="3961"/>
    <s v="Singh"/>
    <s v="Elise Singh"/>
    <s v="Elise"/>
    <n v="2192"/>
    <x v="5"/>
    <x v="168"/>
    <n v="3"/>
    <x v="2"/>
    <x v="4"/>
    <n v="0.3"/>
    <n v="531"/>
    <n v="1770"/>
    <n v="1239"/>
    <s v="Terrence"/>
    <n v="2192"/>
    <s v="Resume (service fee)"/>
    <d v="2024-10-31T00:00:00"/>
    <n v="2"/>
    <s v="Service Booked"/>
    <s v="QLD"/>
    <s v="82639 King Street"/>
    <s v="Brisbane"/>
    <n v="4000"/>
    <n v="600"/>
    <n v="1200"/>
    <s v="+61 3 1117 8287"/>
  </r>
  <r>
    <n v="3962"/>
    <s v="Best"/>
    <s v="Allison Best"/>
    <s v="Allison"/>
    <n v="2193"/>
    <x v="4"/>
    <x v="42"/>
    <n v="3"/>
    <x v="2"/>
    <x v="7"/>
    <n v="0.25"/>
    <n v="298"/>
    <n v="1192"/>
    <n v="894"/>
    <s v="Daniel"/>
    <n v="2193"/>
    <s v="Mentoring program"/>
    <d v="2024-11-09T00:00:00"/>
    <n v="2"/>
    <s v="Service Booked"/>
    <s v="NT"/>
    <s v="17374 Main Street"/>
    <s v="Alice Springs"/>
    <n v="870"/>
    <n v="1200"/>
    <n v="2400"/>
    <s v="+61 7 9795 2807"/>
  </r>
  <r>
    <n v="3963"/>
    <s v="Ferguson"/>
    <s v="Manuel Ferguson"/>
    <s v="Manuel"/>
    <n v="2194"/>
    <x v="2"/>
    <x v="331"/>
    <n v="2"/>
    <x v="0"/>
    <x v="5"/>
    <n v="0.25"/>
    <n v="301"/>
    <n v="1204"/>
    <n v="903"/>
    <s v="Kelly"/>
    <n v="2194"/>
    <s v="LinkedIn profile"/>
    <d v="2024-06-01T00:00:00"/>
    <n v="1"/>
    <s v="Delivered"/>
    <s v="SA"/>
    <s v="90072 King Street"/>
    <s v="Whyalla"/>
    <n v="5600"/>
    <n v="300"/>
    <n v="300"/>
    <s v="+61 5 2900 1453"/>
  </r>
  <r>
    <n v="3964"/>
    <s v="Sanford"/>
    <s v="Rosie Sanford"/>
    <s v="Rosie"/>
    <n v="2195"/>
    <x v="5"/>
    <x v="102"/>
    <n v="1"/>
    <x v="2"/>
    <x v="0"/>
    <n v="0.3"/>
    <n v="446.4"/>
    <n v="1488"/>
    <n v="1041.5999999999999"/>
    <s v="Terrence"/>
    <n v="2195"/>
    <s v="Resume (service fee)"/>
    <d v="2024-10-16T00:00:00"/>
    <n v="2"/>
    <s v="Service Booked"/>
    <s v="WA"/>
    <s v="50131 Park Avenue"/>
    <s v="Broome"/>
    <n v="6725"/>
    <n v="600"/>
    <n v="1200"/>
    <s v="+61 5 9903 5751"/>
  </r>
  <r>
    <n v="3965"/>
    <s v="Dunn"/>
    <s v="Finley Dunn"/>
    <s v="Finley"/>
    <n v="2196"/>
    <x v="3"/>
    <x v="164"/>
    <n v="3"/>
    <x v="2"/>
    <x v="3"/>
    <n v="0.2"/>
    <n v="194"/>
    <n v="970"/>
    <n v="776"/>
    <s v="Daniel"/>
    <n v="2196"/>
    <s v="Networking Strategy"/>
    <d v="2024-05-15T00:00:00"/>
    <n v="3"/>
    <s v="Service Booked"/>
    <s v="VIC"/>
    <s v="24948 Park Avenue"/>
    <s v="Geelong"/>
    <n v="3220"/>
    <n v="250"/>
    <n v="750"/>
    <s v="+61 6 5580 9209"/>
  </r>
  <r>
    <n v="3966"/>
    <s v="Kelley"/>
    <s v="Aurora Kelley"/>
    <s v="Aurora"/>
    <n v="2197"/>
    <x v="2"/>
    <x v="186"/>
    <n v="1"/>
    <x v="2"/>
    <x v="4"/>
    <n v="0.25"/>
    <n v="463"/>
    <n v="1852"/>
    <n v="1389"/>
    <s v="Daniel"/>
    <n v="2197"/>
    <s v="LinkedIn profile"/>
    <d v="2024-11-26T00:00:00"/>
    <n v="2"/>
    <s v="Service Booked"/>
    <s v="QLD"/>
    <s v="21920 Main Street"/>
    <s v="Brisbane"/>
    <n v="4000"/>
    <n v="300"/>
    <n v="600"/>
    <s v="+61 7 3713 2712"/>
  </r>
  <r>
    <n v="3967"/>
    <s v="Livingston"/>
    <s v="Dominic Livingston"/>
    <s v="Dominic"/>
    <n v="2198"/>
    <x v="5"/>
    <x v="136"/>
    <n v="3"/>
    <x v="2"/>
    <x v="7"/>
    <n v="0.3"/>
    <n v="104.7"/>
    <n v="349"/>
    <n v="244.3"/>
    <s v="Priscilla"/>
    <n v="2198"/>
    <s v="Resume (service fee)"/>
    <d v="2024-04-08T00:00:00"/>
    <n v="2"/>
    <s v="Service Booked"/>
    <s v="NT"/>
    <s v="60295 Park Avenue"/>
    <s v="Alice Springs"/>
    <n v="870"/>
    <n v="600"/>
    <n v="1200"/>
    <s v="+61 5 7778 4107"/>
  </r>
  <r>
    <n v="3968"/>
    <s v="Bailey"/>
    <s v="Kevin Bailey"/>
    <s v="Kevin"/>
    <n v="2199"/>
    <x v="0"/>
    <x v="7"/>
    <n v="1"/>
    <x v="2"/>
    <x v="5"/>
    <n v="0.1"/>
    <n v="99.4"/>
    <n v="994"/>
    <n v="894.6"/>
    <s v="Daniel"/>
    <n v="2199"/>
    <s v="Interview Prep"/>
    <d v="2024-10-26T00:00:00"/>
    <n v="3"/>
    <s v="Service Booked"/>
    <s v="SA"/>
    <s v="7319 Elizabeth Street"/>
    <s v="Mount Gambier"/>
    <n v="5290"/>
    <n v="250"/>
    <n v="750"/>
    <s v="+61 6 2311 7542"/>
  </r>
  <r>
    <n v="3969"/>
    <s v="Gardner"/>
    <s v="Karson Gardner"/>
    <s v="Karson"/>
    <n v="2200"/>
    <x v="3"/>
    <x v="32"/>
    <n v="1"/>
    <x v="2"/>
    <x v="1"/>
    <n v="0.2"/>
    <n v="230.60000000000002"/>
    <n v="1153"/>
    <n v="922.4"/>
    <s v="Brian"/>
    <n v="2200"/>
    <s v="Networking Strategy"/>
    <d v="2024-12-14T00:00:00"/>
    <n v="2"/>
    <s v="Service Booked"/>
    <s v="ACT"/>
    <s v="92135 Park Avenue"/>
    <s v="Canberra"/>
    <n v="2600"/>
    <n v="250"/>
    <n v="500"/>
    <s v="+61 4 6394 1630"/>
  </r>
  <r>
    <n v="3970"/>
    <s v="Frost"/>
    <s v="Winter Frost"/>
    <s v="Winter"/>
    <n v="2201"/>
    <x v="0"/>
    <x v="181"/>
    <n v="3"/>
    <x v="0"/>
    <x v="4"/>
    <n v="0.1"/>
    <n v="126.9"/>
    <n v="1269"/>
    <n v="1142.0999999999999"/>
    <s v="Kelly"/>
    <n v="2201"/>
    <s v="Interview Prep"/>
    <d v="2024-09-06T00:00:00"/>
    <n v="3"/>
    <s v="Delivered"/>
    <s v="QLD"/>
    <s v="45245 King Street"/>
    <s v="Brisbane"/>
    <n v="4000"/>
    <n v="250"/>
    <n v="750"/>
    <s v="+61 9 2131 1244"/>
  </r>
  <r>
    <n v="3971"/>
    <s v="Palacios"/>
    <s v="Vivian Palacios"/>
    <s v="Vivian"/>
    <n v="2202"/>
    <x v="4"/>
    <x v="288"/>
    <n v="2"/>
    <x v="0"/>
    <x v="6"/>
    <n v="0.25"/>
    <n v="137"/>
    <n v="548"/>
    <n v="411"/>
    <s v="Kelly"/>
    <n v="2202"/>
    <s v="Mentoring program"/>
    <d v="2024-01-04T00:00:00"/>
    <n v="2"/>
    <s v="Delivered"/>
    <s v="TAS"/>
    <s v="97105 Park Avenue"/>
    <s v="Launceston"/>
    <n v="7250"/>
    <n v="1200"/>
    <n v="2400"/>
    <s v="+61 4 4597 6472"/>
  </r>
  <r>
    <n v="3972"/>
    <s v="Melton"/>
    <s v="Kyle Melton"/>
    <s v="Kyle"/>
    <n v="2203"/>
    <x v="5"/>
    <x v="236"/>
    <n v="1"/>
    <x v="2"/>
    <x v="2"/>
    <n v="0.3"/>
    <n v="194.7"/>
    <n v="649"/>
    <n v="454.3"/>
    <s v="Daniel"/>
    <n v="2203"/>
    <s v="Resume (service fee)"/>
    <d v="2024-05-29T00:00:00"/>
    <n v="3"/>
    <s v="Service Booked"/>
    <s v="NSW"/>
    <s v="88585 Main Street"/>
    <s v="Wollongong"/>
    <n v="2500"/>
    <n v="600"/>
    <n v="1800"/>
    <s v="+61 8 5453 8533"/>
  </r>
  <r>
    <n v="3973"/>
    <s v="Suarez"/>
    <s v="Kate Suarez"/>
    <s v="Kate"/>
    <n v="2204"/>
    <x v="5"/>
    <x v="267"/>
    <n v="1"/>
    <x v="3"/>
    <x v="2"/>
    <n v="0.3"/>
    <n v="335.7"/>
    <n v="1119"/>
    <n v="783.3"/>
    <s v="Terrence"/>
    <n v="2204"/>
    <s v="Resume (service fee)"/>
    <d v="2024-01-31T00:00:00"/>
    <n v="1"/>
    <s v="Cancelled"/>
    <s v="NSW"/>
    <s v="42015 Main Street"/>
    <s v="Sydney"/>
    <n v="2000"/>
    <n v="600"/>
    <n v="600"/>
    <s v="+61 6 9989 9472"/>
  </r>
  <r>
    <n v="3974"/>
    <s v="Merritt"/>
    <s v="Ezra Merritt"/>
    <s v="Ezra"/>
    <n v="2205"/>
    <x v="3"/>
    <x v="342"/>
    <n v="2"/>
    <x v="1"/>
    <x v="3"/>
    <n v="0.2"/>
    <n v="160"/>
    <n v="800"/>
    <n v="640"/>
    <s v="Kelly"/>
    <n v="2205"/>
    <s v="Networking Strategy"/>
    <d v="2024-05-20T00:00:00"/>
    <n v="2"/>
    <s v="In Progress"/>
    <s v="VIC"/>
    <s v="64060 Park Avenue"/>
    <s v="Geelong"/>
    <n v="3220"/>
    <n v="250"/>
    <n v="500"/>
    <s v="+61 7 3737 7757"/>
  </r>
  <r>
    <n v="3975"/>
    <s v="Hodge"/>
    <s v="River Hodge"/>
    <s v="River"/>
    <n v="2206"/>
    <x v="4"/>
    <x v="12"/>
    <n v="3"/>
    <x v="0"/>
    <x v="5"/>
    <n v="0.25"/>
    <n v="179.5"/>
    <n v="718"/>
    <n v="538.5"/>
    <s v="Priscilla"/>
    <n v="2206"/>
    <s v="Mentoring program"/>
    <d v="2024-07-13T00:00:00"/>
    <n v="2"/>
    <s v="Delivered"/>
    <s v="SA"/>
    <s v="55106 George Street"/>
    <s v="Whyalla"/>
    <n v="5600"/>
    <n v="1200"/>
    <n v="2400"/>
    <s v="+61 6 2788 7937"/>
  </r>
  <r>
    <n v="3976"/>
    <s v="Clay"/>
    <s v="Lennox Clay"/>
    <s v="Lennox"/>
    <n v="2207"/>
    <x v="4"/>
    <x v="327"/>
    <n v="1"/>
    <x v="2"/>
    <x v="0"/>
    <n v="0.25"/>
    <n v="43.75"/>
    <n v="175"/>
    <n v="131.25"/>
    <s v="Brian"/>
    <n v="2207"/>
    <s v="Mentoring program"/>
    <d v="2024-07-19T00:00:00"/>
    <n v="1"/>
    <s v="Service Booked"/>
    <s v="WA"/>
    <s v="81501 George Street"/>
    <s v="Broome"/>
    <n v="6725"/>
    <n v="1200"/>
    <n v="1200"/>
    <s v="+61 9 4399 2405"/>
  </r>
  <r>
    <n v="3977"/>
    <s v="Knapp"/>
    <s v="Uriel Knapp"/>
    <s v="Uriel"/>
    <n v="2208"/>
    <x v="2"/>
    <x v="331"/>
    <n v="3"/>
    <x v="0"/>
    <x v="7"/>
    <n v="0.25"/>
    <n v="78.5"/>
    <n v="314"/>
    <n v="235.5"/>
    <s v="Brian"/>
    <n v="2208"/>
    <s v="LinkedIn profile"/>
    <d v="2024-06-01T00:00:00"/>
    <n v="3"/>
    <s v="Delivered"/>
    <s v="NT"/>
    <s v="91761 Main Street"/>
    <s v="Darwin"/>
    <n v="800"/>
    <n v="300"/>
    <n v="900"/>
    <s v="+61 3 2484 4174"/>
  </r>
  <r>
    <n v="3978"/>
    <s v="Sexton"/>
    <s v="Stella Sexton"/>
    <s v="Stella"/>
    <n v="2209"/>
    <x v="3"/>
    <x v="109"/>
    <n v="2"/>
    <x v="0"/>
    <x v="2"/>
    <n v="0.2"/>
    <n v="82"/>
    <n v="410"/>
    <n v="328"/>
    <s v="Kelly"/>
    <n v="2209"/>
    <s v="Networking Strategy"/>
    <d v="2024-01-14T00:00:00"/>
    <n v="3"/>
    <s v="Delivered"/>
    <s v="NSW"/>
    <s v="35914 Elizabeth Street"/>
    <s v="Sydney"/>
    <n v="2000"/>
    <n v="250"/>
    <n v="750"/>
    <s v="+61 6 9053 9128"/>
  </r>
  <r>
    <n v="3979"/>
    <s v="Luna"/>
    <s v="Sebastian Luna"/>
    <s v="Sebastian"/>
    <n v="2210"/>
    <x v="4"/>
    <x v="343"/>
    <n v="3"/>
    <x v="0"/>
    <x v="5"/>
    <n v="0.25"/>
    <n v="430.75"/>
    <n v="1723"/>
    <n v="1292.25"/>
    <s v="Kelly"/>
    <n v="2210"/>
    <s v="Mentoring program"/>
    <d v="2024-04-10T00:00:00"/>
    <n v="3"/>
    <s v="Delivered"/>
    <s v="SA"/>
    <s v="53193 Park Avenue"/>
    <s v="Mount Gambier"/>
    <n v="5290"/>
    <n v="1200"/>
    <n v="3600"/>
    <s v="+61 4 3324 8517"/>
  </r>
  <r>
    <n v="3980"/>
    <s v="Kirby"/>
    <s v="Sarai Kirby"/>
    <s v="Sarai"/>
    <n v="2211"/>
    <x v="5"/>
    <x v="75"/>
    <n v="2"/>
    <x v="2"/>
    <x v="6"/>
    <n v="0.3"/>
    <n v="350.09999999999997"/>
    <n v="1167"/>
    <n v="816.90000000000009"/>
    <s v="Priscilla"/>
    <n v="2211"/>
    <s v="Resume (service fee)"/>
    <d v="2024-09-26T00:00:00"/>
    <n v="1"/>
    <s v="Service Booked"/>
    <s v="TAS"/>
    <s v="12522 Park Avenue"/>
    <s v="Hobart"/>
    <n v="7000"/>
    <n v="600"/>
    <n v="600"/>
    <s v="+61 4 7253 6518"/>
  </r>
  <r>
    <n v="3981"/>
    <s v="Daugherty"/>
    <s v="Aaliyah Daugherty"/>
    <s v="Aaliyah"/>
    <n v="2212"/>
    <x v="1"/>
    <x v="219"/>
    <n v="3"/>
    <x v="2"/>
    <x v="6"/>
    <n v="0.3"/>
    <n v="551.1"/>
    <n v="1837"/>
    <n v="1285.9000000000001"/>
    <s v="Brian"/>
    <n v="2212"/>
    <s v="Resume + LinkedIn Profile"/>
    <d v="2024-07-11T00:00:00"/>
    <n v="2"/>
    <s v="Service Booked"/>
    <s v="TAS"/>
    <s v="36027 George Street"/>
    <s v="Devonport"/>
    <n v="7310"/>
    <n v="800"/>
    <n v="1600"/>
    <s v="+61 5 3204 3367"/>
  </r>
  <r>
    <n v="3982"/>
    <s v="Armstrong"/>
    <s v="King Armstrong"/>
    <s v="King"/>
    <n v="2213"/>
    <x v="4"/>
    <x v="199"/>
    <n v="2"/>
    <x v="3"/>
    <x v="7"/>
    <n v="0.25"/>
    <n v="405.5"/>
    <n v="1622"/>
    <n v="1216.5"/>
    <s v="Kelly"/>
    <n v="2213"/>
    <s v="Mentoring program"/>
    <d v="2024-01-16T00:00:00"/>
    <n v="2"/>
    <s v="Cancelled"/>
    <s v="NT"/>
    <s v="81100 King Street"/>
    <s v="Darwin"/>
    <n v="800"/>
    <n v="1200"/>
    <n v="2400"/>
    <s v="+61 3 9151 1956"/>
  </r>
  <r>
    <n v="3983"/>
    <s v="Frost"/>
    <s v="Jordan Frost"/>
    <s v="Jordan"/>
    <n v="2214"/>
    <x v="1"/>
    <x v="239"/>
    <n v="2"/>
    <x v="2"/>
    <x v="5"/>
    <n v="0.3"/>
    <n v="423.3"/>
    <n v="1411"/>
    <n v="987.7"/>
    <s v="Kelly"/>
    <n v="2214"/>
    <s v="Resume + LinkedIn Profile"/>
    <d v="2024-03-02T00:00:00"/>
    <n v="1"/>
    <s v="Service Booked"/>
    <s v="SA"/>
    <s v="89174 George Street"/>
    <s v="Whyalla"/>
    <n v="5600"/>
    <n v="800"/>
    <n v="800"/>
    <s v="+61 6 3844 8232"/>
  </r>
  <r>
    <n v="3984"/>
    <s v="Rhodes"/>
    <s v="Angelo Rhodes"/>
    <s v="Angelo"/>
    <n v="2215"/>
    <x v="0"/>
    <x v="265"/>
    <n v="1"/>
    <x v="2"/>
    <x v="3"/>
    <n v="0.1"/>
    <n v="30.5"/>
    <n v="305"/>
    <n v="274.5"/>
    <s v="Brian"/>
    <n v="2215"/>
    <s v="Interview Prep"/>
    <d v="2024-02-29T00:00:00"/>
    <n v="2"/>
    <s v="Service Booked"/>
    <s v="VIC"/>
    <s v="74531 Main Street"/>
    <s v="Melbourne"/>
    <n v="3000"/>
    <n v="250"/>
    <n v="500"/>
    <s v="+61 6 8464 1720"/>
  </r>
  <r>
    <n v="3985"/>
    <s v="Lucas"/>
    <s v="Ruth Lucas"/>
    <s v="Ruth"/>
    <n v="2216"/>
    <x v="2"/>
    <x v="16"/>
    <n v="3"/>
    <x v="2"/>
    <x v="0"/>
    <n v="0.25"/>
    <n v="379"/>
    <n v="1516"/>
    <n v="1137"/>
    <s v="Terrence"/>
    <n v="2216"/>
    <s v="LinkedIn profile"/>
    <d v="2024-12-19T00:00:00"/>
    <n v="3"/>
    <s v="Service Booked"/>
    <s v="WA"/>
    <s v="23943 Park Avenue"/>
    <s v="Fremantle"/>
    <n v="6160"/>
    <n v="300"/>
    <n v="900"/>
    <s v="+61 5 2454 7375"/>
  </r>
  <r>
    <n v="3986"/>
    <s v="Rice"/>
    <s v="Zayne Rice"/>
    <s v="Zayne"/>
    <n v="2217"/>
    <x v="4"/>
    <x v="30"/>
    <n v="1"/>
    <x v="2"/>
    <x v="1"/>
    <n v="0.25"/>
    <n v="247.75"/>
    <n v="991"/>
    <n v="743.25"/>
    <s v="Daniel"/>
    <n v="2217"/>
    <s v="Mentoring program"/>
    <d v="2024-12-20T00:00:00"/>
    <n v="2"/>
    <s v="Service Booked"/>
    <s v="ACT"/>
    <s v="24211 King Street"/>
    <s v="Canberra"/>
    <n v="2600"/>
    <n v="1200"/>
    <n v="2400"/>
    <s v="+61 8 3726 3115"/>
  </r>
  <r>
    <n v="3987"/>
    <s v="Zuniga"/>
    <s v="Miracle Zuniga"/>
    <s v="Miracle"/>
    <n v="2218"/>
    <x v="4"/>
    <x v="283"/>
    <n v="3"/>
    <x v="0"/>
    <x v="1"/>
    <n v="0.25"/>
    <n v="217.75"/>
    <n v="871"/>
    <n v="653.25"/>
    <s v="Priscilla"/>
    <n v="2218"/>
    <s v="Mentoring program"/>
    <d v="2024-09-16T00:00:00"/>
    <n v="1"/>
    <s v="Delivered"/>
    <s v="ACT"/>
    <s v="12642 Elizabeth Street"/>
    <s v="Canberra"/>
    <n v="2600"/>
    <n v="1200"/>
    <n v="1200"/>
    <s v="+61 2 4360 3933"/>
  </r>
  <r>
    <n v="3988"/>
    <s v="Clements"/>
    <s v="Blair Clements"/>
    <s v="Blair"/>
    <n v="2219"/>
    <x v="4"/>
    <x v="158"/>
    <n v="1"/>
    <x v="2"/>
    <x v="3"/>
    <n v="0.25"/>
    <n v="125.25"/>
    <n v="501"/>
    <n v="375.75"/>
    <s v="Kelly"/>
    <n v="2219"/>
    <s v="Mentoring program"/>
    <d v="2024-07-03T00:00:00"/>
    <n v="3"/>
    <s v="Service Booked"/>
    <s v="VIC"/>
    <s v="35284 Elizabeth Street"/>
    <s v="Melbourne"/>
    <n v="3000"/>
    <n v="1200"/>
    <n v="3600"/>
    <s v="+61 7 9552 2775"/>
  </r>
  <r>
    <n v="3989"/>
    <s v="Butler"/>
    <s v="Natalie Butler"/>
    <s v="Natalie"/>
    <n v="2220"/>
    <x v="2"/>
    <x v="277"/>
    <n v="3"/>
    <x v="2"/>
    <x v="7"/>
    <n v="0.25"/>
    <n v="73.25"/>
    <n v="293"/>
    <n v="219.75"/>
    <s v="Kelly"/>
    <n v="2220"/>
    <s v="LinkedIn profile"/>
    <d v="2024-07-26T00:00:00"/>
    <n v="3"/>
    <s v="Service Booked"/>
    <s v="NT"/>
    <s v="53445 George Street"/>
    <s v="Darwin"/>
    <n v="800"/>
    <n v="300"/>
    <n v="900"/>
    <s v="+61 7 6139 7130"/>
  </r>
  <r>
    <n v="3990"/>
    <s v="Patel"/>
    <s v="Elian Patel"/>
    <s v="Elian"/>
    <n v="2221"/>
    <x v="4"/>
    <x v="54"/>
    <n v="3"/>
    <x v="2"/>
    <x v="4"/>
    <n v="0.25"/>
    <n v="88.25"/>
    <n v="353"/>
    <n v="264.75"/>
    <s v="Kelly"/>
    <n v="2221"/>
    <s v="Mentoring program"/>
    <d v="2024-10-24T00:00:00"/>
    <n v="3"/>
    <s v="Service Booked"/>
    <s v="QLD"/>
    <s v="59332 Main Street"/>
    <s v="Brisbane"/>
    <n v="4000"/>
    <n v="1200"/>
    <n v="3600"/>
    <s v="+61 2 2779 7465"/>
  </r>
  <r>
    <n v="3991"/>
    <s v="Gonzalez"/>
    <s v="Sterling Gonzalez"/>
    <s v="Sterling"/>
    <n v="2222"/>
    <x v="4"/>
    <x v="59"/>
    <n v="3"/>
    <x v="0"/>
    <x v="0"/>
    <n v="0.25"/>
    <n v="62.5"/>
    <n v="250"/>
    <n v="187.5"/>
    <s v="Terrence"/>
    <n v="2222"/>
    <s v="Mentoring program"/>
    <d v="2024-04-22T00:00:00"/>
    <n v="3"/>
    <s v="Delivered"/>
    <s v="WA"/>
    <s v="68826 King Street"/>
    <s v="Fremantle"/>
    <n v="6160"/>
    <n v="1200"/>
    <n v="3600"/>
    <s v="+61 4 9335 8082"/>
  </r>
  <r>
    <n v="3992"/>
    <s v="Holmes"/>
    <s v="Bentley Holmes"/>
    <s v="Bentley"/>
    <n v="2223"/>
    <x v="2"/>
    <x v="79"/>
    <n v="2"/>
    <x v="2"/>
    <x v="7"/>
    <n v="0.25"/>
    <n v="25.5"/>
    <n v="102"/>
    <n v="76.5"/>
    <s v="Terrence"/>
    <n v="2223"/>
    <s v="LinkedIn profile"/>
    <d v="2024-08-14T00:00:00"/>
    <n v="2"/>
    <s v="Service Booked"/>
    <s v="NT"/>
    <s v="42213 Park Avenue"/>
    <s v="Darwin"/>
    <n v="800"/>
    <n v="300"/>
    <n v="600"/>
    <s v="+61 3 2507 8397"/>
  </r>
  <r>
    <n v="3993"/>
    <s v="Sims"/>
    <s v="Frederick Sims"/>
    <s v="Frederick"/>
    <n v="2224"/>
    <x v="3"/>
    <x v="305"/>
    <n v="3"/>
    <x v="0"/>
    <x v="6"/>
    <n v="0.2"/>
    <n v="168.60000000000002"/>
    <n v="843"/>
    <n v="674.4"/>
    <s v="Kelly"/>
    <n v="2224"/>
    <s v="Networking Strategy"/>
    <d v="2024-05-25T00:00:00"/>
    <n v="2"/>
    <s v="Delivered"/>
    <s v="TAS"/>
    <s v="42709 Main Street"/>
    <s v="Devonport"/>
    <n v="7310"/>
    <n v="250"/>
    <n v="500"/>
    <s v="+61 8 7094 4903"/>
  </r>
  <r>
    <n v="3994"/>
    <s v="Shields"/>
    <s v="Elliot Shields"/>
    <s v="Elliot"/>
    <n v="2225"/>
    <x v="5"/>
    <x v="195"/>
    <n v="3"/>
    <x v="0"/>
    <x v="0"/>
    <n v="0.3"/>
    <n v="331.5"/>
    <n v="1105"/>
    <n v="773.5"/>
    <s v="Terrence"/>
    <n v="2225"/>
    <s v="Resume (service fee)"/>
    <d v="2024-04-13T00:00:00"/>
    <n v="1"/>
    <s v="Delivered"/>
    <s v="WA"/>
    <s v="46201 Elizabeth Street"/>
    <s v="Broome"/>
    <n v="6725"/>
    <n v="600"/>
    <n v="600"/>
    <s v="+61 8 5129 7834"/>
  </r>
  <r>
    <n v="3995"/>
    <s v="Green"/>
    <s v="Ezra Green"/>
    <s v="Ezra"/>
    <n v="2226"/>
    <x v="5"/>
    <x v="23"/>
    <n v="3"/>
    <x v="0"/>
    <x v="2"/>
    <n v="0.3"/>
    <n v="64.5"/>
    <n v="215"/>
    <n v="150.5"/>
    <s v="Daniel"/>
    <n v="2226"/>
    <s v="Resume (service fee)"/>
    <d v="2024-01-28T00:00:00"/>
    <n v="1"/>
    <s v="Delivered"/>
    <s v="NSW"/>
    <s v="97707 King Street"/>
    <s v="Wollongong"/>
    <n v="2500"/>
    <n v="600"/>
    <n v="600"/>
    <s v="+61 8 1903 8758"/>
  </r>
  <r>
    <n v="3996"/>
    <s v="Robbins"/>
    <s v="Crew Robbins"/>
    <s v="Crew"/>
    <n v="2227"/>
    <x v="4"/>
    <x v="32"/>
    <n v="3"/>
    <x v="2"/>
    <x v="4"/>
    <n v="0.25"/>
    <n v="466.25"/>
    <n v="1865"/>
    <n v="1398.75"/>
    <s v="Daniel"/>
    <n v="2227"/>
    <s v="Mentoring program"/>
    <d v="2024-12-14T00:00:00"/>
    <n v="3"/>
    <s v="Service Booked"/>
    <s v="QLD"/>
    <s v="41150 Main Street"/>
    <s v="Cairns"/>
    <n v="4870"/>
    <n v="1200"/>
    <n v="3600"/>
    <s v="+61 7 7694 6913"/>
  </r>
  <r>
    <n v="3997"/>
    <s v="Salinas"/>
    <s v="Willow Salinas"/>
    <s v="Willow"/>
    <n v="2228"/>
    <x v="5"/>
    <x v="154"/>
    <n v="2"/>
    <x v="3"/>
    <x v="3"/>
    <n v="0.3"/>
    <n v="315"/>
    <n v="1050"/>
    <n v="735"/>
    <s v="Kelly"/>
    <n v="2228"/>
    <s v="Resume (service fee)"/>
    <d v="2024-04-04T00:00:00"/>
    <n v="1"/>
    <s v="Cancelled"/>
    <s v="VIC"/>
    <s v="59307 King Street"/>
    <s v="Melbourne"/>
    <n v="3000"/>
    <n v="600"/>
    <n v="600"/>
    <s v="+61 3 1902 6560"/>
  </r>
  <r>
    <n v="3998"/>
    <s v="Bond"/>
    <s v="Malachi Bond"/>
    <s v="Malachi"/>
    <n v="2229"/>
    <x v="4"/>
    <x v="193"/>
    <n v="3"/>
    <x v="2"/>
    <x v="0"/>
    <n v="0.25"/>
    <n v="264.75"/>
    <n v="1059"/>
    <n v="794.25"/>
    <s v="Daniel"/>
    <n v="2229"/>
    <s v="Mentoring program"/>
    <d v="2024-06-24T00:00:00"/>
    <n v="3"/>
    <s v="Service Booked"/>
    <s v="WA"/>
    <s v="84856 Main Street"/>
    <s v="Broome"/>
    <n v="6725"/>
    <n v="1200"/>
    <n v="3600"/>
    <s v="+61 5 3178 5577"/>
  </r>
  <r>
    <n v="3999"/>
    <s v="Willis"/>
    <s v="Patrick Willis"/>
    <s v="Patrick"/>
    <n v="2230"/>
    <x v="4"/>
    <x v="216"/>
    <n v="3"/>
    <x v="2"/>
    <x v="5"/>
    <n v="0.25"/>
    <n v="279"/>
    <n v="1116"/>
    <n v="837"/>
    <s v="Priscilla"/>
    <n v="2230"/>
    <s v="Mentoring program"/>
    <d v="2024-05-11T00:00:00"/>
    <n v="2"/>
    <s v="Service Booked"/>
    <s v="SA"/>
    <s v="49165 King Street"/>
    <s v="Mount Gambier"/>
    <n v="5290"/>
    <n v="1200"/>
    <n v="2400"/>
    <s v="+61 2 5468 5892"/>
  </r>
  <r>
    <n v="4000"/>
    <s v="Compton"/>
    <s v="Dallas Compton"/>
    <s v="Dallas"/>
    <n v="2231"/>
    <x v="3"/>
    <x v="271"/>
    <n v="2"/>
    <x v="0"/>
    <x v="5"/>
    <n v="0.2"/>
    <n v="9.8000000000000007"/>
    <n v="49"/>
    <n v="39.200000000000003"/>
    <s v="Brian"/>
    <n v="2231"/>
    <s v="Networking Strategy"/>
    <d v="2024-01-09T00:00:00"/>
    <n v="1"/>
    <s v="Delivered"/>
    <s v="SA"/>
    <s v="1339 Elizabeth Street"/>
    <s v="Mount Gambier"/>
    <n v="5290"/>
    <n v="250"/>
    <n v="250"/>
    <s v="+61 8 8824 74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D1B60E-B54E-474A-96CB-DFA551C6C7BB}" name="KPIs" cacheId="0" applyNumberFormats="0" applyBorderFormats="0" applyFontFormats="0" applyPatternFormats="0" applyAlignmentFormats="0" applyWidthHeightFormats="1" dataCaption="Values" updatedVersion="8" minRefreshableVersion="3" enableDrill="0" useAutoFormatting="1" itemPrintTitles="1" createdVersion="8" indent="0" showHeaders="0" outline="1" outlineData="1" multipleFieldFilters="0">
  <location ref="C17:E18" firstHeaderRow="0" firstDataRow="1" firstDataCol="0"/>
  <pivotFields count="29">
    <pivotField dataField="1" showAll="0"/>
    <pivotField showAll="0"/>
    <pivotField showAll="0"/>
    <pivotField showAll="0"/>
    <pivotField showAll="0"/>
    <pivotField showAll="0"/>
    <pivotField numFmtId="14" showAll="0">
      <items count="345">
        <item x="118"/>
        <item x="324"/>
        <item x="289"/>
        <item x="288"/>
        <item x="266"/>
        <item x="36"/>
        <item x="148"/>
        <item x="311"/>
        <item x="271"/>
        <item x="26"/>
        <item x="321"/>
        <item x="109"/>
        <item x="192"/>
        <item x="199"/>
        <item x="19"/>
        <item x="132"/>
        <item x="119"/>
        <item x="284"/>
        <item x="333"/>
        <item x="63"/>
        <item x="84"/>
        <item x="293"/>
        <item x="11"/>
        <item x="13"/>
        <item x="23"/>
        <item x="51"/>
        <item x="267"/>
        <item x="272"/>
        <item x="50"/>
        <item x="205"/>
        <item x="55"/>
        <item x="323"/>
        <item x="260"/>
        <item x="8"/>
        <item x="45"/>
        <item x="115"/>
        <item x="180"/>
        <item x="203"/>
        <item x="263"/>
        <item x="160"/>
        <item x="146"/>
        <item x="258"/>
        <item x="48"/>
        <item x="252"/>
        <item x="304"/>
        <item x="104"/>
        <item x="125"/>
        <item x="131"/>
        <item x="225"/>
        <item x="297"/>
        <item x="27"/>
        <item x="238"/>
        <item x="189"/>
        <item x="265"/>
        <item x="255"/>
        <item x="239"/>
        <item x="66"/>
        <item x="156"/>
        <item x="172"/>
        <item x="171"/>
        <item x="290"/>
        <item x="89"/>
        <item x="29"/>
        <item x="74"/>
        <item x="207"/>
        <item x="159"/>
        <item x="174"/>
        <item x="110"/>
        <item x="49"/>
        <item x="6"/>
        <item x="240"/>
        <item x="56"/>
        <item x="151"/>
        <item x="218"/>
        <item x="163"/>
        <item x="254"/>
        <item x="314"/>
        <item x="242"/>
        <item x="90"/>
        <item x="227"/>
        <item x="62"/>
        <item x="315"/>
        <item x="296"/>
        <item x="150"/>
        <item x="154"/>
        <item x="201"/>
        <item x="116"/>
        <item x="144"/>
        <item x="136"/>
        <item x="157"/>
        <item x="343"/>
        <item x="329"/>
        <item x="292"/>
        <item x="195"/>
        <item x="72"/>
        <item x="85"/>
        <item x="113"/>
        <item x="22"/>
        <item x="214"/>
        <item x="270"/>
        <item x="145"/>
        <item x="59"/>
        <item x="126"/>
        <item x="92"/>
        <item x="97"/>
        <item x="190"/>
        <item x="179"/>
        <item x="83"/>
        <item x="103"/>
        <item x="204"/>
        <item x="10"/>
        <item x="247"/>
        <item x="206"/>
        <item x="183"/>
        <item x="0"/>
        <item x="256"/>
        <item x="217"/>
        <item x="262"/>
        <item x="216"/>
        <item x="268"/>
        <item x="167"/>
        <item x="325"/>
        <item x="164"/>
        <item x="185"/>
        <item x="123"/>
        <item x="93"/>
        <item x="39"/>
        <item x="342"/>
        <item x="295"/>
        <item x="184"/>
        <item x="46"/>
        <item x="305"/>
        <item x="95"/>
        <item x="246"/>
        <item x="65"/>
        <item x="236"/>
        <item x="221"/>
        <item x="250"/>
        <item x="331"/>
        <item x="234"/>
        <item x="58"/>
        <item x="112"/>
        <item x="5"/>
        <item x="37"/>
        <item x="312"/>
        <item x="285"/>
        <item x="100"/>
        <item x="298"/>
        <item x="18"/>
        <item x="220"/>
        <item x="187"/>
        <item x="21"/>
        <item x="211"/>
        <item x="226"/>
        <item x="341"/>
        <item x="138"/>
        <item x="291"/>
        <item x="196"/>
        <item x="335"/>
        <item x="124"/>
        <item x="193"/>
        <item x="182"/>
        <item x="3"/>
        <item x="306"/>
        <item x="143"/>
        <item x="337"/>
        <item x="14"/>
        <item x="86"/>
        <item x="67"/>
        <item x="158"/>
        <item x="316"/>
        <item x="294"/>
        <item x="328"/>
        <item x="106"/>
        <item x="108"/>
        <item x="231"/>
        <item x="219"/>
        <item x="70"/>
        <item x="12"/>
        <item x="2"/>
        <item x="82"/>
        <item x="105"/>
        <item x="101"/>
        <item x="1"/>
        <item x="327"/>
        <item x="99"/>
        <item x="128"/>
        <item x="208"/>
        <item x="269"/>
        <item x="162"/>
        <item x="277"/>
        <item x="127"/>
        <item x="241"/>
        <item x="309"/>
        <item x="257"/>
        <item x="202"/>
        <item x="47"/>
        <item x="235"/>
        <item x="232"/>
        <item x="334"/>
        <item x="175"/>
        <item x="259"/>
        <item x="330"/>
        <item x="317"/>
        <item x="78"/>
        <item x="245"/>
        <item x="25"/>
        <item x="15"/>
        <item x="79"/>
        <item x="91"/>
        <item x="135"/>
        <item x="120"/>
        <item x="318"/>
        <item x="313"/>
        <item x="17"/>
        <item x="215"/>
        <item x="243"/>
        <item x="77"/>
        <item x="261"/>
        <item x="28"/>
        <item x="33"/>
        <item x="53"/>
        <item x="114"/>
        <item x="73"/>
        <item x="310"/>
        <item x="170"/>
        <item x="34"/>
        <item x="191"/>
        <item x="253"/>
        <item x="198"/>
        <item x="61"/>
        <item x="181"/>
        <item x="71"/>
        <item x="134"/>
        <item x="332"/>
        <item x="165"/>
        <item x="121"/>
        <item x="320"/>
        <item x="281"/>
        <item x="278"/>
        <item x="41"/>
        <item x="283"/>
        <item x="147"/>
        <item x="173"/>
        <item x="177"/>
        <item x="38"/>
        <item x="60"/>
        <item x="280"/>
        <item x="24"/>
        <item x="87"/>
        <item x="75"/>
        <item x="213"/>
        <item x="44"/>
        <item x="229"/>
        <item x="244"/>
        <item x="279"/>
        <item x="122"/>
        <item x="276"/>
        <item x="141"/>
        <item x="149"/>
        <item x="40"/>
        <item x="248"/>
        <item x="166"/>
        <item x="169"/>
        <item x="210"/>
        <item x="139"/>
        <item x="336"/>
        <item x="273"/>
        <item x="303"/>
        <item x="102"/>
        <item x="237"/>
        <item x="340"/>
        <item x="308"/>
        <item x="200"/>
        <item x="286"/>
        <item x="31"/>
        <item x="54"/>
        <item x="230"/>
        <item x="7"/>
        <item x="287"/>
        <item x="275"/>
        <item x="68"/>
        <item x="299"/>
        <item x="168"/>
        <item x="52"/>
        <item x="153"/>
        <item x="155"/>
        <item x="319"/>
        <item x="300"/>
        <item x="251"/>
        <item x="188"/>
        <item x="228"/>
        <item x="42"/>
        <item x="197"/>
        <item x="152"/>
        <item x="249"/>
        <item x="88"/>
        <item x="307"/>
        <item x="176"/>
        <item x="57"/>
        <item x="209"/>
        <item x="133"/>
        <item x="20"/>
        <item x="96"/>
        <item x="274"/>
        <item x="233"/>
        <item x="94"/>
        <item x="142"/>
        <item x="111"/>
        <item x="186"/>
        <item x="326"/>
        <item x="4"/>
        <item x="301"/>
        <item x="80"/>
        <item x="264"/>
        <item x="222"/>
        <item x="137"/>
        <item x="81"/>
        <item x="178"/>
        <item x="194"/>
        <item x="35"/>
        <item x="140"/>
        <item x="9"/>
        <item x="64"/>
        <item x="130"/>
        <item x="117"/>
        <item x="32"/>
        <item x="322"/>
        <item x="76"/>
        <item x="338"/>
        <item x="161"/>
        <item x="16"/>
        <item x="30"/>
        <item x="302"/>
        <item x="43"/>
        <item x="223"/>
        <item x="129"/>
        <item x="98"/>
        <item x="339"/>
        <item x="107"/>
        <item x="282"/>
        <item x="212"/>
        <item x="224"/>
        <item x="69"/>
        <item t="default"/>
      </items>
    </pivotField>
    <pivotField showAll="0"/>
    <pivotField showAll="0"/>
    <pivotField showAll="0">
      <items count="9">
        <item x="1"/>
        <item x="2"/>
        <item x="7"/>
        <item x="4"/>
        <item x="5"/>
        <item x="6"/>
        <item x="3"/>
        <item x="0"/>
        <item t="default"/>
      </items>
    </pivotField>
    <pivotField showAll="0"/>
    <pivotField showAll="0"/>
    <pivotField dataField="1"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Sale Price " fld="12" baseField="0" baseItem="0"/>
    <dataField name="Sum of Total Profit (GMROI)" fld="13"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7B6EE5-C081-CE4E-9618-63C214DB35BA}" name="Top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29">
    <pivotField dataField="1" showAll="0"/>
    <pivotField showAll="0"/>
    <pivotField showAll="0"/>
    <pivotField showAll="0"/>
    <pivotField showAll="0"/>
    <pivotField axis="axisRow" showAll="0" sortType="descending">
      <items count="7">
        <item x="0"/>
        <item x="2"/>
        <item x="4"/>
        <item x="3"/>
        <item x="5"/>
        <item x="1"/>
        <item t="default"/>
      </items>
      <autoSortScope>
        <pivotArea dataOnly="0" outline="0" fieldPosition="0">
          <references count="1">
            <reference field="4294967294" count="1" selected="0">
              <x v="0"/>
            </reference>
          </references>
        </pivotArea>
      </autoSortScope>
    </pivotField>
    <pivotField numFmtId="14" showAll="0">
      <items count="345">
        <item x="118"/>
        <item x="324"/>
        <item x="289"/>
        <item x="288"/>
        <item x="266"/>
        <item x="36"/>
        <item x="148"/>
        <item x="311"/>
        <item x="271"/>
        <item x="26"/>
        <item x="321"/>
        <item x="109"/>
        <item x="192"/>
        <item x="199"/>
        <item x="19"/>
        <item x="132"/>
        <item x="119"/>
        <item x="284"/>
        <item x="333"/>
        <item x="63"/>
        <item x="84"/>
        <item x="293"/>
        <item x="11"/>
        <item x="13"/>
        <item x="23"/>
        <item x="51"/>
        <item x="267"/>
        <item x="272"/>
        <item x="50"/>
        <item x="205"/>
        <item x="55"/>
        <item x="323"/>
        <item x="260"/>
        <item x="8"/>
        <item x="45"/>
        <item x="115"/>
        <item x="180"/>
        <item x="203"/>
        <item x="263"/>
        <item x="160"/>
        <item x="146"/>
        <item x="258"/>
        <item x="48"/>
        <item x="252"/>
        <item x="304"/>
        <item x="104"/>
        <item x="125"/>
        <item x="131"/>
        <item x="225"/>
        <item x="297"/>
        <item x="27"/>
        <item x="238"/>
        <item x="189"/>
        <item x="265"/>
        <item x="255"/>
        <item x="239"/>
        <item x="66"/>
        <item x="156"/>
        <item x="172"/>
        <item x="171"/>
        <item x="290"/>
        <item x="89"/>
        <item x="29"/>
        <item x="74"/>
        <item x="207"/>
        <item x="159"/>
        <item x="174"/>
        <item x="110"/>
        <item x="49"/>
        <item x="6"/>
        <item x="240"/>
        <item x="56"/>
        <item x="151"/>
        <item x="218"/>
        <item x="163"/>
        <item x="254"/>
        <item x="314"/>
        <item x="242"/>
        <item x="90"/>
        <item x="227"/>
        <item x="62"/>
        <item x="315"/>
        <item x="296"/>
        <item x="150"/>
        <item x="154"/>
        <item x="201"/>
        <item x="116"/>
        <item x="144"/>
        <item x="136"/>
        <item x="157"/>
        <item x="343"/>
        <item x="329"/>
        <item x="292"/>
        <item x="195"/>
        <item x="72"/>
        <item x="85"/>
        <item x="113"/>
        <item x="22"/>
        <item x="214"/>
        <item x="270"/>
        <item x="145"/>
        <item x="59"/>
        <item x="126"/>
        <item x="92"/>
        <item x="97"/>
        <item x="190"/>
        <item x="179"/>
        <item x="83"/>
        <item x="103"/>
        <item x="204"/>
        <item x="10"/>
        <item x="247"/>
        <item x="206"/>
        <item x="183"/>
        <item x="0"/>
        <item x="256"/>
        <item x="217"/>
        <item x="262"/>
        <item x="216"/>
        <item x="268"/>
        <item x="167"/>
        <item x="325"/>
        <item x="164"/>
        <item x="185"/>
        <item x="123"/>
        <item x="93"/>
        <item x="39"/>
        <item x="342"/>
        <item x="295"/>
        <item x="184"/>
        <item x="46"/>
        <item x="305"/>
        <item x="95"/>
        <item x="246"/>
        <item x="65"/>
        <item x="236"/>
        <item x="221"/>
        <item x="250"/>
        <item x="331"/>
        <item x="234"/>
        <item x="58"/>
        <item x="112"/>
        <item x="5"/>
        <item x="37"/>
        <item x="312"/>
        <item x="285"/>
        <item x="100"/>
        <item x="298"/>
        <item x="18"/>
        <item x="220"/>
        <item x="187"/>
        <item x="21"/>
        <item x="211"/>
        <item x="226"/>
        <item x="341"/>
        <item x="138"/>
        <item x="291"/>
        <item x="196"/>
        <item x="335"/>
        <item x="124"/>
        <item x="193"/>
        <item x="182"/>
        <item x="3"/>
        <item x="306"/>
        <item x="143"/>
        <item x="337"/>
        <item x="14"/>
        <item x="86"/>
        <item x="67"/>
        <item x="158"/>
        <item x="316"/>
        <item x="294"/>
        <item x="328"/>
        <item x="106"/>
        <item x="108"/>
        <item x="231"/>
        <item x="219"/>
        <item x="70"/>
        <item x="12"/>
        <item x="2"/>
        <item x="82"/>
        <item x="105"/>
        <item x="101"/>
        <item x="1"/>
        <item x="327"/>
        <item x="99"/>
        <item x="128"/>
        <item x="208"/>
        <item x="269"/>
        <item x="162"/>
        <item x="277"/>
        <item x="127"/>
        <item x="241"/>
        <item x="309"/>
        <item x="257"/>
        <item x="202"/>
        <item x="47"/>
        <item x="235"/>
        <item x="232"/>
        <item x="334"/>
        <item x="175"/>
        <item x="259"/>
        <item x="330"/>
        <item x="317"/>
        <item x="78"/>
        <item x="245"/>
        <item x="25"/>
        <item x="15"/>
        <item x="79"/>
        <item x="91"/>
        <item x="135"/>
        <item x="120"/>
        <item x="318"/>
        <item x="313"/>
        <item x="17"/>
        <item x="215"/>
        <item x="243"/>
        <item x="77"/>
        <item x="261"/>
        <item x="28"/>
        <item x="33"/>
        <item x="53"/>
        <item x="114"/>
        <item x="73"/>
        <item x="310"/>
        <item x="170"/>
        <item x="34"/>
        <item x="191"/>
        <item x="253"/>
        <item x="198"/>
        <item x="61"/>
        <item x="181"/>
        <item x="71"/>
        <item x="134"/>
        <item x="332"/>
        <item x="165"/>
        <item x="121"/>
        <item x="320"/>
        <item x="281"/>
        <item x="278"/>
        <item x="41"/>
        <item x="283"/>
        <item x="147"/>
        <item x="173"/>
        <item x="177"/>
        <item x="38"/>
        <item x="60"/>
        <item x="280"/>
        <item x="24"/>
        <item x="87"/>
        <item x="75"/>
        <item x="213"/>
        <item x="44"/>
        <item x="229"/>
        <item x="244"/>
        <item x="279"/>
        <item x="122"/>
        <item x="276"/>
        <item x="141"/>
        <item x="149"/>
        <item x="40"/>
        <item x="248"/>
        <item x="166"/>
        <item x="169"/>
        <item x="210"/>
        <item x="139"/>
        <item x="336"/>
        <item x="273"/>
        <item x="303"/>
        <item x="102"/>
        <item x="237"/>
        <item x="340"/>
        <item x="308"/>
        <item x="200"/>
        <item x="286"/>
        <item x="31"/>
        <item x="54"/>
        <item x="230"/>
        <item x="7"/>
        <item x="287"/>
        <item x="275"/>
        <item x="68"/>
        <item x="299"/>
        <item x="168"/>
        <item x="52"/>
        <item x="153"/>
        <item x="155"/>
        <item x="319"/>
        <item x="300"/>
        <item x="251"/>
        <item x="188"/>
        <item x="228"/>
        <item x="42"/>
        <item x="197"/>
        <item x="152"/>
        <item x="249"/>
        <item x="88"/>
        <item x="307"/>
        <item x="176"/>
        <item x="57"/>
        <item x="209"/>
        <item x="133"/>
        <item x="20"/>
        <item x="96"/>
        <item x="274"/>
        <item x="233"/>
        <item x="94"/>
        <item x="142"/>
        <item x="111"/>
        <item x="186"/>
        <item x="326"/>
        <item x="4"/>
        <item x="301"/>
        <item x="80"/>
        <item x="264"/>
        <item x="222"/>
        <item x="137"/>
        <item x="81"/>
        <item x="178"/>
        <item x="194"/>
        <item x="35"/>
        <item x="140"/>
        <item x="9"/>
        <item x="64"/>
        <item x="130"/>
        <item x="117"/>
        <item x="32"/>
        <item x="322"/>
        <item x="76"/>
        <item x="338"/>
        <item x="161"/>
        <item x="16"/>
        <item x="30"/>
        <item x="302"/>
        <item x="43"/>
        <item x="223"/>
        <item x="129"/>
        <item x="98"/>
        <item x="339"/>
        <item x="107"/>
        <item x="282"/>
        <item x="212"/>
        <item x="224"/>
        <item x="69"/>
        <item t="default"/>
      </items>
    </pivotField>
    <pivotField showAll="0"/>
    <pivotField showAll="0"/>
    <pivotField showAll="0">
      <items count="9">
        <item x="1"/>
        <item x="2"/>
        <item x="7"/>
        <item x="4"/>
        <item x="5"/>
        <item x="6"/>
        <item x="3"/>
        <item x="0"/>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2"/>
    </i>
    <i>
      <x v="3"/>
    </i>
    <i>
      <x/>
    </i>
    <i>
      <x v="1"/>
    </i>
    <i>
      <x v="5"/>
    </i>
    <i>
      <x v="4"/>
    </i>
    <i t="grand">
      <x/>
    </i>
  </rowItems>
  <colItems count="1">
    <i/>
  </colItems>
  <dataFields count="1">
    <dataField name="Count of Order ID" fld="0"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CB3DF6-CCC8-104B-A422-CD1A1B5756C3}" name="Orders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8" firstHeaderRow="1" firstDataRow="1" firstDataCol="1"/>
  <pivotFields count="29">
    <pivotField dataField="1" showAll="0"/>
    <pivotField showAll="0"/>
    <pivotField showAll="0"/>
    <pivotField showAll="0"/>
    <pivotField showAll="0"/>
    <pivotField showAll="0"/>
    <pivotField numFmtId="14" showAll="0">
      <items count="345">
        <item x="118"/>
        <item x="324"/>
        <item x="289"/>
        <item x="288"/>
        <item x="266"/>
        <item x="36"/>
        <item x="148"/>
        <item x="311"/>
        <item x="271"/>
        <item x="26"/>
        <item x="321"/>
        <item x="109"/>
        <item x="192"/>
        <item x="199"/>
        <item x="19"/>
        <item x="132"/>
        <item x="119"/>
        <item x="284"/>
        <item x="333"/>
        <item x="63"/>
        <item x="84"/>
        <item x="293"/>
        <item x="11"/>
        <item x="13"/>
        <item x="23"/>
        <item x="51"/>
        <item x="267"/>
        <item x="272"/>
        <item x="50"/>
        <item x="205"/>
        <item x="55"/>
        <item x="323"/>
        <item x="260"/>
        <item x="8"/>
        <item x="45"/>
        <item x="115"/>
        <item x="180"/>
        <item x="203"/>
        <item x="263"/>
        <item x="160"/>
        <item x="146"/>
        <item x="258"/>
        <item x="48"/>
        <item x="252"/>
        <item x="304"/>
        <item x="104"/>
        <item x="125"/>
        <item x="131"/>
        <item x="225"/>
        <item x="297"/>
        <item x="27"/>
        <item x="238"/>
        <item x="189"/>
        <item x="265"/>
        <item x="255"/>
        <item x="239"/>
        <item x="66"/>
        <item x="156"/>
        <item x="172"/>
        <item x="171"/>
        <item x="290"/>
        <item x="89"/>
        <item x="29"/>
        <item x="74"/>
        <item x="207"/>
        <item x="159"/>
        <item x="174"/>
        <item x="110"/>
        <item x="49"/>
        <item x="6"/>
        <item x="240"/>
        <item x="56"/>
        <item x="151"/>
        <item x="218"/>
        <item x="163"/>
        <item x="254"/>
        <item x="314"/>
        <item x="242"/>
        <item x="90"/>
        <item x="227"/>
        <item x="62"/>
        <item x="315"/>
        <item x="296"/>
        <item x="150"/>
        <item x="154"/>
        <item x="201"/>
        <item x="116"/>
        <item x="144"/>
        <item x="136"/>
        <item x="157"/>
        <item x="343"/>
        <item x="329"/>
        <item x="292"/>
        <item x="195"/>
        <item x="72"/>
        <item x="85"/>
        <item x="113"/>
        <item x="22"/>
        <item x="214"/>
        <item x="270"/>
        <item x="145"/>
        <item x="59"/>
        <item x="126"/>
        <item x="92"/>
        <item x="97"/>
        <item x="190"/>
        <item x="179"/>
        <item x="83"/>
        <item x="103"/>
        <item x="204"/>
        <item x="10"/>
        <item x="247"/>
        <item x="206"/>
        <item x="183"/>
        <item x="0"/>
        <item x="256"/>
        <item x="217"/>
        <item x="262"/>
        <item x="216"/>
        <item x="268"/>
        <item x="167"/>
        <item x="325"/>
        <item x="164"/>
        <item x="185"/>
        <item x="123"/>
        <item x="93"/>
        <item x="39"/>
        <item x="342"/>
        <item x="295"/>
        <item x="184"/>
        <item x="46"/>
        <item x="305"/>
        <item x="95"/>
        <item x="246"/>
        <item x="65"/>
        <item x="236"/>
        <item x="221"/>
        <item x="250"/>
        <item x="331"/>
        <item x="234"/>
        <item x="58"/>
        <item x="112"/>
        <item x="5"/>
        <item x="37"/>
        <item x="312"/>
        <item x="285"/>
        <item x="100"/>
        <item x="298"/>
        <item x="18"/>
        <item x="220"/>
        <item x="187"/>
        <item x="21"/>
        <item x="211"/>
        <item x="226"/>
        <item x="341"/>
        <item x="138"/>
        <item x="291"/>
        <item x="196"/>
        <item x="335"/>
        <item x="124"/>
        <item x="193"/>
        <item x="182"/>
        <item x="3"/>
        <item x="306"/>
        <item x="143"/>
        <item x="337"/>
        <item x="14"/>
        <item x="86"/>
        <item x="67"/>
        <item x="158"/>
        <item x="316"/>
        <item x="294"/>
        <item x="328"/>
        <item x="106"/>
        <item x="108"/>
        <item x="231"/>
        <item x="219"/>
        <item x="70"/>
        <item x="12"/>
        <item x="2"/>
        <item x="82"/>
        <item x="105"/>
        <item x="101"/>
        <item x="1"/>
        <item x="327"/>
        <item x="99"/>
        <item x="128"/>
        <item x="208"/>
        <item x="269"/>
        <item x="162"/>
        <item x="277"/>
        <item x="127"/>
        <item x="241"/>
        <item x="309"/>
        <item x="257"/>
        <item x="202"/>
        <item x="47"/>
        <item x="235"/>
        <item x="232"/>
        <item x="334"/>
        <item x="175"/>
        <item x="259"/>
        <item x="330"/>
        <item x="317"/>
        <item x="78"/>
        <item x="245"/>
        <item x="25"/>
        <item x="15"/>
        <item x="79"/>
        <item x="91"/>
        <item x="135"/>
        <item x="120"/>
        <item x="318"/>
        <item x="313"/>
        <item x="17"/>
        <item x="215"/>
        <item x="243"/>
        <item x="77"/>
        <item x="261"/>
        <item x="28"/>
        <item x="33"/>
        <item x="53"/>
        <item x="114"/>
        <item x="73"/>
        <item x="310"/>
        <item x="170"/>
        <item x="34"/>
        <item x="191"/>
        <item x="253"/>
        <item x="198"/>
        <item x="61"/>
        <item x="181"/>
        <item x="71"/>
        <item x="134"/>
        <item x="332"/>
        <item x="165"/>
        <item x="121"/>
        <item x="320"/>
        <item x="281"/>
        <item x="278"/>
        <item x="41"/>
        <item x="283"/>
        <item x="147"/>
        <item x="173"/>
        <item x="177"/>
        <item x="38"/>
        <item x="60"/>
        <item x="280"/>
        <item x="24"/>
        <item x="87"/>
        <item x="75"/>
        <item x="213"/>
        <item x="44"/>
        <item x="229"/>
        <item x="244"/>
        <item x="279"/>
        <item x="122"/>
        <item x="276"/>
        <item x="141"/>
        <item x="149"/>
        <item x="40"/>
        <item x="248"/>
        <item x="166"/>
        <item x="169"/>
        <item x="210"/>
        <item x="139"/>
        <item x="336"/>
        <item x="273"/>
        <item x="303"/>
        <item x="102"/>
        <item x="237"/>
        <item x="340"/>
        <item x="308"/>
        <item x="200"/>
        <item x="286"/>
        <item x="31"/>
        <item x="54"/>
        <item x="230"/>
        <item x="7"/>
        <item x="287"/>
        <item x="275"/>
        <item x="68"/>
        <item x="299"/>
        <item x="168"/>
        <item x="52"/>
        <item x="153"/>
        <item x="155"/>
        <item x="319"/>
        <item x="300"/>
        <item x="251"/>
        <item x="188"/>
        <item x="228"/>
        <item x="42"/>
        <item x="197"/>
        <item x="152"/>
        <item x="249"/>
        <item x="88"/>
        <item x="307"/>
        <item x="176"/>
        <item x="57"/>
        <item x="209"/>
        <item x="133"/>
        <item x="20"/>
        <item x="96"/>
        <item x="274"/>
        <item x="233"/>
        <item x="94"/>
        <item x="142"/>
        <item x="111"/>
        <item x="186"/>
        <item x="326"/>
        <item x="4"/>
        <item x="301"/>
        <item x="80"/>
        <item x="264"/>
        <item x="222"/>
        <item x="137"/>
        <item x="81"/>
        <item x="178"/>
        <item x="194"/>
        <item x="35"/>
        <item x="140"/>
        <item x="9"/>
        <item x="64"/>
        <item x="130"/>
        <item x="117"/>
        <item x="32"/>
        <item x="322"/>
        <item x="76"/>
        <item x="338"/>
        <item x="161"/>
        <item x="16"/>
        <item x="30"/>
        <item x="302"/>
        <item x="43"/>
        <item x="223"/>
        <item x="129"/>
        <item x="98"/>
        <item x="339"/>
        <item x="107"/>
        <item x="282"/>
        <item x="212"/>
        <item x="224"/>
        <item x="69"/>
        <item t="default"/>
      </items>
    </pivotField>
    <pivotField showAll="0"/>
    <pivotField axis="axisRow" showAll="0">
      <items count="5">
        <item x="3"/>
        <item x="0"/>
        <item x="1"/>
        <item x="2"/>
        <item t="default"/>
      </items>
    </pivotField>
    <pivotField showAll="0">
      <items count="9">
        <item x="1"/>
        <item x="2"/>
        <item x="7"/>
        <item x="4"/>
        <item x="5"/>
        <item x="6"/>
        <item x="3"/>
        <item x="0"/>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Count of Order ID" fld="0" subtotal="count" baseField="0" baseItem="0"/>
  </dataFields>
  <chartFormats count="1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5" format="13">
      <pivotArea type="data" outline="0" fieldPosition="0">
        <references count="2">
          <reference field="4294967294" count="1" selected="0">
            <x v="0"/>
          </reference>
          <reference field="8" count="1" selected="0">
            <x v="2"/>
          </reference>
        </references>
      </pivotArea>
    </chartFormat>
    <chartFormat chart="5"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84ECEA-CF94-B34A-A73C-EFD0D6030E18}" name="Service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0" firstHeaderRow="1" firstDataRow="1" firstDataCol="1"/>
  <pivotFields count="29">
    <pivotField showAll="0"/>
    <pivotField showAll="0"/>
    <pivotField showAll="0"/>
    <pivotField showAll="0"/>
    <pivotField showAll="0"/>
    <pivotField axis="axisRow" showAll="0">
      <items count="7">
        <item x="0"/>
        <item x="2"/>
        <item x="4"/>
        <item x="3"/>
        <item x="5"/>
        <item x="1"/>
        <item t="default"/>
      </items>
    </pivotField>
    <pivotField numFmtId="14" showAll="0">
      <items count="345">
        <item x="118"/>
        <item x="324"/>
        <item x="289"/>
        <item x="288"/>
        <item x="266"/>
        <item x="36"/>
        <item x="148"/>
        <item x="311"/>
        <item x="271"/>
        <item x="26"/>
        <item x="321"/>
        <item x="109"/>
        <item x="192"/>
        <item x="199"/>
        <item x="19"/>
        <item x="132"/>
        <item x="119"/>
        <item x="284"/>
        <item x="333"/>
        <item x="63"/>
        <item x="84"/>
        <item x="293"/>
        <item x="11"/>
        <item x="13"/>
        <item x="23"/>
        <item x="51"/>
        <item x="267"/>
        <item x="272"/>
        <item x="50"/>
        <item x="205"/>
        <item x="55"/>
        <item x="323"/>
        <item x="260"/>
        <item x="8"/>
        <item x="45"/>
        <item x="115"/>
        <item x="180"/>
        <item x="203"/>
        <item x="263"/>
        <item x="160"/>
        <item x="146"/>
        <item x="258"/>
        <item x="48"/>
        <item x="252"/>
        <item x="304"/>
        <item x="104"/>
        <item x="125"/>
        <item x="131"/>
        <item x="225"/>
        <item x="297"/>
        <item x="27"/>
        <item x="238"/>
        <item x="189"/>
        <item x="265"/>
        <item x="255"/>
        <item x="239"/>
        <item x="66"/>
        <item x="156"/>
        <item x="172"/>
        <item x="171"/>
        <item x="290"/>
        <item x="89"/>
        <item x="29"/>
        <item x="74"/>
        <item x="207"/>
        <item x="159"/>
        <item x="174"/>
        <item x="110"/>
        <item x="49"/>
        <item x="6"/>
        <item x="240"/>
        <item x="56"/>
        <item x="151"/>
        <item x="218"/>
        <item x="163"/>
        <item x="254"/>
        <item x="314"/>
        <item x="242"/>
        <item x="90"/>
        <item x="227"/>
        <item x="62"/>
        <item x="315"/>
        <item x="296"/>
        <item x="150"/>
        <item x="154"/>
        <item x="201"/>
        <item x="116"/>
        <item x="144"/>
        <item x="136"/>
        <item x="157"/>
        <item x="343"/>
        <item x="329"/>
        <item x="292"/>
        <item x="195"/>
        <item x="72"/>
        <item x="85"/>
        <item x="113"/>
        <item x="22"/>
        <item x="214"/>
        <item x="270"/>
        <item x="145"/>
        <item x="59"/>
        <item x="126"/>
        <item x="92"/>
        <item x="97"/>
        <item x="190"/>
        <item x="179"/>
        <item x="83"/>
        <item x="103"/>
        <item x="204"/>
        <item x="10"/>
        <item x="247"/>
        <item x="206"/>
        <item x="183"/>
        <item x="0"/>
        <item x="256"/>
        <item x="217"/>
        <item x="262"/>
        <item x="216"/>
        <item x="268"/>
        <item x="167"/>
        <item x="325"/>
        <item x="164"/>
        <item x="185"/>
        <item x="123"/>
        <item x="93"/>
        <item x="39"/>
        <item x="342"/>
        <item x="295"/>
        <item x="184"/>
        <item x="46"/>
        <item x="305"/>
        <item x="95"/>
        <item x="246"/>
        <item x="65"/>
        <item x="236"/>
        <item x="221"/>
        <item x="250"/>
        <item x="331"/>
        <item x="234"/>
        <item x="58"/>
        <item x="112"/>
        <item x="5"/>
        <item x="37"/>
        <item x="312"/>
        <item x="285"/>
        <item x="100"/>
        <item x="298"/>
        <item x="18"/>
        <item x="220"/>
        <item x="187"/>
        <item x="21"/>
        <item x="211"/>
        <item x="226"/>
        <item x="341"/>
        <item x="138"/>
        <item x="291"/>
        <item x="196"/>
        <item x="335"/>
        <item x="124"/>
        <item x="193"/>
        <item x="182"/>
        <item x="3"/>
        <item x="306"/>
        <item x="143"/>
        <item x="337"/>
        <item x="14"/>
        <item x="86"/>
        <item x="67"/>
        <item x="158"/>
        <item x="316"/>
        <item x="294"/>
        <item x="328"/>
        <item x="106"/>
        <item x="108"/>
        <item x="231"/>
        <item x="219"/>
        <item x="70"/>
        <item x="12"/>
        <item x="2"/>
        <item x="82"/>
        <item x="105"/>
        <item x="101"/>
        <item x="1"/>
        <item x="327"/>
        <item x="99"/>
        <item x="128"/>
        <item x="208"/>
        <item x="269"/>
        <item x="162"/>
        <item x="277"/>
        <item x="127"/>
        <item x="241"/>
        <item x="309"/>
        <item x="257"/>
        <item x="202"/>
        <item x="47"/>
        <item x="235"/>
        <item x="232"/>
        <item x="334"/>
        <item x="175"/>
        <item x="259"/>
        <item x="330"/>
        <item x="317"/>
        <item x="78"/>
        <item x="245"/>
        <item x="25"/>
        <item x="15"/>
        <item x="79"/>
        <item x="91"/>
        <item x="135"/>
        <item x="120"/>
        <item x="318"/>
        <item x="313"/>
        <item x="17"/>
        <item x="215"/>
        <item x="243"/>
        <item x="77"/>
        <item x="261"/>
        <item x="28"/>
        <item x="33"/>
        <item x="53"/>
        <item x="114"/>
        <item x="73"/>
        <item x="310"/>
        <item x="170"/>
        <item x="34"/>
        <item x="191"/>
        <item x="253"/>
        <item x="198"/>
        <item x="61"/>
        <item x="181"/>
        <item x="71"/>
        <item x="134"/>
        <item x="332"/>
        <item x="165"/>
        <item x="121"/>
        <item x="320"/>
        <item x="281"/>
        <item x="278"/>
        <item x="41"/>
        <item x="283"/>
        <item x="147"/>
        <item x="173"/>
        <item x="177"/>
        <item x="38"/>
        <item x="60"/>
        <item x="280"/>
        <item x="24"/>
        <item x="87"/>
        <item x="75"/>
        <item x="213"/>
        <item x="44"/>
        <item x="229"/>
        <item x="244"/>
        <item x="279"/>
        <item x="122"/>
        <item x="276"/>
        <item x="141"/>
        <item x="149"/>
        <item x="40"/>
        <item x="248"/>
        <item x="166"/>
        <item x="169"/>
        <item x="210"/>
        <item x="139"/>
        <item x="336"/>
        <item x="273"/>
        <item x="303"/>
        <item x="102"/>
        <item x="237"/>
        <item x="340"/>
        <item x="308"/>
        <item x="200"/>
        <item x="286"/>
        <item x="31"/>
        <item x="54"/>
        <item x="230"/>
        <item x="7"/>
        <item x="287"/>
        <item x="275"/>
        <item x="68"/>
        <item x="299"/>
        <item x="168"/>
        <item x="52"/>
        <item x="153"/>
        <item x="155"/>
        <item x="319"/>
        <item x="300"/>
        <item x="251"/>
        <item x="188"/>
        <item x="228"/>
        <item x="42"/>
        <item x="197"/>
        <item x="152"/>
        <item x="249"/>
        <item x="88"/>
        <item x="307"/>
        <item x="176"/>
        <item x="57"/>
        <item x="209"/>
        <item x="133"/>
        <item x="20"/>
        <item x="96"/>
        <item x="274"/>
        <item x="233"/>
        <item x="94"/>
        <item x="142"/>
        <item x="111"/>
        <item x="186"/>
        <item x="326"/>
        <item x="4"/>
        <item x="301"/>
        <item x="80"/>
        <item x="264"/>
        <item x="222"/>
        <item x="137"/>
        <item x="81"/>
        <item x="178"/>
        <item x="194"/>
        <item x="35"/>
        <item x="140"/>
        <item x="9"/>
        <item x="64"/>
        <item x="130"/>
        <item x="117"/>
        <item x="32"/>
        <item x="322"/>
        <item x="76"/>
        <item x="338"/>
        <item x="161"/>
        <item x="16"/>
        <item x="30"/>
        <item x="302"/>
        <item x="43"/>
        <item x="223"/>
        <item x="129"/>
        <item x="98"/>
        <item x="339"/>
        <item x="107"/>
        <item x="282"/>
        <item x="212"/>
        <item x="224"/>
        <item x="69"/>
        <item t="default"/>
      </items>
    </pivotField>
    <pivotField showAll="0"/>
    <pivotField showAll="0"/>
    <pivotField showAll="0">
      <items count="9">
        <item x="1"/>
        <item x="2"/>
        <item x="7"/>
        <item x="4"/>
        <item x="5"/>
        <item x="6"/>
        <item x="3"/>
        <item x="0"/>
        <item t="default"/>
      </items>
    </pivotField>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i>
    <i>
      <x v="1"/>
    </i>
    <i>
      <x v="2"/>
    </i>
    <i>
      <x v="3"/>
    </i>
    <i>
      <x v="4"/>
    </i>
    <i>
      <x v="5"/>
    </i>
    <i t="grand">
      <x/>
    </i>
  </rowItems>
  <colItems count="1">
    <i/>
  </colItems>
  <dataFields count="1">
    <dataField name="Sum of Sale Price " fld="12" baseField="0" baseItem="0"/>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62A391-5D78-E044-95DE-D6E72EE61F58}" name="Orders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4" firstHeaderRow="1" firstDataRow="1" firstDataCol="1"/>
  <pivotFields count="29">
    <pivotField dataField="1" showAll="0"/>
    <pivotField showAll="0"/>
    <pivotField showAll="0"/>
    <pivotField showAll="0"/>
    <pivotField showAll="0"/>
    <pivotField showAll="0"/>
    <pivotField axis="axisRow" numFmtId="14" showAll="0">
      <items count="345">
        <item x="118"/>
        <item x="324"/>
        <item x="289"/>
        <item x="288"/>
        <item x="266"/>
        <item x="36"/>
        <item x="148"/>
        <item x="311"/>
        <item x="271"/>
        <item x="26"/>
        <item x="321"/>
        <item x="109"/>
        <item x="192"/>
        <item x="199"/>
        <item x="19"/>
        <item x="132"/>
        <item x="119"/>
        <item x="284"/>
        <item x="333"/>
        <item x="63"/>
        <item x="84"/>
        <item x="293"/>
        <item x="11"/>
        <item x="13"/>
        <item x="23"/>
        <item x="51"/>
        <item x="267"/>
        <item x="272"/>
        <item x="50"/>
        <item x="205"/>
        <item x="55"/>
        <item x="323"/>
        <item x="260"/>
        <item x="8"/>
        <item x="45"/>
        <item x="115"/>
        <item x="180"/>
        <item x="203"/>
        <item x="263"/>
        <item x="160"/>
        <item x="146"/>
        <item x="258"/>
        <item x="48"/>
        <item x="252"/>
        <item x="304"/>
        <item x="104"/>
        <item x="125"/>
        <item x="131"/>
        <item x="225"/>
        <item x="297"/>
        <item x="27"/>
        <item x="238"/>
        <item x="189"/>
        <item x="265"/>
        <item x="255"/>
        <item x="239"/>
        <item x="66"/>
        <item x="156"/>
        <item x="172"/>
        <item x="171"/>
        <item x="290"/>
        <item x="89"/>
        <item x="29"/>
        <item x="74"/>
        <item x="207"/>
        <item x="159"/>
        <item x="174"/>
        <item x="110"/>
        <item x="49"/>
        <item x="6"/>
        <item x="240"/>
        <item x="56"/>
        <item x="151"/>
        <item x="218"/>
        <item x="163"/>
        <item x="254"/>
        <item x="314"/>
        <item x="242"/>
        <item x="90"/>
        <item x="227"/>
        <item x="62"/>
        <item x="315"/>
        <item x="296"/>
        <item x="150"/>
        <item x="154"/>
        <item x="201"/>
        <item x="116"/>
        <item x="144"/>
        <item x="136"/>
        <item x="157"/>
        <item x="343"/>
        <item x="329"/>
        <item x="292"/>
        <item x="195"/>
        <item x="72"/>
        <item x="85"/>
        <item x="113"/>
        <item x="22"/>
        <item x="214"/>
        <item x="270"/>
        <item x="145"/>
        <item x="59"/>
        <item x="126"/>
        <item x="92"/>
        <item x="97"/>
        <item x="190"/>
        <item x="179"/>
        <item x="83"/>
        <item x="103"/>
        <item x="204"/>
        <item x="10"/>
        <item x="247"/>
        <item x="206"/>
        <item x="183"/>
        <item x="0"/>
        <item x="256"/>
        <item x="217"/>
        <item x="262"/>
        <item x="216"/>
        <item x="268"/>
        <item x="167"/>
        <item x="325"/>
        <item x="164"/>
        <item x="185"/>
        <item x="123"/>
        <item x="93"/>
        <item x="39"/>
        <item x="342"/>
        <item x="295"/>
        <item x="184"/>
        <item x="46"/>
        <item x="305"/>
        <item x="95"/>
        <item x="246"/>
        <item x="65"/>
        <item x="236"/>
        <item x="221"/>
        <item x="250"/>
        <item x="331"/>
        <item x="234"/>
        <item x="58"/>
        <item x="112"/>
        <item x="5"/>
        <item x="37"/>
        <item x="312"/>
        <item x="285"/>
        <item x="100"/>
        <item x="298"/>
        <item x="18"/>
        <item x="220"/>
        <item x="187"/>
        <item x="21"/>
        <item x="211"/>
        <item x="226"/>
        <item x="341"/>
        <item x="138"/>
        <item x="291"/>
        <item x="196"/>
        <item x="335"/>
        <item x="124"/>
        <item x="193"/>
        <item x="182"/>
        <item x="3"/>
        <item x="306"/>
        <item x="143"/>
        <item x="337"/>
        <item x="14"/>
        <item x="86"/>
        <item x="67"/>
        <item x="158"/>
        <item x="316"/>
        <item x="294"/>
        <item x="328"/>
        <item x="106"/>
        <item x="108"/>
        <item x="231"/>
        <item x="219"/>
        <item x="70"/>
        <item x="12"/>
        <item x="2"/>
        <item x="82"/>
        <item x="105"/>
        <item x="101"/>
        <item x="1"/>
        <item x="327"/>
        <item x="99"/>
        <item x="128"/>
        <item x="208"/>
        <item x="269"/>
        <item x="162"/>
        <item x="277"/>
        <item x="127"/>
        <item x="241"/>
        <item x="309"/>
        <item x="257"/>
        <item x="202"/>
        <item x="47"/>
        <item x="235"/>
        <item x="232"/>
        <item x="334"/>
        <item x="175"/>
        <item x="259"/>
        <item x="330"/>
        <item x="317"/>
        <item x="78"/>
        <item x="245"/>
        <item x="25"/>
        <item x="15"/>
        <item x="79"/>
        <item x="91"/>
        <item x="135"/>
        <item x="120"/>
        <item x="318"/>
        <item x="313"/>
        <item x="17"/>
        <item x="215"/>
        <item x="243"/>
        <item x="77"/>
        <item x="261"/>
        <item x="28"/>
        <item x="33"/>
        <item x="53"/>
        <item x="114"/>
        <item x="73"/>
        <item x="310"/>
        <item x="170"/>
        <item x="34"/>
        <item x="191"/>
        <item x="253"/>
        <item x="198"/>
        <item x="61"/>
        <item x="181"/>
        <item x="71"/>
        <item x="134"/>
        <item x="332"/>
        <item x="165"/>
        <item x="121"/>
        <item x="320"/>
        <item x="281"/>
        <item x="278"/>
        <item x="41"/>
        <item x="283"/>
        <item x="147"/>
        <item x="173"/>
        <item x="177"/>
        <item x="38"/>
        <item x="60"/>
        <item x="280"/>
        <item x="24"/>
        <item x="87"/>
        <item x="75"/>
        <item x="213"/>
        <item x="44"/>
        <item x="229"/>
        <item x="244"/>
        <item x="279"/>
        <item x="122"/>
        <item x="276"/>
        <item x="141"/>
        <item x="149"/>
        <item x="40"/>
        <item x="248"/>
        <item x="166"/>
        <item x="169"/>
        <item x="210"/>
        <item x="139"/>
        <item x="336"/>
        <item x="273"/>
        <item x="303"/>
        <item x="102"/>
        <item x="237"/>
        <item x="340"/>
        <item x="308"/>
        <item x="200"/>
        <item x="286"/>
        <item x="31"/>
        <item x="54"/>
        <item x="230"/>
        <item x="7"/>
        <item x="287"/>
        <item x="275"/>
        <item x="68"/>
        <item x="299"/>
        <item x="168"/>
        <item x="52"/>
        <item x="153"/>
        <item x="155"/>
        <item x="319"/>
        <item x="300"/>
        <item x="251"/>
        <item x="188"/>
        <item x="228"/>
        <item x="42"/>
        <item x="197"/>
        <item x="152"/>
        <item x="249"/>
        <item x="88"/>
        <item x="307"/>
        <item x="176"/>
        <item x="57"/>
        <item x="209"/>
        <item x="133"/>
        <item x="20"/>
        <item x="96"/>
        <item x="274"/>
        <item x="233"/>
        <item x="94"/>
        <item x="142"/>
        <item x="111"/>
        <item x="186"/>
        <item x="326"/>
        <item x="4"/>
        <item x="301"/>
        <item x="80"/>
        <item x="264"/>
        <item x="222"/>
        <item x="137"/>
        <item x="81"/>
        <item x="178"/>
        <item x="194"/>
        <item x="35"/>
        <item x="140"/>
        <item x="9"/>
        <item x="64"/>
        <item x="130"/>
        <item x="117"/>
        <item x="32"/>
        <item x="322"/>
        <item x="76"/>
        <item x="338"/>
        <item x="161"/>
        <item x="16"/>
        <item x="30"/>
        <item x="302"/>
        <item x="43"/>
        <item x="223"/>
        <item x="129"/>
        <item x="98"/>
        <item x="339"/>
        <item x="107"/>
        <item x="282"/>
        <item x="212"/>
        <item x="224"/>
        <item x="69"/>
        <item t="default"/>
      </items>
    </pivotField>
    <pivotField showAll="0"/>
    <pivotField showAll="0"/>
    <pivotField showAll="0">
      <items count="9">
        <item x="1"/>
        <item x="2"/>
        <item x="7"/>
        <item x="4"/>
        <item x="5"/>
        <item x="6"/>
        <item x="3"/>
        <item x="0"/>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8"/>
    <field x="27"/>
    <field x="6"/>
  </rowFields>
  <rowItems count="13">
    <i>
      <x v="1"/>
    </i>
    <i>
      <x v="2"/>
    </i>
    <i>
      <x v="3"/>
    </i>
    <i>
      <x v="4"/>
    </i>
    <i>
      <x v="5"/>
    </i>
    <i>
      <x v="6"/>
    </i>
    <i>
      <x v="7"/>
    </i>
    <i>
      <x v="8"/>
    </i>
    <i>
      <x v="9"/>
    </i>
    <i>
      <x v="10"/>
    </i>
    <i>
      <x v="11"/>
    </i>
    <i>
      <x v="12"/>
    </i>
    <i t="grand">
      <x/>
    </i>
  </rowItems>
  <colItems count="1">
    <i/>
  </colItems>
  <dataFields count="1">
    <dataField name="Count of Order ID" fld="0" subtotal="count" baseField="0" baseItem="0"/>
  </dataFields>
  <chartFormats count="2">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3ED2B08D-8487-CB4C-B9B9-B8B7AFDEF421}" autoFormatId="16" applyNumberFormats="0" applyBorderFormats="0" applyFontFormats="0" applyPatternFormats="0" applyAlignmentFormats="0" applyWidthHeightFormats="0">
  <queryTableRefresh nextId="15">
    <queryTableFields count="14">
      <queryTableField id="1" name="Order ID" tableColumnId="1"/>
      <queryTableField id="2" name="Customer Last Name" tableColumnId="2"/>
      <queryTableField id="3" name="Customer First Name" tableColumnId="3"/>
      <queryTableField id="4" name="Customer ID" tableColumnId="4"/>
      <queryTableField id="5" name="Service Category" tableColumnId="5"/>
      <queryTableField id="6" name="Order Date" tableColumnId="6"/>
      <queryTableField id="7" name="Quantity Ordered" tableColumnId="7"/>
      <queryTableField id="8" name="Order Status" tableColumnId="8"/>
      <queryTableField id="9" name="State" tableColumnId="9"/>
      <queryTableField id="10" name="Margins" tableColumnId="10"/>
      <queryTableField id="11" name="Service Provider Expense" tableColumnId="11"/>
      <queryTableField id="12" name="Sale Price " tableColumnId="12"/>
      <queryTableField id="13" name="Total Profit (GMROI)" tableColumnId="13"/>
      <queryTableField id="14" name="Sales Agent"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2" xr16:uid="{D8477C6D-6D50-B342-968B-A56E9FE85C66}" autoFormatId="16" applyNumberFormats="0" applyBorderFormats="0" applyFontFormats="0" applyPatternFormats="0" applyAlignmentFormats="0" applyWidthHeightFormats="0">
  <queryTableRefresh nextId="50">
    <queryTableFields count="27">
      <queryTableField id="1" name="Order ID" tableColumnId="1"/>
      <queryTableField id="2" name="Customer Last Name" tableColumnId="2"/>
      <queryTableField id="27" dataBound="0" tableColumnId="27"/>
      <queryTableField id="3" name="Customer First Name" tableColumnId="3"/>
      <queryTableField id="4" name="Customer ID" tableColumnId="4"/>
      <queryTableField id="5" name="Service Category" tableColumnId="5"/>
      <queryTableField id="6" name="Order Date" tableColumnId="6"/>
      <queryTableField id="7" name="Quantity Ordered" tableColumnId="7"/>
      <queryTableField id="8" name="Order Status" tableColumnId="8"/>
      <queryTableField id="9" name="State" tableColumnId="9"/>
      <queryTableField id="10" name="Margins" tableColumnId="10"/>
      <queryTableField id="11" name="Service Provider Expense" tableColumnId="11"/>
      <queryTableField id="12" name="Sale Price " tableColumnId="12"/>
      <queryTableField id="13" name="Total Profit (GMROI)" tableColumnId="13"/>
      <queryTableField id="28" name="Sales Agent" tableColumnId="14"/>
      <queryTableField id="29" name="Customer ID.1" tableColumnId="15"/>
      <queryTableField id="30" name="Service Category.1" tableColumnId="16"/>
      <queryTableField id="31" name="Order Date.1" tableColumnId="17"/>
      <queryTableField id="32" name="Quantity Ordered.1" tableColumnId="18"/>
      <queryTableField id="33" name="Order Status.1" tableColumnId="19"/>
      <queryTableField id="34" name="State.1" tableColumnId="20"/>
      <queryTableField id="35" name="Address " tableColumnId="21"/>
      <queryTableField id="36" name="City" tableColumnId="22"/>
      <queryTableField id="37" name="Postal Code" tableColumnId="23"/>
      <queryTableField id="24" name="Sales Price (Per unit)" tableColumnId="24"/>
      <queryTableField id="38" name="Sale Price .1" tableColumnId="25"/>
      <queryTableField id="26" name="Phone" tableColumnId="26"/>
    </queryTableFields>
    <queryTableDeletedFields count="11">
      <deletedField name="Postal Code"/>
      <deletedField name="Address "/>
      <deletedField name="Sales Agent"/>
      <deletedField name="Order Date.1"/>
      <deletedField name="Service Category.1"/>
      <deletedField name="Quantity Ordered.1"/>
      <deletedField name="Order Status.1"/>
      <deletedField name="State.1"/>
      <deletedField name="City"/>
      <deletedField name="Sale Price .1"/>
      <deletedField name="Customer ID.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055DB38-5134-F344-97E2-36D667D4433F}" sourceName="State">
  <pivotTables>
    <pivotTable tabId="23" name="Orders_Status"/>
    <pivotTable tabId="23" name="Orders_Count"/>
    <pivotTable tabId="23" name="Service_Category"/>
    <pivotTable tabId="23" name="Top_Category"/>
    <pivotTable tabId="23" name="KPIs"/>
  </pivotTables>
  <data>
    <tabular pivotCacheId="1802279930">
      <items count="8">
        <i x="1" s="1"/>
        <i x="2" s="1"/>
        <i x="7" s="1"/>
        <i x="4" s="1"/>
        <i x="5" s="1"/>
        <i x="6"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9CBCA47-8A49-B84C-8B5C-58780EE2D5F6}" sourceName="Months (Order Date)">
  <pivotTables>
    <pivotTable tabId="23" name="Orders_Status"/>
    <pivotTable tabId="23" name="Orders_Count"/>
    <pivotTable tabId="23" name="Service_Category"/>
    <pivotTable tabId="23" name="Top_Category"/>
    <pivotTable tabId="23" name="KPIs"/>
  </pivotTables>
  <data>
    <tabular pivotCacheId="180227993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EAFE5580-FC37-9149-AD10-EF024B9DFD0E}" cache="Slicer_State" caption="State" style="SlicerStyleOther2" rowHeight="230716"/>
  <slicer name="Months" xr10:uid="{9D58E2A8-9B6A-904C-8891-438B710915EE}" cache="Slicer_Months__Order_Date" caption="Months (Order Date)" startItem="3" style="SlicerStyleOther2"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D0652B-8B98-5145-BD9A-5AD2FA3D37D8}" name="Sales_1" displayName="Sales_1" ref="A1:N1001" tableType="queryTable" totalsRowShown="0">
  <autoFilter ref="A1:N1001" xr:uid="{37D0652B-8B98-5145-BD9A-5AD2FA3D37D8}"/>
  <tableColumns count="14">
    <tableColumn id="1" xr3:uid="{1CBF613E-338C-9644-924E-FB17E9344DD6}" uniqueName="1" name="Order ID" queryTableFieldId="1"/>
    <tableColumn id="2" xr3:uid="{9F78900A-6658-4240-95D0-5CA1A09492D8}" uniqueName="2" name="Customer Last Name" queryTableFieldId="2" dataDxfId="32"/>
    <tableColumn id="3" xr3:uid="{A473F991-684C-3B43-B5E2-5129219E74BC}" uniqueName="3" name="Customer First Name" queryTableFieldId="3" dataDxfId="31"/>
    <tableColumn id="4" xr3:uid="{79FA8554-5C3E-CF4B-9960-ACF1E460B22D}" uniqueName="4" name="Customer ID" queryTableFieldId="4"/>
    <tableColumn id="5" xr3:uid="{426D5091-3BF7-234C-B645-21E42EC0B7F6}" uniqueName="5" name="Service Category" queryTableFieldId="5" dataDxfId="30"/>
    <tableColumn id="6" xr3:uid="{DB479344-E09F-504A-967D-6AF5CE590E28}" uniqueName="6" name="Order Date" queryTableFieldId="6" dataDxfId="29"/>
    <tableColumn id="7" xr3:uid="{AF9154A3-3455-544F-8F24-5C269F6068A6}" uniqueName="7" name="Quantity Ordered" queryTableFieldId="7"/>
    <tableColumn id="8" xr3:uid="{0DCA01ED-EC61-B448-81DE-83D8BE8B87A2}" uniqueName="8" name="Order Status" queryTableFieldId="8" dataDxfId="28"/>
    <tableColumn id="9" xr3:uid="{C6423B6A-6E58-FB41-B665-58B2EA3577C5}" uniqueName="9" name="State" queryTableFieldId="9" dataDxfId="27"/>
    <tableColumn id="10" xr3:uid="{6CD5C870-4FC1-9E49-B366-25FE75D45026}" uniqueName="10" name="Margins" queryTableFieldId="10"/>
    <tableColumn id="11" xr3:uid="{265D9319-812B-2F42-8A12-AED54C429A81}" uniqueName="11" name="Service Provider Expense" queryTableFieldId="11"/>
    <tableColumn id="12" xr3:uid="{FDAE1C43-B232-7642-B054-A4698255940F}" uniqueName="12" name="Sale Price " queryTableFieldId="12"/>
    <tableColumn id="13" xr3:uid="{C32D5B22-A023-9144-9808-ADF74754025F}" uniqueName="13" name="Total Profit (GMROI)" queryTableFieldId="13"/>
    <tableColumn id="14" xr3:uid="{484E95E3-4185-C440-90CA-1CB52CE22330}" uniqueName="14" name="Sales Agent" queryTableFieldId="14"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371C6A-EA8F-B047-AA2D-257D978AD164}" name="Table2" displayName="Table2" ref="A3:O4" totalsRowShown="0">
  <autoFilter ref="A3:O4" xr:uid="{BA371C6A-EA8F-B047-AA2D-257D978AD164}"/>
  <tableColumns count="15">
    <tableColumn id="1" xr3:uid="{3156ED4B-59C5-024F-84FC-FF7C65011C56}" name="Order ID"/>
    <tableColumn id="2" xr3:uid="{652EB805-037F-7E4D-9342-9ACC4124CB48}" name="Customer Last Name"/>
    <tableColumn id="3" xr3:uid="{099C6E11-AE0D-4F44-A253-5491403A4D0C}" name="Customer First Name"/>
    <tableColumn id="4" xr3:uid="{40343E4B-CFBB-8D45-9A83-69725F0D6AD0}" name="Customer ID"/>
    <tableColumn id="5" xr3:uid="{6575E026-E35B-7249-97CD-BE8DC2D75135}" name="Month"/>
    <tableColumn id="6" xr3:uid="{187EAE31-91ED-504F-8FE5-118751563C73}" name="Service Category"/>
    <tableColumn id="7" xr3:uid="{CB5DAA4D-CB9F-A545-9E0B-336639479485}" name="Order Date"/>
    <tableColumn id="8" xr3:uid="{77444045-1081-E142-9EEA-0299D20B7BE0}" name="Quantity Ordered"/>
    <tableColumn id="9" xr3:uid="{133EF9F6-03F3-F949-A0DE-89D5ADC8F3F1}" name="Order Status"/>
    <tableColumn id="10" xr3:uid="{FF42CAB8-1ABD-A643-8444-6C18A83AAD87}" name="State"/>
    <tableColumn id="11" xr3:uid="{3BE27338-8E03-6E41-8135-88D0E4CFC139}" name="Margins"/>
    <tableColumn id="12" xr3:uid="{32896C67-E37D-7B46-B488-D6D60A8FC913}" name="Service Provider Expense"/>
    <tableColumn id="13" xr3:uid="{7121A568-EFE5-C143-87B2-7361AE9EE10E}" name="Sale Price "/>
    <tableColumn id="14" xr3:uid="{E4F06D0C-C955-B84C-BAB7-B118D4B6B424}" name="Total Profit (GMROI)"/>
    <tableColumn id="15" xr3:uid="{0EDC8120-2A9D-5C40-8C31-69ED295AFDCE}" name="Sales Ag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5B333C-C2F8-6049-8AD8-6D047ACDE2F4}" name="Table4" displayName="Table4" ref="A3:N1003" totalsRowShown="0">
  <autoFilter ref="A3:N1003" xr:uid="{EC5B333C-C2F8-6049-8AD8-6D047ACDE2F4}"/>
  <tableColumns count="14">
    <tableColumn id="1" xr3:uid="{A7A39837-0E83-DC4A-AD17-57DFB1F4C95A}" name="Customer Last Name"/>
    <tableColumn id="2" xr3:uid="{3E3B547E-2A05-9D41-871C-8C032906AC83}" name="Customer First Name"/>
    <tableColumn id="3" xr3:uid="{B7EB56A1-9B53-9B4E-969F-305772C55F94}" name="Customer ID"/>
    <tableColumn id="4" xr3:uid="{D4932062-C2E9-F948-9351-F5F7D0FC96CD}" name="Service Category"/>
    <tableColumn id="5" xr3:uid="{62A988B2-2D39-054B-A864-CD9802A3ECDE}" name="Order Date" dataDxfId="55"/>
    <tableColumn id="6" xr3:uid="{1F59EF22-6A8D-6A42-AE11-30D41746F677}" name="Quantity Ordered"/>
    <tableColumn id="7" xr3:uid="{508E257B-8F5B-E144-86CB-EFAB31208810}" name="Order Status"/>
    <tableColumn id="8" xr3:uid="{0BE364C3-0430-E043-91E7-261C5944E7A5}" name="State"/>
    <tableColumn id="9" xr3:uid="{7049BBF9-5587-7249-BD3B-7B2240A5F9D7}" name="Address "/>
    <tableColumn id="10" xr3:uid="{214BE12E-934F-6B41-8F46-E21196CDE7E2}" name="City"/>
    <tableColumn id="11" xr3:uid="{B9292316-3AAD-1B41-BF74-9D838D09DD97}" name="Postal Code"/>
    <tableColumn id="12" xr3:uid="{493F0BFD-7992-1A4E-A1F1-91907FEFBFDE}" name="Sales Price (Per unit)"/>
    <tableColumn id="13" xr3:uid="{7C573ADE-A65F-6E48-A891-B5CCF528DA6F}" name="Sale Price "/>
    <tableColumn id="14" xr3:uid="{8A3AFC45-4529-684A-9AA3-E8FA26A93FCB}" name="Ph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604257E-94B9-414F-A217-A716C4586995}" name="Table13" displayName="Table13" ref="A3:P16" totalsRowShown="0">
  <autoFilter ref="A3:P16" xr:uid="{4604257E-94B9-414F-A217-A716C4586995}"/>
  <tableColumns count="16">
    <tableColumn id="1" xr3:uid="{8C2BFF68-5F4B-684A-8486-C45C96CCEB80}" name="Order ID"/>
    <tableColumn id="2" xr3:uid="{C7966572-984F-5548-AB34-EA3729611793}" name="Customer Last Name"/>
    <tableColumn id="3" xr3:uid="{E9DB392E-261D-A04A-8B93-E80F42F20D3C}" name="Customer Name"/>
    <tableColumn id="4" xr3:uid="{3F430088-9B3E-6242-8FB7-6FD6F494619C}" name="Customer First Name"/>
    <tableColumn id="5" xr3:uid="{0F2B1C75-6D0F-6F4F-A5BA-6290A2D92D7A}" name="Customer ID"/>
    <tableColumn id="6" xr3:uid="{BFEA2F56-1124-344B-8272-72018E8D3BF8}" name="Service Category"/>
    <tableColumn id="7" xr3:uid="{23DCA7CD-F724-B44B-A77B-F77CF7FB90AF}" name="Order Date" dataDxfId="54"/>
    <tableColumn id="8" xr3:uid="{1755D9E4-E86E-FE48-92E2-69CD649F2D1A}" name="Quantity Ordered"/>
    <tableColumn id="9" xr3:uid="{DB777AC5-3B58-F846-8FF2-22F58A3A5DAE}" name="Order Status"/>
    <tableColumn id="10" xr3:uid="{15C022B5-0E86-1149-B456-C4D012748CBC}" name="State"/>
    <tableColumn id="11" xr3:uid="{DAD79F2A-CD92-A943-B8F7-4F927EECDAE2}" name="Margins"/>
    <tableColumn id="12" xr3:uid="{23C474CB-2F99-8345-ABF7-C68C7714B2C2}" name="Service Provider Expense"/>
    <tableColumn id="13" xr3:uid="{A29878F0-8285-B646-9AFD-3C0872A1B8E3}" name="Sale Price "/>
    <tableColumn id="14" xr3:uid="{4D6DA4B7-0611-E847-B218-333D0BF1D407}" name="Total Profit (GMROI)"/>
    <tableColumn id="15" xr3:uid="{09395856-6317-BD4F-8EC7-15DF846E90E0}" name="Sales Price (Per unit)"/>
    <tableColumn id="16" xr3:uid="{DC3D5820-AA2B-504E-97BC-16BFB6A82C3B}" name="Ph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07F731D-9F06-7045-BDAE-76C0EBFDD505}" name="Table14" displayName="Table14" ref="A3:P16" totalsRowShown="0">
  <autoFilter ref="A3:P16" xr:uid="{807F731D-9F06-7045-BDAE-76C0EBFDD505}"/>
  <tableColumns count="16">
    <tableColumn id="1" xr3:uid="{86C0D46D-A582-0641-A84B-866925863537}" name="Order ID"/>
    <tableColumn id="2" xr3:uid="{0037E02E-19C1-D54A-8B3B-48929530C4C6}" name="Customer Last Name"/>
    <tableColumn id="3" xr3:uid="{CA9287EC-2191-774E-B2F3-E474B116083F}" name="Customer Name"/>
    <tableColumn id="4" xr3:uid="{85C559C9-8D56-DF4A-89AA-D5237B456048}" name="Customer First Name"/>
    <tableColumn id="5" xr3:uid="{0F578C31-D644-E749-929D-0547A1AA276C}" name="Customer ID"/>
    <tableColumn id="6" xr3:uid="{D0B1629B-99F4-014D-851F-92834EDA3167}" name="Service Category"/>
    <tableColumn id="7" xr3:uid="{85D09822-264E-684C-A0DD-0F5C8B03901E}" name="Order Date" dataDxfId="53"/>
    <tableColumn id="8" xr3:uid="{F829D04F-92A6-8349-ABAF-A8348F373F6A}" name="Quantity Ordered"/>
    <tableColumn id="9" xr3:uid="{D6D2EB4A-704C-784F-81B4-0178FD3770EB}" name="Order Status"/>
    <tableColumn id="10" xr3:uid="{E01B6376-ED19-574E-8943-6F32AB5C2C57}" name="State"/>
    <tableColumn id="11" xr3:uid="{0B672581-5F49-654A-A0D9-432C17144690}" name="Margins"/>
    <tableColumn id="12" xr3:uid="{BAE250D3-9858-9B40-A5E2-F967D0A0CA8B}" name="Service Provider Expense"/>
    <tableColumn id="13" xr3:uid="{2BF5431E-F02D-654C-B17E-7D75CA027EAB}" name="Sale Price "/>
    <tableColumn id="14" xr3:uid="{51066278-C888-F748-9E54-7B067D16C430}" name="Total Profit (GMROI)"/>
    <tableColumn id="15" xr3:uid="{677D7F95-A976-7048-A1F2-9AFD249EA4BF}" name="Sales Price (Per unit)"/>
    <tableColumn id="16" xr3:uid="{7D3D5D3D-5D3A-1847-97A1-32BC6844C7BC}" name="Phon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6388E36-C4E7-E04C-85F0-12209CBD380E}" name="Table15" displayName="Table15" ref="A3:P16" totalsRowShown="0">
  <autoFilter ref="A3:P16" xr:uid="{26388E36-C4E7-E04C-85F0-12209CBD380E}"/>
  <tableColumns count="16">
    <tableColumn id="1" xr3:uid="{03384A4E-91B3-4943-A21A-8106C1D61074}" name="Order ID"/>
    <tableColumn id="2" xr3:uid="{E2492ADB-6700-784D-B529-F44AA5782641}" name="Customer Last Name"/>
    <tableColumn id="3" xr3:uid="{5F4F0B48-A1A5-D647-B757-84B1DAC62882}" name="Customer Name"/>
    <tableColumn id="4" xr3:uid="{686D13C1-5160-3941-B441-DDF749BA28A1}" name="Customer First Name"/>
    <tableColumn id="5" xr3:uid="{EF0F05A3-BC8B-8E48-B625-3E3F29E0BB00}" name="Customer ID"/>
    <tableColumn id="6" xr3:uid="{B326E7FB-21C8-164A-AEDD-7A4F5E43BFDD}" name="Service Category"/>
    <tableColumn id="7" xr3:uid="{776CA90D-8C18-514D-BC96-BC738DDB6658}" name="Order Date" dataDxfId="52"/>
    <tableColumn id="8" xr3:uid="{22476139-4065-CF45-9153-7B9B268A339B}" name="Quantity Ordered"/>
    <tableColumn id="9" xr3:uid="{24AB654C-6415-9B4C-AF18-0758B22BA368}" name="Order Status"/>
    <tableColumn id="10" xr3:uid="{343CE27C-7152-1B49-BB11-4E2D38F1B057}" name="State"/>
    <tableColumn id="11" xr3:uid="{89E1F106-06F0-4F41-A5F9-D8E6148C7560}" name="Margins"/>
    <tableColumn id="12" xr3:uid="{8B9B1F19-08A9-F142-8D2D-93B0FC423E39}" name="Service Provider Expense"/>
    <tableColumn id="13" xr3:uid="{3E037DF0-BE4F-2A49-8DE8-52DCC38115C1}" name="Sale Price "/>
    <tableColumn id="14" xr3:uid="{7D8FCC39-AE18-E14F-A904-7CA6E5F8EEE3}" name="Total Profit (GMROI)"/>
    <tableColumn id="15" xr3:uid="{5947890C-FE9C-7D47-A837-A63D3003B892}" name="Sales Price (Per unit)"/>
    <tableColumn id="16" xr3:uid="{D45445C1-42FC-D443-B145-4B9C6862BEB9}" name="Phon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20462E1-2C2F-D645-9F07-42A1F6CCA2D3}" name="Table16" displayName="Table16" ref="A3:P16" totalsRowShown="0">
  <autoFilter ref="A3:P16" xr:uid="{F20462E1-2C2F-D645-9F07-42A1F6CCA2D3}"/>
  <tableColumns count="16">
    <tableColumn id="1" xr3:uid="{65FD45E5-926D-8249-BF73-6F981552EFAA}" name="Order ID"/>
    <tableColumn id="2" xr3:uid="{F932D23D-375E-7C45-A992-8B22F7804E1D}" name="Customer Last Name"/>
    <tableColumn id="3" xr3:uid="{A75BEE64-6BBD-8447-9644-C79626C84437}" name="Customer Name"/>
    <tableColumn id="4" xr3:uid="{AB5D6006-E81C-E541-8E0D-21E637083ACE}" name="Customer First Name"/>
    <tableColumn id="5" xr3:uid="{CBFAA232-FF44-454B-8D2E-64C863AC438D}" name="Customer ID"/>
    <tableColumn id="6" xr3:uid="{36B1A9F9-39DA-1643-B2A0-16AB0959FE92}" name="Service Category"/>
    <tableColumn id="7" xr3:uid="{3DFD7D4D-8ADD-784D-A0B7-6E6612D5C71F}" name="Order Date" dataDxfId="51"/>
    <tableColumn id="8" xr3:uid="{F4EF7FB4-C8C3-EC4E-809F-FE386C4E2CF0}" name="Quantity Ordered"/>
    <tableColumn id="9" xr3:uid="{FDBB0C72-F1DD-B248-93DD-6615AC0289AD}" name="Order Status"/>
    <tableColumn id="10" xr3:uid="{8B79A301-02D4-FB44-8749-4748B16936C6}" name="State"/>
    <tableColumn id="11" xr3:uid="{764993E4-D538-254D-95E4-3C0681E2B872}" name="Margins"/>
    <tableColumn id="12" xr3:uid="{87E5F2DE-E228-B24F-B888-B26C136209F4}" name="Service Provider Expense"/>
    <tableColumn id="13" xr3:uid="{D47971EF-A845-0C41-9413-8CD9ED4346F3}" name="Sale Price "/>
    <tableColumn id="14" xr3:uid="{3F219A74-70F3-454F-8A38-77A3DDFECE0C}" name="Total Profit (GMROI)"/>
    <tableColumn id="15" xr3:uid="{6C7D9CCA-9B04-F941-A4C6-2A6DAED6A889}" name="Sales Price (Per unit)"/>
    <tableColumn id="16" xr3:uid="{2497ED53-824E-1946-BFB9-1702813BE3B9}" name="Phon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3E42A4B-2C21-F949-AD78-D1196D331EBB}" name="Table18" displayName="Table18" ref="A3:P16" totalsRowShown="0">
  <autoFilter ref="A3:P16" xr:uid="{33E42A4B-2C21-F949-AD78-D1196D331EBB}"/>
  <tableColumns count="16">
    <tableColumn id="1" xr3:uid="{4ABB9A71-0A32-D247-9A4F-EB0C1952BE71}" name="Order ID"/>
    <tableColumn id="2" xr3:uid="{75D56EC8-E07D-2E46-AB9C-9FF85A2FA900}" name="Customer Last Name"/>
    <tableColumn id="3" xr3:uid="{733A8BF9-AD7A-5B4B-A8A9-AAF2C7F0F9EF}" name="Customer Name"/>
    <tableColumn id="4" xr3:uid="{7A052F9C-C47D-2C42-9D54-3830252C15F7}" name="Customer First Name"/>
    <tableColumn id="5" xr3:uid="{6A1C1CE3-A976-1346-B3B3-E46B295AA24A}" name="Customer ID"/>
    <tableColumn id="6" xr3:uid="{9FD9DF6D-BA96-6449-AF8B-656ECA28B7A7}" name="Service Category"/>
    <tableColumn id="7" xr3:uid="{86E255DA-4585-6140-B9BB-8F8B70782EC1}" name="Order Date" dataDxfId="50"/>
    <tableColumn id="8" xr3:uid="{BF4469F2-E9AA-ED4E-84C7-768E2B8B39E9}" name="Quantity Ordered"/>
    <tableColumn id="9" xr3:uid="{FAD3AB82-D84B-AB4C-8956-57295BE6BE0F}" name="Order Status"/>
    <tableColumn id="10" xr3:uid="{395F52E1-FFFC-174E-986D-D747EFDD692E}" name="State"/>
    <tableColumn id="11" xr3:uid="{8AF3DF73-8971-1741-B815-02E18A1B40B4}" name="Margins"/>
    <tableColumn id="12" xr3:uid="{02CBD529-C4D4-E04C-A9F9-C23CC052B955}" name="Service Provider Expense"/>
    <tableColumn id="13" xr3:uid="{ADF4C951-2756-8347-B0FB-57AE5716F2C6}" name="Sale Price "/>
    <tableColumn id="14" xr3:uid="{5FB86D67-574B-2647-A2E3-0C0C6586CDE4}" name="Total Profit (GMROI)"/>
    <tableColumn id="15" xr3:uid="{0280FC6A-B17C-1540-8C4F-4A7B60D1839D}" name="Sales Price (Per unit)"/>
    <tableColumn id="16" xr3:uid="{6F1D4AE7-4730-4D40-9F31-997252EB2346}" name="Phon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C3B986-2E23-4ADC-89AC-8080CE9995E2}" name="Customers_Table" displayName="Customers_Table" ref="A1:N1002" totalsRowCount="1" headerRowDxfId="25">
  <autoFilter ref="A1:N1001" xr:uid="{B4A61DC4-EC4A-48BC-BC4E-F12982365A36}"/>
  <tableColumns count="14">
    <tableColumn id="2" xr3:uid="{64853262-E4B3-47DF-9142-E6D3D1376605}" name="Customer Last Name"/>
    <tableColumn id="3" xr3:uid="{A91EE1D8-6448-4BEE-A18C-B351ACD8205D}" name="Customer First Name" dataDxfId="24" totalsRowDxfId="23"/>
    <tableColumn id="4" xr3:uid="{B40E379A-9167-407E-9608-B74BA6466C72}" name="Customer ID"/>
    <tableColumn id="1" xr3:uid="{F182C9B7-1150-4C05-8DB2-21549C374B75}" name="Service Category" dataDxfId="22" totalsRowDxfId="21"/>
    <tableColumn id="6" xr3:uid="{3D7F9D98-9885-4663-9DA3-30D878FFD8C1}" name="Order Date" dataDxfId="20" totalsRowDxfId="19"/>
    <tableColumn id="7" xr3:uid="{F8C55E33-160D-4F12-A655-3D3DF662BD4B}" name="Quantity Ordered" dataDxfId="18" totalsRowDxfId="17"/>
    <tableColumn id="8" xr3:uid="{BCA6D917-636A-485C-BB51-A3621E80B623}" name="Order Status" totalsRowDxfId="16"/>
    <tableColumn id="9" xr3:uid="{D65DB00C-5779-407B-ADFF-69CE30D1E655}" name="State"/>
    <tableColumn id="10" xr3:uid="{CB24D16E-5740-493C-BD2B-3628918F8525}" name="Address "/>
    <tableColumn id="16" xr3:uid="{691F4BE2-6ED9-4E34-A727-E879D79633AC}" name="City" dataDxfId="15" totalsRowDxfId="14"/>
    <tableColumn id="11" xr3:uid="{F9DB7ECB-52D7-4EE9-AD53-E8AA0C339D75}" name="Postal Code" dataDxfId="13" totalsRowDxfId="12"/>
    <tableColumn id="14" xr3:uid="{8A790E29-5901-4439-98E2-F0CAE40D6A31}" name="Sales Price (Per unit)" totalsRowFunction="custom" dataDxfId="11" totalsRowDxfId="10">
      <totalsRowFormula>SUM(Customers_Table[Sales Price (Per unit)])</totalsRowFormula>
    </tableColumn>
    <tableColumn id="12" xr3:uid="{77A60B91-69D7-41F6-9217-6BDA3D026FCD}" name="Sale Price " totalsRowFunction="custom" dataDxfId="9" totalsRowDxfId="8">
      <calculatedColumnFormula>Customers_Table[[#This Row],[Quantity Ordered]]*Customers_Table[[#This Row],[Sales Price (Per unit)]]</calculatedColumnFormula>
      <totalsRowFormula>SUM(Customers_Table[[Sale Price ]])</totalsRowFormula>
    </tableColumn>
    <tableColumn id="13" xr3:uid="{6C408106-777B-419E-BE10-1704FBE8FEB1}" name="Phone" dataDxfId="7" totalsRowDxfId="6"/>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A920E0C-86FE-B847-8314-36B3F07FDC91}" name="Merge" displayName="Merge" ref="A1:AA1005" tableType="queryTable" totalsRowShown="0">
  <autoFilter ref="A1:AA1005" xr:uid="{EA920E0C-86FE-B847-8314-36B3F07FDC91}"/>
  <tableColumns count="27">
    <tableColumn id="1" xr3:uid="{B8E560F2-464F-2741-AA03-6791C1ADC42C}" uniqueName="1" name="Order ID" queryTableFieldId="1"/>
    <tableColumn id="2" xr3:uid="{58989C35-5CC5-0D40-9C8A-1F899EA5B41A}" uniqueName="2" name="Customer Last Name" queryTableFieldId="2" dataDxfId="47"/>
    <tableColumn id="27" xr3:uid="{0510C42F-5999-4046-99B4-B8DDFC0C58D8}" uniqueName="27" name="Customer Name" queryTableFieldId="27" dataDxfId="46">
      <calculatedColumnFormula>_xlfn.CONCAT(Merge[[#This Row],[Customer First Name]]," ",Merge[[#This Row],[Customer Last Name]])</calculatedColumnFormula>
    </tableColumn>
    <tableColumn id="3" xr3:uid="{AF79116D-BE94-F447-B982-D898222E4AF0}" uniqueName="3" name="Customer First Name" queryTableFieldId="3" dataDxfId="45"/>
    <tableColumn id="4" xr3:uid="{C0240FA9-54C8-6D40-89E2-5EF52EB4044A}" uniqueName="4" name="Customer ID" queryTableFieldId="4"/>
    <tableColumn id="5" xr3:uid="{1CB30565-7DD9-4A48-BC5F-863F7928471E}" uniqueName="5" name="Service Category" queryTableFieldId="5" dataDxfId="44"/>
    <tableColumn id="6" xr3:uid="{48278A31-26E6-B843-9C28-83E423FDAB5E}" uniqueName="6" name="Order Date" queryTableFieldId="6" dataDxfId="43"/>
    <tableColumn id="7" xr3:uid="{A6733C45-8271-124B-A423-51EB344BD0B1}" uniqueName="7" name="Quantity Ordered" queryTableFieldId="7"/>
    <tableColumn id="8" xr3:uid="{BF97B90A-CF5F-5C4B-8993-330DD1BDD0B6}" uniqueName="8" name="Order Status" queryTableFieldId="8" dataDxfId="42"/>
    <tableColumn id="9" xr3:uid="{A8DF3FF5-4A21-1747-8B22-DD5E82E8F3ED}" uniqueName="9" name="State" queryTableFieldId="9" dataDxfId="41"/>
    <tableColumn id="10" xr3:uid="{2B3AAD52-AF1C-E747-AB7D-B385FAB653B0}" uniqueName="10" name="Margins" queryTableFieldId="10"/>
    <tableColumn id="11" xr3:uid="{8663AA44-F149-1948-9329-63A9399D14B3}" uniqueName="11" name="Service Provider Expense" queryTableFieldId="11"/>
    <tableColumn id="12" xr3:uid="{5358A9E0-043D-2F4E-AB80-82DF023F2F89}" uniqueName="12" name="Sale Price " queryTableFieldId="12"/>
    <tableColumn id="13" xr3:uid="{6DACE138-8F50-634C-BDC4-D465766CDC0D}" uniqueName="13" name="Total Profit (GMROI)" queryTableFieldId="13"/>
    <tableColumn id="14" xr3:uid="{4F05BF7E-3029-6645-A660-8B7697D98CAE}" uniqueName="14" name="Sales Agent" queryTableFieldId="28" dataDxfId="40"/>
    <tableColumn id="15" xr3:uid="{6C92DBE1-E83A-FD4A-86EF-3EA4A9843DCF}" uniqueName="15" name="Customer ID.1" queryTableFieldId="29"/>
    <tableColumn id="16" xr3:uid="{91B9BB27-D155-A54E-88E7-4A967D3F536C}" uniqueName="16" name="Service Category.1" queryTableFieldId="30" dataDxfId="39"/>
    <tableColumn id="17" xr3:uid="{83376927-C18F-7940-B146-F52B5B90AEF4}" uniqueName="17" name="Order Date.1" queryTableFieldId="31" dataDxfId="38"/>
    <tableColumn id="18" xr3:uid="{AFB57F0F-07BC-DA48-A28D-35B978713B7D}" uniqueName="18" name="Quantity Ordered.1" queryTableFieldId="32"/>
    <tableColumn id="19" xr3:uid="{E47CEA61-C3FC-954B-A409-090A6A4FA941}" uniqueName="19" name="Order Status.1" queryTableFieldId="33" dataDxfId="37"/>
    <tableColumn id="20" xr3:uid="{E0FA31CC-FF80-8544-9C5F-0C86078E28DC}" uniqueName="20" name="State.1" queryTableFieldId="34" dataDxfId="36"/>
    <tableColumn id="21" xr3:uid="{32D35BE6-011C-1C46-A304-5D76D0B8302B}" uniqueName="21" name="Address " queryTableFieldId="35" dataDxfId="35"/>
    <tableColumn id="22" xr3:uid="{B66E76D6-EE22-8045-BE50-EEBA25D81475}" uniqueName="22" name="City" queryTableFieldId="36" dataDxfId="34"/>
    <tableColumn id="23" xr3:uid="{A561E145-EAEF-864E-8D56-BD5883C62A22}" uniqueName="23" name="Postal Code" queryTableFieldId="37"/>
    <tableColumn id="24" xr3:uid="{F3F97D6D-8BB5-AC47-BAD3-AC92AB20A009}" uniqueName="24" name="Sales Price (Per unit)" queryTableFieldId="24"/>
    <tableColumn id="25" xr3:uid="{5F75601B-FE98-BB45-BC55-A6FDD978619E}" uniqueName="25" name="Sale Price .1" queryTableFieldId="38"/>
    <tableColumn id="26" xr3:uid="{D6BB4748-D060-D648-A5ED-088E6154AD58}" uniqueName="26" name="Phone" queryTableFieldId="26" dataDxfId="3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EEA6771-DF47-0C4E-A06A-CCAC94488A4D}" name="Table20" displayName="Table20" ref="A3:AA5" totalsRowShown="0">
  <autoFilter ref="A3:AA5" xr:uid="{1EEA6771-DF47-0C4E-A06A-CCAC94488A4D}"/>
  <tableColumns count="27">
    <tableColumn id="1" xr3:uid="{AA431FE2-FD07-A24D-A5FA-3DFAD38958C4}" name="Order ID"/>
    <tableColumn id="2" xr3:uid="{675DA277-4C4C-104E-AE7D-A3E7147A6ED2}" name="Customer Last Name"/>
    <tableColumn id="3" xr3:uid="{9BFF31A2-5387-1A4C-AEFA-E8D06D21E6A6}" name="Customer Name"/>
    <tableColumn id="4" xr3:uid="{E96B3D61-0D3C-D447-B1AC-04BD9719417D}" name="Customer First Name"/>
    <tableColumn id="5" xr3:uid="{07BB498E-6F07-3649-A266-EA652B7516A3}" name="Customer ID"/>
    <tableColumn id="6" xr3:uid="{A173A830-1462-1B47-92BB-AC4399C7592B}" name="Service Category"/>
    <tableColumn id="7" xr3:uid="{06131FB6-160E-CD44-A3CF-C44B4E899719}" name="Order Date" dataDxfId="49"/>
    <tableColumn id="8" xr3:uid="{7AE5FE6A-BEEC-1749-B240-34EA0D58F1C2}" name="Quantity Ordered"/>
    <tableColumn id="9" xr3:uid="{46824584-CD23-F848-AE41-DC885CBB447A}" name="Order Status"/>
    <tableColumn id="10" xr3:uid="{40A50254-7469-2A42-9243-DEEA73CAA5E8}" name="State"/>
    <tableColumn id="11" xr3:uid="{F8195F32-CDFE-E645-A845-CCCCE8D7138B}" name="Margins"/>
    <tableColumn id="12" xr3:uid="{80AB800A-0816-5D43-BBD9-CB2A25BC96B1}" name="Service Provider Expense"/>
    <tableColumn id="13" xr3:uid="{4FB8359A-48B6-F84B-97FE-20DB846CC52B}" name="Sale Price "/>
    <tableColumn id="14" xr3:uid="{C02E8D23-B6C1-0747-B082-FD11E01A2DE8}" name="Total Profit (GMROI)"/>
    <tableColumn id="15" xr3:uid="{0CAA18A8-751C-734A-989C-C003CB3C2787}" name="Sales Agent"/>
    <tableColumn id="16" xr3:uid="{46AE1349-6807-A940-9FD9-074867FC4291}" name="Customer ID.1"/>
    <tableColumn id="17" xr3:uid="{1B0DBC09-5A0B-434A-94EA-755F79042A42}" name="Service Category.1"/>
    <tableColumn id="18" xr3:uid="{30AF54A9-F6BC-E24A-8995-271F803951BD}" name="Order Date.1" dataDxfId="48"/>
    <tableColumn id="19" xr3:uid="{7B82351A-9A90-A745-A35F-FB4207963504}" name="Quantity Ordered.1"/>
    <tableColumn id="20" xr3:uid="{E22932F6-44A3-B244-94EB-B42BF723B7CA}" name="Order Status.1"/>
    <tableColumn id="21" xr3:uid="{20DD01AA-7011-B243-AF55-0990DB4BCA90}" name="State.1"/>
    <tableColumn id="22" xr3:uid="{2CC059CD-2FCD-5741-9318-13119835BE5E}" name="Address "/>
    <tableColumn id="23" xr3:uid="{AAE3F368-92FA-0846-A0FB-D4010FB1CAA8}" name="City"/>
    <tableColumn id="24" xr3:uid="{6811FE66-ECC9-EE4E-ABB0-7AD57EC9523C}" name="Postal Code"/>
    <tableColumn id="25" xr3:uid="{E95FA0EB-62FD-4C46-94A6-A6B23753B5A0}" name="Sales Price (Per unit)"/>
    <tableColumn id="26" xr3:uid="{1F6667A4-3F21-744E-86F6-4661A94C4A44}" name="Sale Price .1"/>
    <tableColumn id="27" xr3:uid="{60F9F73B-2D2A-324B-8AE2-A331CCF31DF5}" name="Phon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2C554C-69C3-4AA3-A828-CBB2CCF84BFD}" name="Table7" displayName="Table7" ref="A1:C7" totalsRowShown="0" headerRowDxfId="5" dataDxfId="4">
  <autoFilter ref="A1:C7" xr:uid="{5D2C554C-69C3-4AA3-A828-CBB2CCF84BFD}"/>
  <tableColumns count="3">
    <tableColumn id="1" xr3:uid="{14A2F35F-0858-4BDE-BCD5-2054BC818A68}" name="Service" dataDxfId="3"/>
    <tableColumn id="2" xr3:uid="{087AA21A-FB72-4E6C-9F83-FC5B5E1177E6}" name="Price (USD)" dataDxfId="2"/>
    <tableColumn id="3" xr3:uid="{116C629D-DA96-4B5E-8197-BAEA0246C784}" name="Margin (in %)"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DCC74C6-1971-0E49-B439-E0C11099B967}">
  <we:reference id="wa200005502" version="1.0.0.12" store="en-GB" storeType="OMEX"/>
  <we:alternateReferences>
    <we:reference id="wa200005502" version="1.0.0.12" store="wa200005502" storeType="OMEX"/>
  </we:alternateReferences>
  <we:properties>
    <we:property name="docId" value="&quot;EDvR_0_WRQ68te_Wxnul0&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7677E-4B66-9E48-9133-7E6DACD87F76}">
  <dimension ref="A1:N1001"/>
  <sheetViews>
    <sheetView workbookViewId="0"/>
  </sheetViews>
  <sheetFormatPr baseColWidth="10" defaultRowHeight="15" x14ac:dyDescent="0.2"/>
  <cols>
    <col min="1" max="1" width="10.1640625" bestFit="1" customWidth="1"/>
    <col min="2" max="2" width="19.5" bestFit="1" customWidth="1"/>
    <col min="3" max="3" width="19.83203125" bestFit="1" customWidth="1"/>
    <col min="4" max="4" width="13.1640625" bestFit="1" customWidth="1"/>
    <col min="5" max="5" width="20.5" bestFit="1" customWidth="1"/>
    <col min="6" max="6" width="12.1640625" bestFit="1" customWidth="1"/>
    <col min="7" max="7" width="17.33203125" bestFit="1" customWidth="1"/>
    <col min="8" max="8" width="13.1640625" bestFit="1" customWidth="1"/>
    <col min="9" max="9" width="7.6640625" bestFit="1" customWidth="1"/>
    <col min="10" max="10" width="9.83203125" bestFit="1" customWidth="1"/>
    <col min="11" max="11" width="23.1640625" bestFit="1" customWidth="1"/>
    <col min="12" max="12" width="11.5" bestFit="1" customWidth="1"/>
    <col min="13" max="13" width="19.1640625" bestFit="1" customWidth="1"/>
    <col min="14" max="14" width="12.5" bestFit="1" customWidth="1"/>
  </cols>
  <sheetData>
    <row r="1" spans="1:14" x14ac:dyDescent="0.2">
      <c r="A1" t="s">
        <v>15</v>
      </c>
      <c r="B1" t="s">
        <v>16</v>
      </c>
      <c r="C1" t="s">
        <v>17</v>
      </c>
      <c r="D1" t="s">
        <v>18</v>
      </c>
      <c r="E1" t="s">
        <v>19</v>
      </c>
      <c r="F1" t="s">
        <v>20</v>
      </c>
      <c r="G1" t="s">
        <v>21</v>
      </c>
      <c r="H1" t="s">
        <v>22</v>
      </c>
      <c r="I1" t="s">
        <v>23</v>
      </c>
      <c r="J1" t="s">
        <v>24</v>
      </c>
      <c r="K1" t="s">
        <v>25</v>
      </c>
      <c r="L1" t="s">
        <v>26</v>
      </c>
      <c r="M1" t="s">
        <v>27</v>
      </c>
      <c r="N1" t="s">
        <v>28</v>
      </c>
    </row>
    <row r="2" spans="1:14" x14ac:dyDescent="0.2">
      <c r="A2">
        <v>3001</v>
      </c>
      <c r="B2" t="s">
        <v>29</v>
      </c>
      <c r="C2" t="s">
        <v>30</v>
      </c>
      <c r="D2">
        <v>1234</v>
      </c>
      <c r="E2" t="s">
        <v>31</v>
      </c>
      <c r="F2" s="1">
        <v>45418</v>
      </c>
      <c r="G2">
        <v>3</v>
      </c>
      <c r="H2" t="s">
        <v>32</v>
      </c>
      <c r="I2" t="s">
        <v>33</v>
      </c>
      <c r="J2">
        <v>0.1</v>
      </c>
      <c r="K2">
        <v>56.400000000000006</v>
      </c>
      <c r="L2">
        <v>564</v>
      </c>
      <c r="M2">
        <v>507.6</v>
      </c>
      <c r="N2" t="s">
        <v>34</v>
      </c>
    </row>
    <row r="3" spans="1:14" x14ac:dyDescent="0.2">
      <c r="A3">
        <v>3002</v>
      </c>
      <c r="B3" t="s">
        <v>35</v>
      </c>
      <c r="C3" t="s">
        <v>36</v>
      </c>
      <c r="D3">
        <v>1235</v>
      </c>
      <c r="E3" t="s">
        <v>37</v>
      </c>
      <c r="F3" s="1">
        <v>45491</v>
      </c>
      <c r="G3">
        <v>3</v>
      </c>
      <c r="H3" t="s">
        <v>38</v>
      </c>
      <c r="I3" t="s">
        <v>39</v>
      </c>
      <c r="J3">
        <v>0.3</v>
      </c>
      <c r="K3">
        <v>233.1</v>
      </c>
      <c r="L3">
        <v>777</v>
      </c>
      <c r="M3">
        <v>543.9</v>
      </c>
      <c r="N3" t="s">
        <v>34</v>
      </c>
    </row>
    <row r="4" spans="1:14" x14ac:dyDescent="0.2">
      <c r="A4">
        <v>3003</v>
      </c>
      <c r="B4" t="s">
        <v>40</v>
      </c>
      <c r="C4" t="s">
        <v>41</v>
      </c>
      <c r="D4">
        <v>1236</v>
      </c>
      <c r="E4" t="s">
        <v>42</v>
      </c>
      <c r="F4" s="1">
        <v>45487</v>
      </c>
      <c r="G4">
        <v>1</v>
      </c>
      <c r="H4" t="s">
        <v>32</v>
      </c>
      <c r="I4" t="s">
        <v>43</v>
      </c>
      <c r="J4">
        <v>0.25</v>
      </c>
      <c r="K4">
        <v>457.25</v>
      </c>
      <c r="L4">
        <v>1829</v>
      </c>
      <c r="M4">
        <v>1371.75</v>
      </c>
      <c r="N4" t="s">
        <v>44</v>
      </c>
    </row>
    <row r="5" spans="1:14" x14ac:dyDescent="0.2">
      <c r="A5">
        <v>3004</v>
      </c>
      <c r="B5" t="s">
        <v>45</v>
      </c>
      <c r="C5" t="s">
        <v>46</v>
      </c>
      <c r="D5">
        <v>1237</v>
      </c>
      <c r="E5" t="s">
        <v>42</v>
      </c>
      <c r="F5" s="1">
        <v>45469</v>
      </c>
      <c r="G5">
        <v>2</v>
      </c>
      <c r="H5" t="s">
        <v>32</v>
      </c>
      <c r="I5" t="s">
        <v>47</v>
      </c>
      <c r="J5">
        <v>0.25</v>
      </c>
      <c r="K5">
        <v>56.75</v>
      </c>
      <c r="L5">
        <v>227</v>
      </c>
      <c r="M5">
        <v>170.25</v>
      </c>
      <c r="N5" t="s">
        <v>48</v>
      </c>
    </row>
    <row r="6" spans="1:14" x14ac:dyDescent="0.2">
      <c r="A6">
        <v>3005</v>
      </c>
      <c r="B6" t="s">
        <v>49</v>
      </c>
      <c r="C6" t="s">
        <v>50</v>
      </c>
      <c r="D6">
        <v>1238</v>
      </c>
      <c r="E6" t="s">
        <v>51</v>
      </c>
      <c r="F6" s="1">
        <v>45624</v>
      </c>
      <c r="G6">
        <v>1</v>
      </c>
      <c r="H6" t="s">
        <v>52</v>
      </c>
      <c r="I6" t="s">
        <v>53</v>
      </c>
      <c r="J6">
        <v>0.2</v>
      </c>
      <c r="K6">
        <v>271</v>
      </c>
      <c r="L6">
        <v>1355</v>
      </c>
      <c r="M6">
        <v>1084</v>
      </c>
      <c r="N6" t="s">
        <v>54</v>
      </c>
    </row>
    <row r="7" spans="1:14" x14ac:dyDescent="0.2">
      <c r="A7">
        <v>3006</v>
      </c>
      <c r="B7" t="s">
        <v>55</v>
      </c>
      <c r="C7" t="s">
        <v>56</v>
      </c>
      <c r="D7">
        <v>1239</v>
      </c>
      <c r="E7" t="s">
        <v>37</v>
      </c>
      <c r="F7" s="1">
        <v>45449</v>
      </c>
      <c r="G7">
        <v>1</v>
      </c>
      <c r="H7" t="s">
        <v>52</v>
      </c>
      <c r="I7" t="s">
        <v>57</v>
      </c>
      <c r="J7">
        <v>0.3</v>
      </c>
      <c r="K7">
        <v>335.4</v>
      </c>
      <c r="L7">
        <v>1118</v>
      </c>
      <c r="M7">
        <v>782.6</v>
      </c>
      <c r="N7" t="s">
        <v>48</v>
      </c>
    </row>
    <row r="8" spans="1:14" x14ac:dyDescent="0.2">
      <c r="A8">
        <v>3007</v>
      </c>
      <c r="B8" t="s">
        <v>58</v>
      </c>
      <c r="C8" t="s">
        <v>59</v>
      </c>
      <c r="D8">
        <v>1240</v>
      </c>
      <c r="E8" t="s">
        <v>51</v>
      </c>
      <c r="F8" s="1">
        <v>45369</v>
      </c>
      <c r="G8">
        <v>2</v>
      </c>
      <c r="H8" t="s">
        <v>52</v>
      </c>
      <c r="I8" t="s">
        <v>47</v>
      </c>
      <c r="J8">
        <v>0.2</v>
      </c>
      <c r="K8">
        <v>223</v>
      </c>
      <c r="L8">
        <v>1115</v>
      </c>
      <c r="M8">
        <v>892</v>
      </c>
      <c r="N8" t="s">
        <v>34</v>
      </c>
    </row>
    <row r="9" spans="1:14" x14ac:dyDescent="0.2">
      <c r="A9">
        <v>3008</v>
      </c>
      <c r="B9" t="s">
        <v>60</v>
      </c>
      <c r="C9" t="s">
        <v>61</v>
      </c>
      <c r="D9">
        <v>1241</v>
      </c>
      <c r="E9" t="s">
        <v>37</v>
      </c>
      <c r="F9" s="1">
        <v>45591</v>
      </c>
      <c r="G9">
        <v>2</v>
      </c>
      <c r="H9" t="s">
        <v>32</v>
      </c>
      <c r="I9" t="s">
        <v>33</v>
      </c>
      <c r="J9">
        <v>0.3</v>
      </c>
      <c r="K9">
        <v>357.9</v>
      </c>
      <c r="L9">
        <v>1193</v>
      </c>
      <c r="M9">
        <v>835.1</v>
      </c>
      <c r="N9" t="s">
        <v>54</v>
      </c>
    </row>
    <row r="10" spans="1:14" x14ac:dyDescent="0.2">
      <c r="A10">
        <v>3009</v>
      </c>
      <c r="B10" t="s">
        <v>62</v>
      </c>
      <c r="C10" t="s">
        <v>63</v>
      </c>
      <c r="D10">
        <v>1242</v>
      </c>
      <c r="E10" t="s">
        <v>42</v>
      </c>
      <c r="F10" s="1">
        <v>45330</v>
      </c>
      <c r="G10">
        <v>2</v>
      </c>
      <c r="H10" t="s">
        <v>52</v>
      </c>
      <c r="I10" t="s">
        <v>64</v>
      </c>
      <c r="J10">
        <v>0.25</v>
      </c>
      <c r="K10">
        <v>353.25</v>
      </c>
      <c r="L10">
        <v>1413</v>
      </c>
      <c r="M10">
        <v>1059.75</v>
      </c>
      <c r="N10" t="s">
        <v>48</v>
      </c>
    </row>
    <row r="11" spans="1:14" x14ac:dyDescent="0.2">
      <c r="A11">
        <v>3010</v>
      </c>
      <c r="B11" t="s">
        <v>65</v>
      </c>
      <c r="C11" t="s">
        <v>66</v>
      </c>
      <c r="D11">
        <v>1243</v>
      </c>
      <c r="E11" t="s">
        <v>37</v>
      </c>
      <c r="F11" s="1">
        <v>45635</v>
      </c>
      <c r="G11">
        <v>2</v>
      </c>
      <c r="H11" t="s">
        <v>52</v>
      </c>
      <c r="I11" t="s">
        <v>64</v>
      </c>
      <c r="J11">
        <v>0.3</v>
      </c>
      <c r="K11">
        <v>319.8</v>
      </c>
      <c r="L11">
        <v>1066</v>
      </c>
      <c r="M11">
        <v>746.2</v>
      </c>
      <c r="N11" t="s">
        <v>44</v>
      </c>
    </row>
    <row r="12" spans="1:14" x14ac:dyDescent="0.2">
      <c r="A12">
        <v>3011</v>
      </c>
      <c r="B12" t="s">
        <v>67</v>
      </c>
      <c r="C12" t="s">
        <v>68</v>
      </c>
      <c r="D12">
        <v>1244</v>
      </c>
      <c r="E12" t="s">
        <v>31</v>
      </c>
      <c r="F12" s="1">
        <v>45414</v>
      </c>
      <c r="G12">
        <v>1</v>
      </c>
      <c r="H12" t="s">
        <v>32</v>
      </c>
      <c r="I12" t="s">
        <v>53</v>
      </c>
      <c r="J12">
        <v>0.1</v>
      </c>
      <c r="K12">
        <v>95.300000000000011</v>
      </c>
      <c r="L12">
        <v>953</v>
      </c>
      <c r="M12">
        <v>857.7</v>
      </c>
      <c r="N12" t="s">
        <v>54</v>
      </c>
    </row>
    <row r="13" spans="1:14" x14ac:dyDescent="0.2">
      <c r="A13">
        <v>3012</v>
      </c>
      <c r="B13" t="s">
        <v>69</v>
      </c>
      <c r="C13" t="s">
        <v>70</v>
      </c>
      <c r="D13">
        <v>1245</v>
      </c>
      <c r="E13" t="s">
        <v>42</v>
      </c>
      <c r="F13" s="1">
        <v>45316</v>
      </c>
      <c r="G13">
        <v>3</v>
      </c>
      <c r="H13" t="s">
        <v>71</v>
      </c>
      <c r="I13" t="s">
        <v>57</v>
      </c>
      <c r="J13">
        <v>0.25</v>
      </c>
      <c r="K13">
        <v>406.75</v>
      </c>
      <c r="L13">
        <v>1627</v>
      </c>
      <c r="M13">
        <v>1220.25</v>
      </c>
      <c r="N13" t="s">
        <v>44</v>
      </c>
    </row>
    <row r="14" spans="1:14" x14ac:dyDescent="0.2">
      <c r="A14">
        <v>3013</v>
      </c>
      <c r="B14" t="s">
        <v>72</v>
      </c>
      <c r="C14" t="s">
        <v>73</v>
      </c>
      <c r="D14">
        <v>1246</v>
      </c>
      <c r="E14" t="s">
        <v>42</v>
      </c>
      <c r="F14" s="1">
        <v>45486</v>
      </c>
      <c r="G14">
        <v>3</v>
      </c>
      <c r="H14" t="s">
        <v>52</v>
      </c>
      <c r="I14" t="s">
        <v>57</v>
      </c>
      <c r="J14">
        <v>0.25</v>
      </c>
      <c r="K14">
        <v>143.25</v>
      </c>
      <c r="L14">
        <v>573</v>
      </c>
      <c r="M14">
        <v>429.75</v>
      </c>
      <c r="N14" t="s">
        <v>44</v>
      </c>
    </row>
    <row r="15" spans="1:14" x14ac:dyDescent="0.2">
      <c r="A15">
        <v>3014</v>
      </c>
      <c r="B15" t="s">
        <v>74</v>
      </c>
      <c r="C15" t="s">
        <v>75</v>
      </c>
      <c r="D15">
        <v>1247</v>
      </c>
      <c r="E15" t="s">
        <v>76</v>
      </c>
      <c r="F15" s="1">
        <v>45317</v>
      </c>
      <c r="G15">
        <v>2</v>
      </c>
      <c r="H15" t="s">
        <v>32</v>
      </c>
      <c r="I15" t="s">
        <v>47</v>
      </c>
      <c r="J15">
        <v>0.25</v>
      </c>
      <c r="K15">
        <v>67</v>
      </c>
      <c r="L15">
        <v>268</v>
      </c>
      <c r="M15">
        <v>201</v>
      </c>
      <c r="N15" t="s">
        <v>34</v>
      </c>
    </row>
    <row r="16" spans="1:14" x14ac:dyDescent="0.2">
      <c r="A16">
        <v>3015</v>
      </c>
      <c r="B16" t="s">
        <v>77</v>
      </c>
      <c r="C16" t="s">
        <v>78</v>
      </c>
      <c r="D16">
        <v>1248</v>
      </c>
      <c r="E16" t="s">
        <v>31</v>
      </c>
      <c r="F16" s="1">
        <v>45473</v>
      </c>
      <c r="G16">
        <v>1</v>
      </c>
      <c r="H16" t="s">
        <v>52</v>
      </c>
      <c r="I16" t="s">
        <v>43</v>
      </c>
      <c r="J16">
        <v>0.1</v>
      </c>
      <c r="K16">
        <v>36.9</v>
      </c>
      <c r="L16">
        <v>369</v>
      </c>
      <c r="M16">
        <v>332.1</v>
      </c>
      <c r="N16" t="s">
        <v>48</v>
      </c>
    </row>
    <row r="17" spans="1:14" x14ac:dyDescent="0.2">
      <c r="A17">
        <v>3016</v>
      </c>
      <c r="B17" t="s">
        <v>79</v>
      </c>
      <c r="C17" t="s">
        <v>80</v>
      </c>
      <c r="D17">
        <v>1249</v>
      </c>
      <c r="E17" t="s">
        <v>51</v>
      </c>
      <c r="F17" s="1">
        <v>45517</v>
      </c>
      <c r="G17">
        <v>1</v>
      </c>
      <c r="H17" t="s">
        <v>32</v>
      </c>
      <c r="I17" t="s">
        <v>81</v>
      </c>
      <c r="J17">
        <v>0.2</v>
      </c>
      <c r="K17">
        <v>51.6</v>
      </c>
      <c r="L17">
        <v>258</v>
      </c>
      <c r="M17">
        <v>206.4</v>
      </c>
      <c r="N17" t="s">
        <v>34</v>
      </c>
    </row>
    <row r="18" spans="1:14" x14ac:dyDescent="0.2">
      <c r="A18">
        <v>3017</v>
      </c>
      <c r="B18" t="s">
        <v>82</v>
      </c>
      <c r="C18" t="s">
        <v>83</v>
      </c>
      <c r="D18">
        <v>1250</v>
      </c>
      <c r="E18" t="s">
        <v>31</v>
      </c>
      <c r="F18" s="1">
        <v>45645</v>
      </c>
      <c r="G18">
        <v>2</v>
      </c>
      <c r="H18" t="s">
        <v>32</v>
      </c>
      <c r="I18" t="s">
        <v>43</v>
      </c>
      <c r="J18">
        <v>0.1</v>
      </c>
      <c r="K18">
        <v>56.400000000000006</v>
      </c>
      <c r="L18">
        <v>564</v>
      </c>
      <c r="M18">
        <v>507.6</v>
      </c>
      <c r="N18" t="s">
        <v>48</v>
      </c>
    </row>
    <row r="19" spans="1:14" x14ac:dyDescent="0.2">
      <c r="A19">
        <v>3018</v>
      </c>
      <c r="B19" t="s">
        <v>84</v>
      </c>
      <c r="C19" t="s">
        <v>85</v>
      </c>
      <c r="D19">
        <v>1251</v>
      </c>
      <c r="E19" t="s">
        <v>51</v>
      </c>
      <c r="F19" s="1">
        <v>45524</v>
      </c>
      <c r="G19">
        <v>2</v>
      </c>
      <c r="H19" t="s">
        <v>38</v>
      </c>
      <c r="I19" t="s">
        <v>64</v>
      </c>
      <c r="J19">
        <v>0.2</v>
      </c>
      <c r="K19">
        <v>326</v>
      </c>
      <c r="L19">
        <v>1630</v>
      </c>
      <c r="M19">
        <v>1304</v>
      </c>
      <c r="N19" t="s">
        <v>44</v>
      </c>
    </row>
    <row r="20" spans="1:14" x14ac:dyDescent="0.2">
      <c r="A20">
        <v>3019</v>
      </c>
      <c r="B20" t="s">
        <v>86</v>
      </c>
      <c r="C20" t="s">
        <v>87</v>
      </c>
      <c r="D20">
        <v>1252</v>
      </c>
      <c r="E20" t="s">
        <v>76</v>
      </c>
      <c r="F20" s="1">
        <v>45455</v>
      </c>
      <c r="G20">
        <v>2</v>
      </c>
      <c r="H20" t="s">
        <v>52</v>
      </c>
      <c r="I20" t="s">
        <v>39</v>
      </c>
      <c r="J20">
        <v>0.25</v>
      </c>
      <c r="K20">
        <v>79.5</v>
      </c>
      <c r="L20">
        <v>318</v>
      </c>
      <c r="M20">
        <v>238.5</v>
      </c>
      <c r="N20" t="s">
        <v>54</v>
      </c>
    </row>
    <row r="21" spans="1:14" x14ac:dyDescent="0.2">
      <c r="A21">
        <v>3020</v>
      </c>
      <c r="B21" t="s">
        <v>88</v>
      </c>
      <c r="C21" t="s">
        <v>89</v>
      </c>
      <c r="D21">
        <v>1253</v>
      </c>
      <c r="E21" t="s">
        <v>37</v>
      </c>
      <c r="F21" s="1">
        <v>45308</v>
      </c>
      <c r="G21">
        <v>3</v>
      </c>
      <c r="H21" t="s">
        <v>32</v>
      </c>
      <c r="I21" t="s">
        <v>57</v>
      </c>
      <c r="J21">
        <v>0.3</v>
      </c>
      <c r="K21">
        <v>38.699999999999996</v>
      </c>
      <c r="L21">
        <v>129</v>
      </c>
      <c r="M21">
        <v>90.300000000000011</v>
      </c>
      <c r="N21" t="s">
        <v>48</v>
      </c>
    </row>
    <row r="22" spans="1:14" x14ac:dyDescent="0.2">
      <c r="A22">
        <v>3021</v>
      </c>
      <c r="B22" t="s">
        <v>90</v>
      </c>
      <c r="C22" t="s">
        <v>91</v>
      </c>
      <c r="D22">
        <v>1254</v>
      </c>
      <c r="E22" t="s">
        <v>92</v>
      </c>
      <c r="F22" s="1">
        <v>45615</v>
      </c>
      <c r="G22">
        <v>2</v>
      </c>
      <c r="H22" t="s">
        <v>52</v>
      </c>
      <c r="I22" t="s">
        <v>39</v>
      </c>
      <c r="J22">
        <v>0.3</v>
      </c>
      <c r="K22">
        <v>291.89999999999998</v>
      </c>
      <c r="L22">
        <v>973</v>
      </c>
      <c r="M22">
        <v>681.1</v>
      </c>
      <c r="N22" t="s">
        <v>48</v>
      </c>
    </row>
    <row r="23" spans="1:14" x14ac:dyDescent="0.2">
      <c r="A23">
        <v>3022</v>
      </c>
      <c r="B23" t="s">
        <v>93</v>
      </c>
      <c r="C23" t="s">
        <v>94</v>
      </c>
      <c r="D23">
        <v>1255</v>
      </c>
      <c r="E23" t="s">
        <v>37</v>
      </c>
      <c r="F23" s="1">
        <v>45458</v>
      </c>
      <c r="G23">
        <v>2</v>
      </c>
      <c r="H23" t="s">
        <v>52</v>
      </c>
      <c r="I23" t="s">
        <v>39</v>
      </c>
      <c r="J23">
        <v>0.3</v>
      </c>
      <c r="K23">
        <v>464.7</v>
      </c>
      <c r="L23">
        <v>1549</v>
      </c>
      <c r="M23">
        <v>1084.3</v>
      </c>
      <c r="N23" t="s">
        <v>44</v>
      </c>
    </row>
    <row r="24" spans="1:14" x14ac:dyDescent="0.2">
      <c r="A24">
        <v>3023</v>
      </c>
      <c r="B24" t="s">
        <v>95</v>
      </c>
      <c r="C24" t="s">
        <v>96</v>
      </c>
      <c r="D24">
        <v>1256</v>
      </c>
      <c r="E24" t="s">
        <v>76</v>
      </c>
      <c r="F24" s="1">
        <v>45400</v>
      </c>
      <c r="G24">
        <v>3</v>
      </c>
      <c r="H24" t="s">
        <v>52</v>
      </c>
      <c r="I24" t="s">
        <v>33</v>
      </c>
      <c r="J24">
        <v>0.25</v>
      </c>
      <c r="K24">
        <v>154.25</v>
      </c>
      <c r="L24">
        <v>617</v>
      </c>
      <c r="M24">
        <v>462.75</v>
      </c>
      <c r="N24" t="s">
        <v>54</v>
      </c>
    </row>
    <row r="25" spans="1:14" x14ac:dyDescent="0.2">
      <c r="A25">
        <v>3024</v>
      </c>
      <c r="B25" t="s">
        <v>97</v>
      </c>
      <c r="C25" t="s">
        <v>98</v>
      </c>
      <c r="D25">
        <v>1257</v>
      </c>
      <c r="E25" t="s">
        <v>31</v>
      </c>
      <c r="F25" s="1">
        <v>45319</v>
      </c>
      <c r="G25">
        <v>2</v>
      </c>
      <c r="H25" t="s">
        <v>71</v>
      </c>
      <c r="I25" t="s">
        <v>39</v>
      </c>
      <c r="J25">
        <v>0.1</v>
      </c>
      <c r="K25">
        <v>66.600000000000009</v>
      </c>
      <c r="L25">
        <v>666</v>
      </c>
      <c r="M25">
        <v>599.4</v>
      </c>
      <c r="N25" t="s">
        <v>48</v>
      </c>
    </row>
    <row r="26" spans="1:14" x14ac:dyDescent="0.2">
      <c r="A26">
        <v>3025</v>
      </c>
      <c r="B26" t="s">
        <v>99</v>
      </c>
      <c r="C26" t="s">
        <v>100</v>
      </c>
      <c r="D26">
        <v>1258</v>
      </c>
      <c r="E26" t="s">
        <v>31</v>
      </c>
      <c r="F26" s="1">
        <v>45558</v>
      </c>
      <c r="G26">
        <v>2</v>
      </c>
      <c r="H26" t="s">
        <v>38</v>
      </c>
      <c r="I26" t="s">
        <v>43</v>
      </c>
      <c r="J26">
        <v>0.1</v>
      </c>
      <c r="K26">
        <v>72.7</v>
      </c>
      <c r="L26">
        <v>727</v>
      </c>
      <c r="M26">
        <v>654.29999999999995</v>
      </c>
      <c r="N26" t="s">
        <v>48</v>
      </c>
    </row>
    <row r="27" spans="1:14" x14ac:dyDescent="0.2">
      <c r="A27">
        <v>3026</v>
      </c>
      <c r="B27" t="s">
        <v>101</v>
      </c>
      <c r="C27" t="s">
        <v>102</v>
      </c>
      <c r="D27">
        <v>1259</v>
      </c>
      <c r="E27" t="s">
        <v>51</v>
      </c>
      <c r="F27" s="1">
        <v>45516</v>
      </c>
      <c r="G27">
        <v>2</v>
      </c>
      <c r="H27" t="s">
        <v>71</v>
      </c>
      <c r="I27" t="s">
        <v>33</v>
      </c>
      <c r="J27">
        <v>0.2</v>
      </c>
      <c r="K27">
        <v>237.8</v>
      </c>
      <c r="L27">
        <v>1189</v>
      </c>
      <c r="M27">
        <v>951.2</v>
      </c>
      <c r="N27" t="s">
        <v>34</v>
      </c>
    </row>
    <row r="28" spans="1:14" x14ac:dyDescent="0.2">
      <c r="A28">
        <v>3027</v>
      </c>
      <c r="B28" t="s">
        <v>103</v>
      </c>
      <c r="C28" t="s">
        <v>104</v>
      </c>
      <c r="D28">
        <v>1260</v>
      </c>
      <c r="E28" t="s">
        <v>76</v>
      </c>
      <c r="F28" s="1">
        <v>45301</v>
      </c>
      <c r="G28">
        <v>2</v>
      </c>
      <c r="H28" t="s">
        <v>32</v>
      </c>
      <c r="I28" t="s">
        <v>53</v>
      </c>
      <c r="J28">
        <v>0.25</v>
      </c>
      <c r="K28">
        <v>385</v>
      </c>
      <c r="L28">
        <v>1540</v>
      </c>
      <c r="M28">
        <v>1155</v>
      </c>
      <c r="N28" t="s">
        <v>54</v>
      </c>
    </row>
    <row r="29" spans="1:14" x14ac:dyDescent="0.2">
      <c r="A29">
        <v>3028</v>
      </c>
      <c r="B29" t="s">
        <v>104</v>
      </c>
      <c r="C29" t="s">
        <v>105</v>
      </c>
      <c r="D29">
        <v>1261</v>
      </c>
      <c r="E29" t="s">
        <v>76</v>
      </c>
      <c r="F29" s="1">
        <v>45348</v>
      </c>
      <c r="G29">
        <v>2</v>
      </c>
      <c r="H29" t="s">
        <v>52</v>
      </c>
      <c r="I29" t="s">
        <v>81</v>
      </c>
      <c r="J29">
        <v>0.25</v>
      </c>
      <c r="K29">
        <v>323.25</v>
      </c>
      <c r="L29">
        <v>1293</v>
      </c>
      <c r="M29">
        <v>969.75</v>
      </c>
      <c r="N29" t="s">
        <v>34</v>
      </c>
    </row>
    <row r="30" spans="1:14" x14ac:dyDescent="0.2">
      <c r="A30">
        <v>3029</v>
      </c>
      <c r="B30" t="s">
        <v>106</v>
      </c>
      <c r="C30" t="s">
        <v>107</v>
      </c>
      <c r="D30">
        <v>1262</v>
      </c>
      <c r="E30" t="s">
        <v>76</v>
      </c>
      <c r="F30" s="1">
        <v>45529</v>
      </c>
      <c r="G30">
        <v>3</v>
      </c>
      <c r="H30" t="s">
        <v>52</v>
      </c>
      <c r="I30" t="s">
        <v>43</v>
      </c>
      <c r="J30">
        <v>0.25</v>
      </c>
      <c r="K30">
        <v>90.75</v>
      </c>
      <c r="L30">
        <v>363</v>
      </c>
      <c r="M30">
        <v>272.25</v>
      </c>
      <c r="N30" t="s">
        <v>34</v>
      </c>
    </row>
    <row r="31" spans="1:14" x14ac:dyDescent="0.2">
      <c r="A31">
        <v>3030</v>
      </c>
      <c r="B31" t="s">
        <v>108</v>
      </c>
      <c r="C31" t="s">
        <v>109</v>
      </c>
      <c r="D31">
        <v>1263</v>
      </c>
      <c r="E31" t="s">
        <v>76</v>
      </c>
      <c r="F31" s="1">
        <v>45360</v>
      </c>
      <c r="G31">
        <v>2</v>
      </c>
      <c r="H31" t="s">
        <v>32</v>
      </c>
      <c r="I31" t="s">
        <v>43</v>
      </c>
      <c r="J31">
        <v>0.25</v>
      </c>
      <c r="K31">
        <v>100.75</v>
      </c>
      <c r="L31">
        <v>403</v>
      </c>
      <c r="M31">
        <v>302.25</v>
      </c>
      <c r="N31" t="s">
        <v>34</v>
      </c>
    </row>
    <row r="32" spans="1:14" x14ac:dyDescent="0.2">
      <c r="A32">
        <v>3031</v>
      </c>
      <c r="B32" t="s">
        <v>110</v>
      </c>
      <c r="C32" t="s">
        <v>111</v>
      </c>
      <c r="D32">
        <v>1264</v>
      </c>
      <c r="E32" t="s">
        <v>37</v>
      </c>
      <c r="F32" s="1">
        <v>45646</v>
      </c>
      <c r="G32">
        <v>3</v>
      </c>
      <c r="H32" t="s">
        <v>52</v>
      </c>
      <c r="I32" t="s">
        <v>53</v>
      </c>
      <c r="J32">
        <v>0.3</v>
      </c>
      <c r="K32">
        <v>280.5</v>
      </c>
      <c r="L32">
        <v>935</v>
      </c>
      <c r="M32">
        <v>654.5</v>
      </c>
      <c r="N32" t="s">
        <v>54</v>
      </c>
    </row>
    <row r="33" spans="1:14" x14ac:dyDescent="0.2">
      <c r="A33">
        <v>3032</v>
      </c>
      <c r="B33" t="s">
        <v>112</v>
      </c>
      <c r="C33" t="s">
        <v>113</v>
      </c>
      <c r="D33">
        <v>1265</v>
      </c>
      <c r="E33" t="s">
        <v>42</v>
      </c>
      <c r="F33" s="1">
        <v>45588</v>
      </c>
      <c r="G33">
        <v>1</v>
      </c>
      <c r="H33" t="s">
        <v>52</v>
      </c>
      <c r="I33" t="s">
        <v>64</v>
      </c>
      <c r="J33">
        <v>0.25</v>
      </c>
      <c r="K33">
        <v>116.75</v>
      </c>
      <c r="L33">
        <v>467</v>
      </c>
      <c r="M33">
        <v>350.25</v>
      </c>
      <c r="N33" t="s">
        <v>114</v>
      </c>
    </row>
    <row r="34" spans="1:14" x14ac:dyDescent="0.2">
      <c r="A34">
        <v>3033</v>
      </c>
      <c r="B34" t="s">
        <v>115</v>
      </c>
      <c r="C34" t="s">
        <v>116</v>
      </c>
      <c r="D34">
        <v>1266</v>
      </c>
      <c r="E34" t="s">
        <v>42</v>
      </c>
      <c r="F34" s="1">
        <v>45640</v>
      </c>
      <c r="G34">
        <v>1</v>
      </c>
      <c r="H34" t="s">
        <v>38</v>
      </c>
      <c r="I34" t="s">
        <v>47</v>
      </c>
      <c r="J34">
        <v>0.25</v>
      </c>
      <c r="K34">
        <v>19.5</v>
      </c>
      <c r="L34">
        <v>78</v>
      </c>
      <c r="M34">
        <v>58.5</v>
      </c>
      <c r="N34" t="s">
        <v>34</v>
      </c>
    </row>
    <row r="35" spans="1:14" x14ac:dyDescent="0.2">
      <c r="A35">
        <v>3034</v>
      </c>
      <c r="B35" t="s">
        <v>117</v>
      </c>
      <c r="C35" t="s">
        <v>118</v>
      </c>
      <c r="D35">
        <v>1267</v>
      </c>
      <c r="E35" t="s">
        <v>76</v>
      </c>
      <c r="F35" s="1">
        <v>45530</v>
      </c>
      <c r="G35">
        <v>3</v>
      </c>
      <c r="H35" t="s">
        <v>71</v>
      </c>
      <c r="I35" t="s">
        <v>81</v>
      </c>
      <c r="J35">
        <v>0.25</v>
      </c>
      <c r="K35">
        <v>62.75</v>
      </c>
      <c r="L35">
        <v>251</v>
      </c>
      <c r="M35">
        <v>188.25</v>
      </c>
      <c r="N35" t="s">
        <v>48</v>
      </c>
    </row>
    <row r="36" spans="1:14" x14ac:dyDescent="0.2">
      <c r="A36">
        <v>3035</v>
      </c>
      <c r="B36" t="s">
        <v>119</v>
      </c>
      <c r="C36" t="s">
        <v>120</v>
      </c>
      <c r="D36">
        <v>1268</v>
      </c>
      <c r="E36" t="s">
        <v>51</v>
      </c>
      <c r="F36" s="1">
        <v>45536</v>
      </c>
      <c r="G36">
        <v>1</v>
      </c>
      <c r="H36" t="s">
        <v>32</v>
      </c>
      <c r="I36" t="s">
        <v>57</v>
      </c>
      <c r="J36">
        <v>0.2</v>
      </c>
      <c r="K36">
        <v>50</v>
      </c>
      <c r="L36">
        <v>250</v>
      </c>
      <c r="M36">
        <v>200</v>
      </c>
      <c r="N36" t="s">
        <v>48</v>
      </c>
    </row>
    <row r="37" spans="1:14" x14ac:dyDescent="0.2">
      <c r="A37">
        <v>3036</v>
      </c>
      <c r="B37" t="s">
        <v>121</v>
      </c>
      <c r="C37" t="s">
        <v>122</v>
      </c>
      <c r="D37">
        <v>1269</v>
      </c>
      <c r="E37" t="s">
        <v>92</v>
      </c>
      <c r="F37" s="1">
        <v>45633</v>
      </c>
      <c r="G37">
        <v>3</v>
      </c>
      <c r="H37" t="s">
        <v>32</v>
      </c>
      <c r="I37" t="s">
        <v>47</v>
      </c>
      <c r="J37">
        <v>0.3</v>
      </c>
      <c r="K37">
        <v>456.3</v>
      </c>
      <c r="L37">
        <v>1521</v>
      </c>
      <c r="M37">
        <v>1064.7</v>
      </c>
      <c r="N37" t="s">
        <v>34</v>
      </c>
    </row>
    <row r="38" spans="1:14" x14ac:dyDescent="0.2">
      <c r="A38">
        <v>3037</v>
      </c>
      <c r="B38" t="s">
        <v>123</v>
      </c>
      <c r="C38" t="s">
        <v>124</v>
      </c>
      <c r="D38">
        <v>1270</v>
      </c>
      <c r="E38" t="s">
        <v>76</v>
      </c>
      <c r="F38" s="1">
        <v>45297</v>
      </c>
      <c r="G38">
        <v>2</v>
      </c>
      <c r="H38" t="s">
        <v>52</v>
      </c>
      <c r="I38" t="s">
        <v>43</v>
      </c>
      <c r="J38">
        <v>0.25</v>
      </c>
      <c r="K38">
        <v>6.75</v>
      </c>
      <c r="L38">
        <v>27</v>
      </c>
      <c r="M38">
        <v>20.25</v>
      </c>
      <c r="N38" t="s">
        <v>44</v>
      </c>
    </row>
    <row r="39" spans="1:14" x14ac:dyDescent="0.2">
      <c r="A39">
        <v>3038</v>
      </c>
      <c r="B39" t="s">
        <v>125</v>
      </c>
      <c r="C39" t="s">
        <v>126</v>
      </c>
      <c r="D39">
        <v>1271</v>
      </c>
      <c r="E39" t="s">
        <v>51</v>
      </c>
      <c r="F39" s="1">
        <v>45450</v>
      </c>
      <c r="G39">
        <v>1</v>
      </c>
      <c r="H39" t="s">
        <v>71</v>
      </c>
      <c r="I39" t="s">
        <v>33</v>
      </c>
      <c r="J39">
        <v>0.2</v>
      </c>
      <c r="K39">
        <v>287.8</v>
      </c>
      <c r="L39">
        <v>1439</v>
      </c>
      <c r="M39">
        <v>1151.2</v>
      </c>
      <c r="N39" t="s">
        <v>114</v>
      </c>
    </row>
    <row r="40" spans="1:14" x14ac:dyDescent="0.2">
      <c r="A40">
        <v>3039</v>
      </c>
      <c r="B40" t="s">
        <v>127</v>
      </c>
      <c r="C40" t="s">
        <v>128</v>
      </c>
      <c r="D40">
        <v>1272</v>
      </c>
      <c r="E40" t="s">
        <v>31</v>
      </c>
      <c r="F40" s="1">
        <v>45555</v>
      </c>
      <c r="G40">
        <v>2</v>
      </c>
      <c r="H40" t="s">
        <v>52</v>
      </c>
      <c r="I40" t="s">
        <v>47</v>
      </c>
      <c r="J40">
        <v>0.1</v>
      </c>
      <c r="K40">
        <v>63.800000000000004</v>
      </c>
      <c r="L40">
        <v>638</v>
      </c>
      <c r="M40">
        <v>574.20000000000005</v>
      </c>
      <c r="N40" t="s">
        <v>54</v>
      </c>
    </row>
    <row r="41" spans="1:14" x14ac:dyDescent="0.2">
      <c r="A41">
        <v>3040</v>
      </c>
      <c r="B41" t="s">
        <v>129</v>
      </c>
      <c r="C41" t="s">
        <v>130</v>
      </c>
      <c r="D41">
        <v>1273</v>
      </c>
      <c r="E41" t="s">
        <v>37</v>
      </c>
      <c r="F41" s="1">
        <v>45431</v>
      </c>
      <c r="G41">
        <v>2</v>
      </c>
      <c r="H41" t="s">
        <v>52</v>
      </c>
      <c r="I41" t="s">
        <v>47</v>
      </c>
      <c r="J41">
        <v>0.3</v>
      </c>
      <c r="K41">
        <v>299.7</v>
      </c>
      <c r="L41">
        <v>999</v>
      </c>
      <c r="M41">
        <v>699.3</v>
      </c>
      <c r="N41" t="s">
        <v>54</v>
      </c>
    </row>
    <row r="42" spans="1:14" x14ac:dyDescent="0.2">
      <c r="A42">
        <v>3041</v>
      </c>
      <c r="B42" t="s">
        <v>131</v>
      </c>
      <c r="C42" t="s">
        <v>132</v>
      </c>
      <c r="D42">
        <v>1274</v>
      </c>
      <c r="E42" t="s">
        <v>76</v>
      </c>
      <c r="F42" s="1">
        <v>45572</v>
      </c>
      <c r="G42">
        <v>3</v>
      </c>
      <c r="H42" t="s">
        <v>52</v>
      </c>
      <c r="I42" t="s">
        <v>53</v>
      </c>
      <c r="J42">
        <v>0.25</v>
      </c>
      <c r="K42">
        <v>38.25</v>
      </c>
      <c r="L42">
        <v>153</v>
      </c>
      <c r="M42">
        <v>114.75</v>
      </c>
      <c r="N42" t="s">
        <v>48</v>
      </c>
    </row>
    <row r="43" spans="1:14" x14ac:dyDescent="0.2">
      <c r="A43">
        <v>3042</v>
      </c>
      <c r="B43" t="s">
        <v>133</v>
      </c>
      <c r="C43" t="s">
        <v>134</v>
      </c>
      <c r="D43">
        <v>1275</v>
      </c>
      <c r="E43" t="s">
        <v>42</v>
      </c>
      <c r="F43" s="1">
        <v>45550</v>
      </c>
      <c r="G43">
        <v>3</v>
      </c>
      <c r="H43" t="s">
        <v>52</v>
      </c>
      <c r="I43" t="s">
        <v>64</v>
      </c>
      <c r="J43">
        <v>0.25</v>
      </c>
      <c r="K43">
        <v>248.75</v>
      </c>
      <c r="L43">
        <v>995</v>
      </c>
      <c r="M43">
        <v>746.25</v>
      </c>
      <c r="N43" t="s">
        <v>48</v>
      </c>
    </row>
    <row r="44" spans="1:14" x14ac:dyDescent="0.2">
      <c r="A44">
        <v>3043</v>
      </c>
      <c r="B44" t="s">
        <v>135</v>
      </c>
      <c r="C44" t="s">
        <v>136</v>
      </c>
      <c r="D44">
        <v>1276</v>
      </c>
      <c r="E44" t="s">
        <v>76</v>
      </c>
      <c r="F44" s="1">
        <v>45605</v>
      </c>
      <c r="G44">
        <v>1</v>
      </c>
      <c r="H44" t="s">
        <v>32</v>
      </c>
      <c r="I44" t="s">
        <v>39</v>
      </c>
      <c r="J44">
        <v>0.25</v>
      </c>
      <c r="K44">
        <v>38.25</v>
      </c>
      <c r="L44">
        <v>153</v>
      </c>
      <c r="M44">
        <v>114.75</v>
      </c>
      <c r="N44" t="s">
        <v>54</v>
      </c>
    </row>
    <row r="45" spans="1:14" x14ac:dyDescent="0.2">
      <c r="A45">
        <v>3044</v>
      </c>
      <c r="B45" t="s">
        <v>137</v>
      </c>
      <c r="C45" t="s">
        <v>138</v>
      </c>
      <c r="D45">
        <v>1277</v>
      </c>
      <c r="E45" t="s">
        <v>76</v>
      </c>
      <c r="F45" s="1">
        <v>45648</v>
      </c>
      <c r="G45">
        <v>3</v>
      </c>
      <c r="H45" t="s">
        <v>38</v>
      </c>
      <c r="I45" t="s">
        <v>57</v>
      </c>
      <c r="J45">
        <v>0.25</v>
      </c>
      <c r="K45">
        <v>195.25</v>
      </c>
      <c r="L45">
        <v>781</v>
      </c>
      <c r="M45">
        <v>585.75</v>
      </c>
      <c r="N45" t="s">
        <v>54</v>
      </c>
    </row>
    <row r="46" spans="1:14" x14ac:dyDescent="0.2">
      <c r="A46">
        <v>3045</v>
      </c>
      <c r="B46" t="s">
        <v>139</v>
      </c>
      <c r="C46" t="s">
        <v>140</v>
      </c>
      <c r="D46">
        <v>1278</v>
      </c>
      <c r="E46" t="s">
        <v>76</v>
      </c>
      <c r="F46" s="1">
        <v>45563</v>
      </c>
      <c r="G46">
        <v>2</v>
      </c>
      <c r="H46" t="s">
        <v>32</v>
      </c>
      <c r="I46" t="s">
        <v>43</v>
      </c>
      <c r="J46">
        <v>0.25</v>
      </c>
      <c r="K46">
        <v>34.75</v>
      </c>
      <c r="L46">
        <v>139</v>
      </c>
      <c r="M46">
        <v>104.25</v>
      </c>
      <c r="N46" t="s">
        <v>44</v>
      </c>
    </row>
    <row r="47" spans="1:14" x14ac:dyDescent="0.2">
      <c r="A47">
        <v>3046</v>
      </c>
      <c r="B47" t="s">
        <v>141</v>
      </c>
      <c r="C47" t="s">
        <v>142</v>
      </c>
      <c r="D47">
        <v>1279</v>
      </c>
      <c r="E47" t="s">
        <v>31</v>
      </c>
      <c r="F47" s="1">
        <v>45331</v>
      </c>
      <c r="G47">
        <v>3</v>
      </c>
      <c r="H47" t="s">
        <v>32</v>
      </c>
      <c r="I47" t="s">
        <v>47</v>
      </c>
      <c r="J47">
        <v>0.1</v>
      </c>
      <c r="K47">
        <v>159.60000000000002</v>
      </c>
      <c r="L47">
        <v>1596</v>
      </c>
      <c r="M47">
        <v>1436.4</v>
      </c>
      <c r="N47" t="s">
        <v>114</v>
      </c>
    </row>
    <row r="48" spans="1:14" x14ac:dyDescent="0.2">
      <c r="A48">
        <v>3047</v>
      </c>
      <c r="B48" t="s">
        <v>143</v>
      </c>
      <c r="C48" t="s">
        <v>104</v>
      </c>
      <c r="D48">
        <v>1280</v>
      </c>
      <c r="E48" t="s">
        <v>76</v>
      </c>
      <c r="F48" s="1">
        <v>45436</v>
      </c>
      <c r="G48">
        <v>1</v>
      </c>
      <c r="H48" t="s">
        <v>32</v>
      </c>
      <c r="I48" t="s">
        <v>53</v>
      </c>
      <c r="J48">
        <v>0.25</v>
      </c>
      <c r="K48">
        <v>79</v>
      </c>
      <c r="L48">
        <v>316</v>
      </c>
      <c r="M48">
        <v>237</v>
      </c>
      <c r="N48" t="s">
        <v>48</v>
      </c>
    </row>
    <row r="49" spans="1:14" x14ac:dyDescent="0.2">
      <c r="A49">
        <v>3048</v>
      </c>
      <c r="B49" t="s">
        <v>144</v>
      </c>
      <c r="C49" t="s">
        <v>145</v>
      </c>
      <c r="D49">
        <v>1281</v>
      </c>
      <c r="E49" t="s">
        <v>51</v>
      </c>
      <c r="F49" s="1">
        <v>45505</v>
      </c>
      <c r="G49">
        <v>3</v>
      </c>
      <c r="H49" t="s">
        <v>32</v>
      </c>
      <c r="I49" t="s">
        <v>57</v>
      </c>
      <c r="J49">
        <v>0.2</v>
      </c>
      <c r="K49">
        <v>295.2</v>
      </c>
      <c r="L49">
        <v>1476</v>
      </c>
      <c r="M49">
        <v>1180.8</v>
      </c>
      <c r="N49" t="s">
        <v>44</v>
      </c>
    </row>
    <row r="50" spans="1:14" x14ac:dyDescent="0.2">
      <c r="A50">
        <v>3049</v>
      </c>
      <c r="B50" t="s">
        <v>146</v>
      </c>
      <c r="C50" t="s">
        <v>147</v>
      </c>
      <c r="D50">
        <v>1282</v>
      </c>
      <c r="E50" t="s">
        <v>92</v>
      </c>
      <c r="F50" s="1">
        <v>45340</v>
      </c>
      <c r="G50">
        <v>2</v>
      </c>
      <c r="H50" t="s">
        <v>32</v>
      </c>
      <c r="I50" t="s">
        <v>57</v>
      </c>
      <c r="J50">
        <v>0.3</v>
      </c>
      <c r="K50">
        <v>522.9</v>
      </c>
      <c r="L50">
        <v>1743</v>
      </c>
      <c r="M50">
        <v>1220.0999999999999</v>
      </c>
      <c r="N50" t="s">
        <v>48</v>
      </c>
    </row>
    <row r="51" spans="1:14" x14ac:dyDescent="0.2">
      <c r="A51">
        <v>3050</v>
      </c>
      <c r="B51" t="s">
        <v>148</v>
      </c>
      <c r="C51" t="s">
        <v>149</v>
      </c>
      <c r="D51">
        <v>1283</v>
      </c>
      <c r="E51" t="s">
        <v>51</v>
      </c>
      <c r="F51" s="1">
        <v>45368</v>
      </c>
      <c r="G51">
        <v>2</v>
      </c>
      <c r="H51" t="s">
        <v>32</v>
      </c>
      <c r="I51" t="s">
        <v>43</v>
      </c>
      <c r="J51">
        <v>0.2</v>
      </c>
      <c r="K51">
        <v>338.20000000000005</v>
      </c>
      <c r="L51">
        <v>1691</v>
      </c>
      <c r="M51">
        <v>1352.8</v>
      </c>
      <c r="N51" t="s">
        <v>114</v>
      </c>
    </row>
    <row r="52" spans="1:14" x14ac:dyDescent="0.2">
      <c r="A52">
        <v>3051</v>
      </c>
      <c r="B52" t="s">
        <v>150</v>
      </c>
      <c r="C52" t="s">
        <v>151</v>
      </c>
      <c r="D52">
        <v>1284</v>
      </c>
      <c r="E52" t="s">
        <v>37</v>
      </c>
      <c r="F52" s="1">
        <v>45324</v>
      </c>
      <c r="G52">
        <v>3</v>
      </c>
      <c r="H52" t="s">
        <v>32</v>
      </c>
      <c r="I52" t="s">
        <v>47</v>
      </c>
      <c r="J52">
        <v>0.3</v>
      </c>
      <c r="K52">
        <v>5.0999999999999996</v>
      </c>
      <c r="L52">
        <v>17</v>
      </c>
      <c r="M52">
        <v>11.9</v>
      </c>
      <c r="N52" t="s">
        <v>34</v>
      </c>
    </row>
    <row r="53" spans="1:14" x14ac:dyDescent="0.2">
      <c r="A53">
        <v>3052</v>
      </c>
      <c r="B53" t="s">
        <v>152</v>
      </c>
      <c r="C53" t="s">
        <v>153</v>
      </c>
      <c r="D53">
        <v>1285</v>
      </c>
      <c r="E53" t="s">
        <v>31</v>
      </c>
      <c r="F53" s="1">
        <v>45321</v>
      </c>
      <c r="G53">
        <v>3</v>
      </c>
      <c r="H53" t="s">
        <v>52</v>
      </c>
      <c r="I53" t="s">
        <v>43</v>
      </c>
      <c r="J53">
        <v>0.1</v>
      </c>
      <c r="K53">
        <v>183.60000000000002</v>
      </c>
      <c r="L53">
        <v>1836</v>
      </c>
      <c r="M53">
        <v>1652.4</v>
      </c>
      <c r="N53" t="s">
        <v>34</v>
      </c>
    </row>
    <row r="54" spans="1:14" x14ac:dyDescent="0.2">
      <c r="A54">
        <v>3053</v>
      </c>
      <c r="B54" t="s">
        <v>154</v>
      </c>
      <c r="C54" t="s">
        <v>155</v>
      </c>
      <c r="D54">
        <v>1286</v>
      </c>
      <c r="E54" t="s">
        <v>92</v>
      </c>
      <c r="F54" s="1">
        <v>45597</v>
      </c>
      <c r="G54">
        <v>1</v>
      </c>
      <c r="H54" t="s">
        <v>52</v>
      </c>
      <c r="I54" t="s">
        <v>43</v>
      </c>
      <c r="J54">
        <v>0.3</v>
      </c>
      <c r="K54">
        <v>125.39999999999999</v>
      </c>
      <c r="L54">
        <v>418</v>
      </c>
      <c r="M54">
        <v>292.60000000000002</v>
      </c>
      <c r="N54" t="s">
        <v>48</v>
      </c>
    </row>
    <row r="55" spans="1:14" x14ac:dyDescent="0.2">
      <c r="A55">
        <v>3054</v>
      </c>
      <c r="B55" t="s">
        <v>121</v>
      </c>
      <c r="C55" t="s">
        <v>156</v>
      </c>
      <c r="D55">
        <v>1287</v>
      </c>
      <c r="E55" t="s">
        <v>37</v>
      </c>
      <c r="F55" s="1">
        <v>45531</v>
      </c>
      <c r="G55">
        <v>3</v>
      </c>
      <c r="H55" t="s">
        <v>52</v>
      </c>
      <c r="I55" t="s">
        <v>81</v>
      </c>
      <c r="J55">
        <v>0.3</v>
      </c>
      <c r="K55">
        <v>248.1</v>
      </c>
      <c r="L55">
        <v>827</v>
      </c>
      <c r="M55">
        <v>578.9</v>
      </c>
      <c r="N55" t="s">
        <v>48</v>
      </c>
    </row>
    <row r="56" spans="1:14" x14ac:dyDescent="0.2">
      <c r="A56">
        <v>3055</v>
      </c>
      <c r="B56" t="s">
        <v>157</v>
      </c>
      <c r="C56" t="s">
        <v>158</v>
      </c>
      <c r="D56">
        <v>1288</v>
      </c>
      <c r="E56" t="s">
        <v>31</v>
      </c>
      <c r="F56" s="1">
        <v>45589</v>
      </c>
      <c r="G56">
        <v>2</v>
      </c>
      <c r="H56" t="s">
        <v>52</v>
      </c>
      <c r="I56" t="s">
        <v>47</v>
      </c>
      <c r="J56">
        <v>0.1</v>
      </c>
      <c r="K56">
        <v>32.300000000000004</v>
      </c>
      <c r="L56">
        <v>323</v>
      </c>
      <c r="M56">
        <v>290.7</v>
      </c>
      <c r="N56" t="s">
        <v>48</v>
      </c>
    </row>
    <row r="57" spans="1:14" x14ac:dyDescent="0.2">
      <c r="A57">
        <v>3056</v>
      </c>
      <c r="B57" t="s">
        <v>159</v>
      </c>
      <c r="C57" t="s">
        <v>160</v>
      </c>
      <c r="D57">
        <v>1289</v>
      </c>
      <c r="E57" t="s">
        <v>76</v>
      </c>
      <c r="F57" s="1">
        <v>45326</v>
      </c>
      <c r="G57">
        <v>3</v>
      </c>
      <c r="H57" t="s">
        <v>52</v>
      </c>
      <c r="I57" t="s">
        <v>43</v>
      </c>
      <c r="J57">
        <v>0.25</v>
      </c>
      <c r="K57">
        <v>62.5</v>
      </c>
      <c r="L57">
        <v>250</v>
      </c>
      <c r="M57">
        <v>187.5</v>
      </c>
      <c r="N57" t="s">
        <v>54</v>
      </c>
    </row>
    <row r="58" spans="1:14" x14ac:dyDescent="0.2">
      <c r="A58">
        <v>3057</v>
      </c>
      <c r="B58" t="s">
        <v>161</v>
      </c>
      <c r="C58" t="s">
        <v>162</v>
      </c>
      <c r="D58">
        <v>1290</v>
      </c>
      <c r="E58" t="s">
        <v>42</v>
      </c>
      <c r="F58" s="1">
        <v>45371</v>
      </c>
      <c r="G58">
        <v>1</v>
      </c>
      <c r="H58" t="s">
        <v>38</v>
      </c>
      <c r="I58" t="s">
        <v>57</v>
      </c>
      <c r="J58">
        <v>0.25</v>
      </c>
      <c r="K58">
        <v>376.25</v>
      </c>
      <c r="L58">
        <v>1505</v>
      </c>
      <c r="M58">
        <v>1128.75</v>
      </c>
      <c r="N58" t="s">
        <v>44</v>
      </c>
    </row>
    <row r="59" spans="1:14" x14ac:dyDescent="0.2">
      <c r="A59">
        <v>3058</v>
      </c>
      <c r="B59" t="s">
        <v>163</v>
      </c>
      <c r="C59" t="s">
        <v>164</v>
      </c>
      <c r="D59">
        <v>1291</v>
      </c>
      <c r="E59" t="s">
        <v>76</v>
      </c>
      <c r="F59" s="1">
        <v>45612</v>
      </c>
      <c r="G59">
        <v>1</v>
      </c>
      <c r="H59" t="s">
        <v>52</v>
      </c>
      <c r="I59" t="s">
        <v>39</v>
      </c>
      <c r="J59">
        <v>0.25</v>
      </c>
      <c r="K59">
        <v>35.5</v>
      </c>
      <c r="L59">
        <v>142</v>
      </c>
      <c r="M59">
        <v>106.5</v>
      </c>
      <c r="N59" t="s">
        <v>48</v>
      </c>
    </row>
    <row r="60" spans="1:14" x14ac:dyDescent="0.2">
      <c r="A60">
        <v>3059</v>
      </c>
      <c r="B60" t="s">
        <v>150</v>
      </c>
      <c r="C60" t="s">
        <v>165</v>
      </c>
      <c r="D60">
        <v>1292</v>
      </c>
      <c r="E60" t="s">
        <v>51</v>
      </c>
      <c r="F60" s="1">
        <v>45447</v>
      </c>
      <c r="G60">
        <v>2</v>
      </c>
      <c r="H60" t="s">
        <v>32</v>
      </c>
      <c r="I60" t="s">
        <v>81</v>
      </c>
      <c r="J60">
        <v>0.2</v>
      </c>
      <c r="K60">
        <v>111</v>
      </c>
      <c r="L60">
        <v>555</v>
      </c>
      <c r="M60">
        <v>444</v>
      </c>
      <c r="N60" t="s">
        <v>48</v>
      </c>
    </row>
    <row r="61" spans="1:14" x14ac:dyDescent="0.2">
      <c r="A61">
        <v>3060</v>
      </c>
      <c r="B61" t="s">
        <v>166</v>
      </c>
      <c r="C61" t="s">
        <v>167</v>
      </c>
      <c r="D61">
        <v>1293</v>
      </c>
      <c r="E61" t="s">
        <v>76</v>
      </c>
      <c r="F61" s="1">
        <v>45404</v>
      </c>
      <c r="G61">
        <v>3</v>
      </c>
      <c r="H61" t="s">
        <v>52</v>
      </c>
      <c r="I61" t="s">
        <v>43</v>
      </c>
      <c r="J61">
        <v>0.25</v>
      </c>
      <c r="K61">
        <v>152.25</v>
      </c>
      <c r="L61">
        <v>609</v>
      </c>
      <c r="M61">
        <v>456.75</v>
      </c>
      <c r="N61" t="s">
        <v>48</v>
      </c>
    </row>
    <row r="62" spans="1:14" x14ac:dyDescent="0.2">
      <c r="A62">
        <v>3061</v>
      </c>
      <c r="B62" t="s">
        <v>168</v>
      </c>
      <c r="C62" t="s">
        <v>49</v>
      </c>
      <c r="D62">
        <v>1294</v>
      </c>
      <c r="E62" t="s">
        <v>76</v>
      </c>
      <c r="F62" s="1">
        <v>45556</v>
      </c>
      <c r="G62">
        <v>2</v>
      </c>
      <c r="H62" t="s">
        <v>52</v>
      </c>
      <c r="I62" t="s">
        <v>33</v>
      </c>
      <c r="J62">
        <v>0.25</v>
      </c>
      <c r="K62">
        <v>281</v>
      </c>
      <c r="L62">
        <v>1124</v>
      </c>
      <c r="M62">
        <v>843</v>
      </c>
      <c r="N62" t="s">
        <v>34</v>
      </c>
    </row>
    <row r="63" spans="1:14" x14ac:dyDescent="0.2">
      <c r="A63">
        <v>3062</v>
      </c>
      <c r="B63" t="s">
        <v>169</v>
      </c>
      <c r="C63" t="s">
        <v>170</v>
      </c>
      <c r="D63">
        <v>1295</v>
      </c>
      <c r="E63" t="s">
        <v>92</v>
      </c>
      <c r="F63" s="1">
        <v>45540</v>
      </c>
      <c r="G63">
        <v>2</v>
      </c>
      <c r="H63" t="s">
        <v>52</v>
      </c>
      <c r="I63" t="s">
        <v>43</v>
      </c>
      <c r="J63">
        <v>0.3</v>
      </c>
      <c r="K63">
        <v>16.5</v>
      </c>
      <c r="L63">
        <v>55</v>
      </c>
      <c r="M63">
        <v>38.5</v>
      </c>
      <c r="N63" t="s">
        <v>34</v>
      </c>
    </row>
    <row r="64" spans="1:14" x14ac:dyDescent="0.2">
      <c r="A64">
        <v>3063</v>
      </c>
      <c r="B64" t="s">
        <v>171</v>
      </c>
      <c r="C64" t="s">
        <v>172</v>
      </c>
      <c r="D64">
        <v>1296</v>
      </c>
      <c r="E64" t="s">
        <v>51</v>
      </c>
      <c r="F64" s="1">
        <v>45540</v>
      </c>
      <c r="G64">
        <v>3</v>
      </c>
      <c r="H64" t="s">
        <v>32</v>
      </c>
      <c r="I64" t="s">
        <v>53</v>
      </c>
      <c r="J64">
        <v>0.2</v>
      </c>
      <c r="K64">
        <v>206.4</v>
      </c>
      <c r="L64">
        <v>1032</v>
      </c>
      <c r="M64">
        <v>825.6</v>
      </c>
      <c r="N64" t="s">
        <v>48</v>
      </c>
    </row>
    <row r="65" spans="1:14" x14ac:dyDescent="0.2">
      <c r="A65">
        <v>3064</v>
      </c>
      <c r="B65" t="s">
        <v>173</v>
      </c>
      <c r="C65" t="s">
        <v>174</v>
      </c>
      <c r="D65">
        <v>1297</v>
      </c>
      <c r="E65" t="s">
        <v>51</v>
      </c>
      <c r="F65" s="1">
        <v>45382</v>
      </c>
      <c r="G65">
        <v>2</v>
      </c>
      <c r="H65" t="s">
        <v>32</v>
      </c>
      <c r="I65" t="s">
        <v>81</v>
      </c>
      <c r="J65">
        <v>0.2</v>
      </c>
      <c r="K65">
        <v>184</v>
      </c>
      <c r="L65">
        <v>920</v>
      </c>
      <c r="M65">
        <v>736</v>
      </c>
      <c r="N65" t="s">
        <v>48</v>
      </c>
    </row>
    <row r="66" spans="1:14" x14ac:dyDescent="0.2">
      <c r="A66">
        <v>3065</v>
      </c>
      <c r="B66" t="s">
        <v>175</v>
      </c>
      <c r="C66" t="s">
        <v>176</v>
      </c>
      <c r="D66">
        <v>1298</v>
      </c>
      <c r="E66" t="s">
        <v>76</v>
      </c>
      <c r="F66" s="1">
        <v>45313</v>
      </c>
      <c r="G66">
        <v>3</v>
      </c>
      <c r="H66" t="s">
        <v>52</v>
      </c>
      <c r="I66" t="s">
        <v>64</v>
      </c>
      <c r="J66">
        <v>0.25</v>
      </c>
      <c r="K66">
        <v>243.5</v>
      </c>
      <c r="L66">
        <v>974</v>
      </c>
      <c r="M66">
        <v>730.5</v>
      </c>
      <c r="N66" t="s">
        <v>54</v>
      </c>
    </row>
    <row r="67" spans="1:14" x14ac:dyDescent="0.2">
      <c r="A67">
        <v>3066</v>
      </c>
      <c r="B67" t="s">
        <v>56</v>
      </c>
      <c r="C67" t="s">
        <v>177</v>
      </c>
      <c r="D67">
        <v>1299</v>
      </c>
      <c r="E67" t="s">
        <v>76</v>
      </c>
      <c r="F67" s="1">
        <v>45636</v>
      </c>
      <c r="G67">
        <v>3</v>
      </c>
      <c r="H67" t="s">
        <v>52</v>
      </c>
      <c r="I67" t="s">
        <v>81</v>
      </c>
      <c r="J67">
        <v>0.25</v>
      </c>
      <c r="K67">
        <v>276</v>
      </c>
      <c r="L67">
        <v>1104</v>
      </c>
      <c r="M67">
        <v>828</v>
      </c>
      <c r="N67" t="s">
        <v>48</v>
      </c>
    </row>
    <row r="68" spans="1:14" x14ac:dyDescent="0.2">
      <c r="A68">
        <v>3067</v>
      </c>
      <c r="B68" t="s">
        <v>178</v>
      </c>
      <c r="C68" t="s">
        <v>179</v>
      </c>
      <c r="D68">
        <v>1300</v>
      </c>
      <c r="E68" t="s">
        <v>42</v>
      </c>
      <c r="F68" s="1">
        <v>45440</v>
      </c>
      <c r="G68">
        <v>1</v>
      </c>
      <c r="H68" t="s">
        <v>32</v>
      </c>
      <c r="I68" t="s">
        <v>39</v>
      </c>
      <c r="J68">
        <v>0.25</v>
      </c>
      <c r="K68">
        <v>260.5</v>
      </c>
      <c r="L68">
        <v>1042</v>
      </c>
      <c r="M68">
        <v>781.5</v>
      </c>
      <c r="N68" t="s">
        <v>114</v>
      </c>
    </row>
    <row r="69" spans="1:14" x14ac:dyDescent="0.2">
      <c r="A69">
        <v>3068</v>
      </c>
      <c r="B69" t="s">
        <v>180</v>
      </c>
      <c r="C69" t="s">
        <v>181</v>
      </c>
      <c r="D69">
        <v>1301</v>
      </c>
      <c r="E69" t="s">
        <v>92</v>
      </c>
      <c r="F69" s="1">
        <v>45354</v>
      </c>
      <c r="G69">
        <v>3</v>
      </c>
      <c r="H69" t="s">
        <v>32</v>
      </c>
      <c r="I69" t="s">
        <v>33</v>
      </c>
      <c r="J69">
        <v>0.3</v>
      </c>
      <c r="K69">
        <v>110.7</v>
      </c>
      <c r="L69">
        <v>369</v>
      </c>
      <c r="M69">
        <v>258.3</v>
      </c>
      <c r="N69" t="s">
        <v>48</v>
      </c>
    </row>
    <row r="70" spans="1:14" x14ac:dyDescent="0.2">
      <c r="A70">
        <v>3069</v>
      </c>
      <c r="B70" t="s">
        <v>182</v>
      </c>
      <c r="C70" t="s">
        <v>183</v>
      </c>
      <c r="D70">
        <v>1302</v>
      </c>
      <c r="E70" t="s">
        <v>51</v>
      </c>
      <c r="F70" s="1">
        <v>45475</v>
      </c>
      <c r="G70">
        <v>1</v>
      </c>
      <c r="H70" t="s">
        <v>52</v>
      </c>
      <c r="I70" t="s">
        <v>64</v>
      </c>
      <c r="J70">
        <v>0.2</v>
      </c>
      <c r="K70">
        <v>281.2</v>
      </c>
      <c r="L70">
        <v>1406</v>
      </c>
      <c r="M70">
        <v>1124.8</v>
      </c>
      <c r="N70" t="s">
        <v>44</v>
      </c>
    </row>
    <row r="71" spans="1:14" x14ac:dyDescent="0.2">
      <c r="A71">
        <v>3070</v>
      </c>
      <c r="B71" t="s">
        <v>184</v>
      </c>
      <c r="C71" t="s">
        <v>185</v>
      </c>
      <c r="D71">
        <v>1303</v>
      </c>
      <c r="E71" t="s">
        <v>76</v>
      </c>
      <c r="F71" s="1">
        <v>45594</v>
      </c>
      <c r="G71">
        <v>2</v>
      </c>
      <c r="H71" t="s">
        <v>32</v>
      </c>
      <c r="I71" t="s">
        <v>43</v>
      </c>
      <c r="J71">
        <v>0.25</v>
      </c>
      <c r="K71">
        <v>394.5</v>
      </c>
      <c r="L71">
        <v>1578</v>
      </c>
      <c r="M71">
        <v>1183.5</v>
      </c>
      <c r="N71" t="s">
        <v>34</v>
      </c>
    </row>
    <row r="72" spans="1:14" x14ac:dyDescent="0.2">
      <c r="A72">
        <v>3071</v>
      </c>
      <c r="B72" t="s">
        <v>133</v>
      </c>
      <c r="C72" t="s">
        <v>186</v>
      </c>
      <c r="D72">
        <v>1304</v>
      </c>
      <c r="E72" t="s">
        <v>92</v>
      </c>
      <c r="F72" s="1">
        <v>45657</v>
      </c>
      <c r="G72">
        <v>3</v>
      </c>
      <c r="H72" t="s">
        <v>32</v>
      </c>
      <c r="I72" t="s">
        <v>81</v>
      </c>
      <c r="J72">
        <v>0.3</v>
      </c>
      <c r="K72">
        <v>249</v>
      </c>
      <c r="L72">
        <v>830</v>
      </c>
      <c r="M72">
        <v>581</v>
      </c>
      <c r="N72" t="s">
        <v>44</v>
      </c>
    </row>
    <row r="73" spans="1:14" x14ac:dyDescent="0.2">
      <c r="A73">
        <v>3072</v>
      </c>
      <c r="B73" t="s">
        <v>187</v>
      </c>
      <c r="C73" t="s">
        <v>188</v>
      </c>
      <c r="D73">
        <v>1305</v>
      </c>
      <c r="E73" t="s">
        <v>42</v>
      </c>
      <c r="F73" s="1">
        <v>45485</v>
      </c>
      <c r="G73">
        <v>1</v>
      </c>
      <c r="H73" t="s">
        <v>32</v>
      </c>
      <c r="I73" t="s">
        <v>47</v>
      </c>
      <c r="J73">
        <v>0.25</v>
      </c>
      <c r="K73">
        <v>395.75</v>
      </c>
      <c r="L73">
        <v>1583</v>
      </c>
      <c r="M73">
        <v>1187.25</v>
      </c>
      <c r="N73" t="s">
        <v>48</v>
      </c>
    </row>
    <row r="74" spans="1:14" x14ac:dyDescent="0.2">
      <c r="A74">
        <v>3073</v>
      </c>
      <c r="B74" t="s">
        <v>189</v>
      </c>
      <c r="C74" t="s">
        <v>190</v>
      </c>
      <c r="D74">
        <v>1306</v>
      </c>
      <c r="E74" t="s">
        <v>76</v>
      </c>
      <c r="F74" s="1">
        <v>45542</v>
      </c>
      <c r="G74">
        <v>3</v>
      </c>
      <c r="H74" t="s">
        <v>32</v>
      </c>
      <c r="I74" t="s">
        <v>64</v>
      </c>
      <c r="J74">
        <v>0.25</v>
      </c>
      <c r="K74">
        <v>448.5</v>
      </c>
      <c r="L74">
        <v>1794</v>
      </c>
      <c r="M74">
        <v>1345.5</v>
      </c>
      <c r="N74" t="s">
        <v>54</v>
      </c>
    </row>
    <row r="75" spans="1:14" x14ac:dyDescent="0.2">
      <c r="A75">
        <v>3074</v>
      </c>
      <c r="B75" t="s">
        <v>191</v>
      </c>
      <c r="C75" t="s">
        <v>192</v>
      </c>
      <c r="D75">
        <v>1307</v>
      </c>
      <c r="E75" t="s">
        <v>31</v>
      </c>
      <c r="F75" s="1">
        <v>45313</v>
      </c>
      <c r="G75">
        <v>2</v>
      </c>
      <c r="H75" t="s">
        <v>38</v>
      </c>
      <c r="I75" t="s">
        <v>57</v>
      </c>
      <c r="J75">
        <v>0.1</v>
      </c>
      <c r="K75">
        <v>59</v>
      </c>
      <c r="L75">
        <v>590</v>
      </c>
      <c r="M75">
        <v>531</v>
      </c>
      <c r="N75" t="s">
        <v>34</v>
      </c>
    </row>
    <row r="76" spans="1:14" x14ac:dyDescent="0.2">
      <c r="A76">
        <v>3075</v>
      </c>
      <c r="B76" t="s">
        <v>193</v>
      </c>
      <c r="C76" t="s">
        <v>194</v>
      </c>
      <c r="D76">
        <v>1308</v>
      </c>
      <c r="E76" t="s">
        <v>51</v>
      </c>
      <c r="F76" s="1">
        <v>45396</v>
      </c>
      <c r="G76">
        <v>2</v>
      </c>
      <c r="H76" t="s">
        <v>32</v>
      </c>
      <c r="I76" t="s">
        <v>81</v>
      </c>
      <c r="J76">
        <v>0.2</v>
      </c>
      <c r="K76">
        <v>198</v>
      </c>
      <c r="L76">
        <v>990</v>
      </c>
      <c r="M76">
        <v>792</v>
      </c>
      <c r="N76" t="s">
        <v>114</v>
      </c>
    </row>
    <row r="77" spans="1:14" x14ac:dyDescent="0.2">
      <c r="A77">
        <v>3076</v>
      </c>
      <c r="B77" t="s">
        <v>195</v>
      </c>
      <c r="C77" t="s">
        <v>196</v>
      </c>
      <c r="D77">
        <v>1309</v>
      </c>
      <c r="E77" t="s">
        <v>31</v>
      </c>
      <c r="F77" s="1">
        <v>45533</v>
      </c>
      <c r="G77">
        <v>2</v>
      </c>
      <c r="H77" t="s">
        <v>32</v>
      </c>
      <c r="I77" t="s">
        <v>47</v>
      </c>
      <c r="J77">
        <v>0.1</v>
      </c>
      <c r="K77">
        <v>122.5</v>
      </c>
      <c r="L77">
        <v>1225</v>
      </c>
      <c r="M77">
        <v>1102.5</v>
      </c>
      <c r="N77" t="s">
        <v>34</v>
      </c>
    </row>
    <row r="78" spans="1:14" x14ac:dyDescent="0.2">
      <c r="A78">
        <v>3077</v>
      </c>
      <c r="B78" t="s">
        <v>197</v>
      </c>
      <c r="C78" t="s">
        <v>120</v>
      </c>
      <c r="D78">
        <v>1310</v>
      </c>
      <c r="E78" t="s">
        <v>37</v>
      </c>
      <c r="F78" s="1">
        <v>45361</v>
      </c>
      <c r="G78">
        <v>3</v>
      </c>
      <c r="H78" t="s">
        <v>32</v>
      </c>
      <c r="I78" t="s">
        <v>39</v>
      </c>
      <c r="J78">
        <v>0.3</v>
      </c>
      <c r="K78">
        <v>123.3</v>
      </c>
      <c r="L78">
        <v>411</v>
      </c>
      <c r="M78">
        <v>287.7</v>
      </c>
      <c r="N78" t="s">
        <v>34</v>
      </c>
    </row>
    <row r="79" spans="1:14" x14ac:dyDescent="0.2">
      <c r="A79">
        <v>3078</v>
      </c>
      <c r="B79" t="s">
        <v>198</v>
      </c>
      <c r="C79" t="s">
        <v>199</v>
      </c>
      <c r="D79">
        <v>1311</v>
      </c>
      <c r="E79" t="s">
        <v>76</v>
      </c>
      <c r="F79" s="1">
        <v>45561</v>
      </c>
      <c r="G79">
        <v>2</v>
      </c>
      <c r="H79" t="s">
        <v>32</v>
      </c>
      <c r="I79" t="s">
        <v>81</v>
      </c>
      <c r="J79">
        <v>0.25</v>
      </c>
      <c r="K79">
        <v>163.5</v>
      </c>
      <c r="L79">
        <v>654</v>
      </c>
      <c r="M79">
        <v>490.5</v>
      </c>
      <c r="N79" t="s">
        <v>48</v>
      </c>
    </row>
    <row r="80" spans="1:14" x14ac:dyDescent="0.2">
      <c r="A80">
        <v>3079</v>
      </c>
      <c r="B80" t="s">
        <v>200</v>
      </c>
      <c r="C80" t="s">
        <v>201</v>
      </c>
      <c r="D80">
        <v>1312</v>
      </c>
      <c r="E80" t="s">
        <v>51</v>
      </c>
      <c r="F80" s="1">
        <v>45642</v>
      </c>
      <c r="G80">
        <v>2</v>
      </c>
      <c r="H80" t="s">
        <v>52</v>
      </c>
      <c r="I80" t="s">
        <v>47</v>
      </c>
      <c r="J80">
        <v>0.2</v>
      </c>
      <c r="K80">
        <v>38.200000000000003</v>
      </c>
      <c r="L80">
        <v>191</v>
      </c>
      <c r="M80">
        <v>152.80000000000001</v>
      </c>
      <c r="N80" t="s">
        <v>34</v>
      </c>
    </row>
    <row r="81" spans="1:14" x14ac:dyDescent="0.2">
      <c r="A81">
        <v>3080</v>
      </c>
      <c r="B81" t="s">
        <v>202</v>
      </c>
      <c r="C81" t="s">
        <v>203</v>
      </c>
      <c r="D81">
        <v>1313</v>
      </c>
      <c r="E81" t="s">
        <v>76</v>
      </c>
      <c r="F81" s="1">
        <v>45527</v>
      </c>
      <c r="G81">
        <v>3</v>
      </c>
      <c r="H81" t="s">
        <v>38</v>
      </c>
      <c r="I81" t="s">
        <v>43</v>
      </c>
      <c r="J81">
        <v>0.25</v>
      </c>
      <c r="K81">
        <v>212</v>
      </c>
      <c r="L81">
        <v>848</v>
      </c>
      <c r="M81">
        <v>636</v>
      </c>
      <c r="N81" t="s">
        <v>44</v>
      </c>
    </row>
    <row r="82" spans="1:14" x14ac:dyDescent="0.2">
      <c r="A82">
        <v>3081</v>
      </c>
      <c r="B82" t="s">
        <v>204</v>
      </c>
      <c r="C82" t="s">
        <v>205</v>
      </c>
      <c r="D82">
        <v>1314</v>
      </c>
      <c r="E82" t="s">
        <v>51</v>
      </c>
      <c r="F82" s="1">
        <v>45514</v>
      </c>
      <c r="G82">
        <v>3</v>
      </c>
      <c r="H82" t="s">
        <v>52</v>
      </c>
      <c r="I82" t="s">
        <v>47</v>
      </c>
      <c r="J82">
        <v>0.2</v>
      </c>
      <c r="K82">
        <v>107.80000000000001</v>
      </c>
      <c r="L82">
        <v>539</v>
      </c>
      <c r="M82">
        <v>431.2</v>
      </c>
      <c r="N82" t="s">
        <v>34</v>
      </c>
    </row>
    <row r="83" spans="1:14" x14ac:dyDescent="0.2">
      <c r="A83">
        <v>3082</v>
      </c>
      <c r="B83" t="s">
        <v>77</v>
      </c>
      <c r="C83" t="s">
        <v>206</v>
      </c>
      <c r="D83">
        <v>1315</v>
      </c>
      <c r="E83" t="s">
        <v>42</v>
      </c>
      <c r="F83" s="1">
        <v>45518</v>
      </c>
      <c r="G83">
        <v>2</v>
      </c>
      <c r="H83" t="s">
        <v>52</v>
      </c>
      <c r="I83" t="s">
        <v>53</v>
      </c>
      <c r="J83">
        <v>0.25</v>
      </c>
      <c r="K83">
        <v>198.5</v>
      </c>
      <c r="L83">
        <v>794</v>
      </c>
      <c r="M83">
        <v>595.5</v>
      </c>
      <c r="N83" t="s">
        <v>44</v>
      </c>
    </row>
    <row r="84" spans="1:14" x14ac:dyDescent="0.2">
      <c r="A84">
        <v>3083</v>
      </c>
      <c r="B84" t="s">
        <v>207</v>
      </c>
      <c r="C84" t="s">
        <v>208</v>
      </c>
      <c r="D84">
        <v>1316</v>
      </c>
      <c r="E84" t="s">
        <v>31</v>
      </c>
      <c r="F84" s="1">
        <v>45626</v>
      </c>
      <c r="G84">
        <v>3</v>
      </c>
      <c r="H84" t="s">
        <v>52</v>
      </c>
      <c r="I84" t="s">
        <v>47</v>
      </c>
      <c r="J84">
        <v>0.1</v>
      </c>
      <c r="K84">
        <v>62</v>
      </c>
      <c r="L84">
        <v>620</v>
      </c>
      <c r="M84">
        <v>558</v>
      </c>
      <c r="N84" t="s">
        <v>34</v>
      </c>
    </row>
    <row r="85" spans="1:14" x14ac:dyDescent="0.2">
      <c r="A85">
        <v>3084</v>
      </c>
      <c r="B85" t="s">
        <v>209</v>
      </c>
      <c r="C85" t="s">
        <v>210</v>
      </c>
      <c r="D85">
        <v>1317</v>
      </c>
      <c r="E85" t="s">
        <v>76</v>
      </c>
      <c r="F85" s="1">
        <v>45630</v>
      </c>
      <c r="G85">
        <v>3</v>
      </c>
      <c r="H85" t="s">
        <v>32</v>
      </c>
      <c r="I85" t="s">
        <v>39</v>
      </c>
      <c r="J85">
        <v>0.25</v>
      </c>
      <c r="K85">
        <v>419.75</v>
      </c>
      <c r="L85">
        <v>1679</v>
      </c>
      <c r="M85">
        <v>1259.25</v>
      </c>
      <c r="N85" t="s">
        <v>54</v>
      </c>
    </row>
    <row r="86" spans="1:14" x14ac:dyDescent="0.2">
      <c r="A86">
        <v>3085</v>
      </c>
      <c r="B86" t="s">
        <v>211</v>
      </c>
      <c r="C86" t="s">
        <v>212</v>
      </c>
      <c r="D86">
        <v>1318</v>
      </c>
      <c r="E86" t="s">
        <v>76</v>
      </c>
      <c r="F86" s="1">
        <v>45488</v>
      </c>
      <c r="G86">
        <v>2</v>
      </c>
      <c r="H86" t="s">
        <v>52</v>
      </c>
      <c r="I86" t="s">
        <v>53</v>
      </c>
      <c r="J86">
        <v>0.25</v>
      </c>
      <c r="K86">
        <v>364</v>
      </c>
      <c r="L86">
        <v>1456</v>
      </c>
      <c r="M86">
        <v>1092</v>
      </c>
      <c r="N86" t="s">
        <v>48</v>
      </c>
    </row>
    <row r="87" spans="1:14" x14ac:dyDescent="0.2">
      <c r="A87">
        <v>3086</v>
      </c>
      <c r="B87" t="s">
        <v>213</v>
      </c>
      <c r="C87" t="s">
        <v>214</v>
      </c>
      <c r="D87">
        <v>1319</v>
      </c>
      <c r="E87" t="s">
        <v>76</v>
      </c>
      <c r="F87" s="1">
        <v>45411</v>
      </c>
      <c r="G87">
        <v>3</v>
      </c>
      <c r="H87" t="s">
        <v>32</v>
      </c>
      <c r="I87" t="s">
        <v>64</v>
      </c>
      <c r="J87">
        <v>0.25</v>
      </c>
      <c r="K87">
        <v>32.5</v>
      </c>
      <c r="L87">
        <v>130</v>
      </c>
      <c r="M87">
        <v>97.5</v>
      </c>
      <c r="N87" t="s">
        <v>48</v>
      </c>
    </row>
    <row r="88" spans="1:14" x14ac:dyDescent="0.2">
      <c r="A88">
        <v>3087</v>
      </c>
      <c r="B88" t="s">
        <v>215</v>
      </c>
      <c r="C88" t="s">
        <v>216</v>
      </c>
      <c r="D88">
        <v>1320</v>
      </c>
      <c r="E88" t="s">
        <v>92</v>
      </c>
      <c r="F88" s="1">
        <v>45314</v>
      </c>
      <c r="G88">
        <v>2</v>
      </c>
      <c r="H88" t="s">
        <v>38</v>
      </c>
      <c r="I88" t="s">
        <v>81</v>
      </c>
      <c r="J88">
        <v>0.3</v>
      </c>
      <c r="K88">
        <v>356.09999999999997</v>
      </c>
      <c r="L88">
        <v>1187</v>
      </c>
      <c r="M88">
        <v>830.90000000000009</v>
      </c>
      <c r="N88" t="s">
        <v>34</v>
      </c>
    </row>
    <row r="89" spans="1:14" x14ac:dyDescent="0.2">
      <c r="A89">
        <v>3088</v>
      </c>
      <c r="B89" t="s">
        <v>217</v>
      </c>
      <c r="C89" t="s">
        <v>218</v>
      </c>
      <c r="D89">
        <v>1321</v>
      </c>
      <c r="E89" t="s">
        <v>31</v>
      </c>
      <c r="F89" s="1">
        <v>45398</v>
      </c>
      <c r="G89">
        <v>3</v>
      </c>
      <c r="H89" t="s">
        <v>32</v>
      </c>
      <c r="I89" t="s">
        <v>64</v>
      </c>
      <c r="J89">
        <v>0.1</v>
      </c>
      <c r="K89">
        <v>77.600000000000009</v>
      </c>
      <c r="L89">
        <v>776</v>
      </c>
      <c r="M89">
        <v>698.4</v>
      </c>
      <c r="N89" t="s">
        <v>44</v>
      </c>
    </row>
    <row r="90" spans="1:14" x14ac:dyDescent="0.2">
      <c r="A90">
        <v>3089</v>
      </c>
      <c r="B90" t="s">
        <v>219</v>
      </c>
      <c r="C90" t="s">
        <v>152</v>
      </c>
      <c r="D90">
        <v>1322</v>
      </c>
      <c r="E90" t="s">
        <v>51</v>
      </c>
      <c r="F90" s="1">
        <v>45474</v>
      </c>
      <c r="G90">
        <v>2</v>
      </c>
      <c r="H90" t="s">
        <v>32</v>
      </c>
      <c r="I90" t="s">
        <v>43</v>
      </c>
      <c r="J90">
        <v>0.2</v>
      </c>
      <c r="K90">
        <v>302.8</v>
      </c>
      <c r="L90">
        <v>1514</v>
      </c>
      <c r="M90">
        <v>1211.2</v>
      </c>
      <c r="N90" t="s">
        <v>44</v>
      </c>
    </row>
    <row r="91" spans="1:14" x14ac:dyDescent="0.2">
      <c r="A91">
        <v>3090</v>
      </c>
      <c r="B91" t="s">
        <v>220</v>
      </c>
      <c r="C91" t="s">
        <v>221</v>
      </c>
      <c r="D91">
        <v>1323</v>
      </c>
      <c r="E91" t="s">
        <v>92</v>
      </c>
      <c r="F91" s="1">
        <v>45560</v>
      </c>
      <c r="G91">
        <v>1</v>
      </c>
      <c r="H91" t="s">
        <v>32</v>
      </c>
      <c r="I91" t="s">
        <v>57</v>
      </c>
      <c r="J91">
        <v>0.3</v>
      </c>
      <c r="K91">
        <v>306.89999999999998</v>
      </c>
      <c r="L91">
        <v>1023</v>
      </c>
      <c r="M91">
        <v>716.1</v>
      </c>
      <c r="N91" t="s">
        <v>54</v>
      </c>
    </row>
    <row r="92" spans="1:14" x14ac:dyDescent="0.2">
      <c r="A92">
        <v>3091</v>
      </c>
      <c r="B92" t="s">
        <v>222</v>
      </c>
      <c r="C92" t="s">
        <v>223</v>
      </c>
      <c r="D92">
        <v>1324</v>
      </c>
      <c r="E92" t="s">
        <v>92</v>
      </c>
      <c r="F92" s="1">
        <v>45609</v>
      </c>
      <c r="G92">
        <v>1</v>
      </c>
      <c r="H92" t="s">
        <v>32</v>
      </c>
      <c r="I92" t="s">
        <v>81</v>
      </c>
      <c r="J92">
        <v>0.3</v>
      </c>
      <c r="K92">
        <v>465.59999999999997</v>
      </c>
      <c r="L92">
        <v>1552</v>
      </c>
      <c r="M92">
        <v>1086.4000000000001</v>
      </c>
      <c r="N92" t="s">
        <v>44</v>
      </c>
    </row>
    <row r="93" spans="1:14" x14ac:dyDescent="0.2">
      <c r="A93">
        <v>3092</v>
      </c>
      <c r="B93" t="s">
        <v>224</v>
      </c>
      <c r="C93" t="s">
        <v>181</v>
      </c>
      <c r="D93">
        <v>1325</v>
      </c>
      <c r="E93" t="s">
        <v>31</v>
      </c>
      <c r="F93" s="1">
        <v>45359</v>
      </c>
      <c r="G93">
        <v>3</v>
      </c>
      <c r="H93" t="s">
        <v>52</v>
      </c>
      <c r="I93" t="s">
        <v>57</v>
      </c>
      <c r="J93">
        <v>0.1</v>
      </c>
      <c r="K93">
        <v>148</v>
      </c>
      <c r="L93">
        <v>1480</v>
      </c>
      <c r="M93">
        <v>1332</v>
      </c>
      <c r="N93" t="s">
        <v>44</v>
      </c>
    </row>
    <row r="94" spans="1:14" x14ac:dyDescent="0.2">
      <c r="A94">
        <v>3093</v>
      </c>
      <c r="B94" t="s">
        <v>225</v>
      </c>
      <c r="C94" t="s">
        <v>226</v>
      </c>
      <c r="D94">
        <v>1326</v>
      </c>
      <c r="E94" t="s">
        <v>31</v>
      </c>
      <c r="F94" s="1">
        <v>45378</v>
      </c>
      <c r="G94">
        <v>2</v>
      </c>
      <c r="H94" t="s">
        <v>32</v>
      </c>
      <c r="I94" t="s">
        <v>64</v>
      </c>
      <c r="J94">
        <v>0.1</v>
      </c>
      <c r="K94">
        <v>116.9</v>
      </c>
      <c r="L94">
        <v>1169</v>
      </c>
      <c r="M94">
        <v>1052.0999999999999</v>
      </c>
      <c r="N94" t="s">
        <v>48</v>
      </c>
    </row>
    <row r="95" spans="1:14" x14ac:dyDescent="0.2">
      <c r="A95">
        <v>3094</v>
      </c>
      <c r="B95" t="s">
        <v>227</v>
      </c>
      <c r="C95" t="s">
        <v>228</v>
      </c>
      <c r="D95">
        <v>1327</v>
      </c>
      <c r="E95" t="s">
        <v>37</v>
      </c>
      <c r="F95" s="1">
        <v>45519</v>
      </c>
      <c r="G95">
        <v>1</v>
      </c>
      <c r="H95" t="s">
        <v>52</v>
      </c>
      <c r="I95" t="s">
        <v>47</v>
      </c>
      <c r="J95">
        <v>0.3</v>
      </c>
      <c r="K95">
        <v>276</v>
      </c>
      <c r="L95">
        <v>920</v>
      </c>
      <c r="M95">
        <v>644</v>
      </c>
      <c r="N95" t="s">
        <v>114</v>
      </c>
    </row>
    <row r="96" spans="1:14" x14ac:dyDescent="0.2">
      <c r="A96">
        <v>3095</v>
      </c>
      <c r="B96" t="s">
        <v>229</v>
      </c>
      <c r="C96" t="s">
        <v>230</v>
      </c>
      <c r="D96">
        <v>1328</v>
      </c>
      <c r="E96" t="s">
        <v>76</v>
      </c>
      <c r="F96" s="1">
        <v>45406</v>
      </c>
      <c r="G96">
        <v>2</v>
      </c>
      <c r="H96" t="s">
        <v>71</v>
      </c>
      <c r="I96" t="s">
        <v>81</v>
      </c>
      <c r="J96">
        <v>0.25</v>
      </c>
      <c r="K96">
        <v>85.25</v>
      </c>
      <c r="L96">
        <v>341</v>
      </c>
      <c r="M96">
        <v>255.75</v>
      </c>
      <c r="N96" t="s">
        <v>114</v>
      </c>
    </row>
    <row r="97" spans="1:14" x14ac:dyDescent="0.2">
      <c r="A97">
        <v>3096</v>
      </c>
      <c r="B97" t="s">
        <v>231</v>
      </c>
      <c r="C97" t="s">
        <v>232</v>
      </c>
      <c r="D97">
        <v>1329</v>
      </c>
      <c r="E97" t="s">
        <v>42</v>
      </c>
      <c r="F97" s="1">
        <v>45396</v>
      </c>
      <c r="G97">
        <v>3</v>
      </c>
      <c r="H97" t="s">
        <v>32</v>
      </c>
      <c r="I97" t="s">
        <v>53</v>
      </c>
      <c r="J97">
        <v>0.25</v>
      </c>
      <c r="K97">
        <v>151</v>
      </c>
      <c r="L97">
        <v>604</v>
      </c>
      <c r="M97">
        <v>453</v>
      </c>
      <c r="N97" t="s">
        <v>44</v>
      </c>
    </row>
    <row r="98" spans="1:14" x14ac:dyDescent="0.2">
      <c r="A98">
        <v>3097</v>
      </c>
      <c r="B98" t="s">
        <v>233</v>
      </c>
      <c r="C98" t="s">
        <v>234</v>
      </c>
      <c r="D98">
        <v>1330</v>
      </c>
      <c r="E98" t="s">
        <v>31</v>
      </c>
      <c r="F98" s="1">
        <v>45430</v>
      </c>
      <c r="G98">
        <v>1</v>
      </c>
      <c r="H98" t="s">
        <v>52</v>
      </c>
      <c r="I98" t="s">
        <v>64</v>
      </c>
      <c r="J98">
        <v>0.1</v>
      </c>
      <c r="K98">
        <v>19.3</v>
      </c>
      <c r="L98">
        <v>193</v>
      </c>
      <c r="M98">
        <v>173.7</v>
      </c>
      <c r="N98" t="s">
        <v>34</v>
      </c>
    </row>
    <row r="99" spans="1:14" x14ac:dyDescent="0.2">
      <c r="A99">
        <v>3098</v>
      </c>
      <c r="B99" t="s">
        <v>235</v>
      </c>
      <c r="C99" t="s">
        <v>236</v>
      </c>
      <c r="D99">
        <v>1331</v>
      </c>
      <c r="E99" t="s">
        <v>76</v>
      </c>
      <c r="F99" s="1">
        <v>45619</v>
      </c>
      <c r="G99">
        <v>3</v>
      </c>
      <c r="H99" t="s">
        <v>52</v>
      </c>
      <c r="I99" t="s">
        <v>53</v>
      </c>
      <c r="J99">
        <v>0.25</v>
      </c>
      <c r="K99">
        <v>44</v>
      </c>
      <c r="L99">
        <v>176</v>
      </c>
      <c r="M99">
        <v>132</v>
      </c>
      <c r="N99" t="s">
        <v>114</v>
      </c>
    </row>
    <row r="100" spans="1:14" x14ac:dyDescent="0.2">
      <c r="A100">
        <v>3099</v>
      </c>
      <c r="B100" t="s">
        <v>237</v>
      </c>
      <c r="C100" t="s">
        <v>238</v>
      </c>
      <c r="D100">
        <v>1332</v>
      </c>
      <c r="E100" t="s">
        <v>76</v>
      </c>
      <c r="F100" s="1">
        <v>45438</v>
      </c>
      <c r="G100">
        <v>2</v>
      </c>
      <c r="H100" t="s">
        <v>32</v>
      </c>
      <c r="I100" t="s">
        <v>43</v>
      </c>
      <c r="J100">
        <v>0.25</v>
      </c>
      <c r="K100">
        <v>231.5</v>
      </c>
      <c r="L100">
        <v>926</v>
      </c>
      <c r="M100">
        <v>694.5</v>
      </c>
      <c r="N100" t="s">
        <v>48</v>
      </c>
    </row>
    <row r="101" spans="1:14" x14ac:dyDescent="0.2">
      <c r="A101">
        <v>3100</v>
      </c>
      <c r="B101" t="s">
        <v>239</v>
      </c>
      <c r="C101" t="s">
        <v>240</v>
      </c>
      <c r="D101">
        <v>1333</v>
      </c>
      <c r="E101" t="s">
        <v>42</v>
      </c>
      <c r="F101" s="1">
        <v>45616</v>
      </c>
      <c r="G101">
        <v>3</v>
      </c>
      <c r="H101" t="s">
        <v>52</v>
      </c>
      <c r="I101" t="s">
        <v>57</v>
      </c>
      <c r="J101">
        <v>0.25</v>
      </c>
      <c r="K101">
        <v>101</v>
      </c>
      <c r="L101">
        <v>404</v>
      </c>
      <c r="M101">
        <v>303</v>
      </c>
      <c r="N101" t="s">
        <v>34</v>
      </c>
    </row>
    <row r="102" spans="1:14" x14ac:dyDescent="0.2">
      <c r="A102">
        <v>3101</v>
      </c>
      <c r="B102" t="s">
        <v>241</v>
      </c>
      <c r="C102" t="s">
        <v>242</v>
      </c>
      <c r="D102">
        <v>1334</v>
      </c>
      <c r="E102" t="s">
        <v>31</v>
      </c>
      <c r="F102" s="1">
        <v>45407</v>
      </c>
      <c r="G102">
        <v>1</v>
      </c>
      <c r="H102" t="s">
        <v>32</v>
      </c>
      <c r="I102" t="s">
        <v>81</v>
      </c>
      <c r="J102">
        <v>0.1</v>
      </c>
      <c r="K102">
        <v>155.4</v>
      </c>
      <c r="L102">
        <v>1554</v>
      </c>
      <c r="M102">
        <v>1398.6</v>
      </c>
      <c r="N102" t="s">
        <v>114</v>
      </c>
    </row>
    <row r="103" spans="1:14" x14ac:dyDescent="0.2">
      <c r="A103">
        <v>3102</v>
      </c>
      <c r="B103" t="s">
        <v>137</v>
      </c>
      <c r="C103" t="s">
        <v>243</v>
      </c>
      <c r="D103">
        <v>1335</v>
      </c>
      <c r="E103" t="s">
        <v>51</v>
      </c>
      <c r="F103" s="1">
        <v>45431</v>
      </c>
      <c r="G103">
        <v>1</v>
      </c>
      <c r="H103" t="s">
        <v>32</v>
      </c>
      <c r="I103" t="s">
        <v>33</v>
      </c>
      <c r="J103">
        <v>0.2</v>
      </c>
      <c r="K103">
        <v>331.6</v>
      </c>
      <c r="L103">
        <v>1658</v>
      </c>
      <c r="M103">
        <v>1326.4</v>
      </c>
      <c r="N103" t="s">
        <v>44</v>
      </c>
    </row>
    <row r="104" spans="1:14" x14ac:dyDescent="0.2">
      <c r="A104">
        <v>3103</v>
      </c>
      <c r="B104" t="s">
        <v>244</v>
      </c>
      <c r="C104" t="s">
        <v>245</v>
      </c>
      <c r="D104">
        <v>1336</v>
      </c>
      <c r="E104" t="s">
        <v>92</v>
      </c>
      <c r="F104" s="1">
        <v>45651</v>
      </c>
      <c r="G104">
        <v>3</v>
      </c>
      <c r="H104" t="s">
        <v>52</v>
      </c>
      <c r="I104" t="s">
        <v>57</v>
      </c>
      <c r="J104">
        <v>0.3</v>
      </c>
      <c r="K104">
        <v>324</v>
      </c>
      <c r="L104">
        <v>1080</v>
      </c>
      <c r="M104">
        <v>756</v>
      </c>
      <c r="N104" t="s">
        <v>44</v>
      </c>
    </row>
    <row r="105" spans="1:14" x14ac:dyDescent="0.2">
      <c r="A105">
        <v>3104</v>
      </c>
      <c r="B105" t="s">
        <v>239</v>
      </c>
      <c r="C105" t="s">
        <v>246</v>
      </c>
      <c r="D105">
        <v>1337</v>
      </c>
      <c r="E105" t="s">
        <v>76</v>
      </c>
      <c r="F105" s="1">
        <v>45493</v>
      </c>
      <c r="G105">
        <v>2</v>
      </c>
      <c r="H105" t="s">
        <v>32</v>
      </c>
      <c r="I105" t="s">
        <v>53</v>
      </c>
      <c r="J105">
        <v>0.25</v>
      </c>
      <c r="K105">
        <v>73.5</v>
      </c>
      <c r="L105">
        <v>294</v>
      </c>
      <c r="M105">
        <v>220.5</v>
      </c>
      <c r="N105" t="s">
        <v>114</v>
      </c>
    </row>
    <row r="106" spans="1:14" x14ac:dyDescent="0.2">
      <c r="A106">
        <v>3105</v>
      </c>
      <c r="B106" t="s">
        <v>247</v>
      </c>
      <c r="C106" t="s">
        <v>248</v>
      </c>
      <c r="D106">
        <v>1338</v>
      </c>
      <c r="E106" t="s">
        <v>31</v>
      </c>
      <c r="F106" s="1">
        <v>45453</v>
      </c>
      <c r="G106">
        <v>3</v>
      </c>
      <c r="H106" t="s">
        <v>32</v>
      </c>
      <c r="I106" t="s">
        <v>43</v>
      </c>
      <c r="J106">
        <v>0.1</v>
      </c>
      <c r="K106">
        <v>130.70000000000002</v>
      </c>
      <c r="L106">
        <v>1307</v>
      </c>
      <c r="M106">
        <v>1176.3</v>
      </c>
      <c r="N106" t="s">
        <v>54</v>
      </c>
    </row>
    <row r="107" spans="1:14" x14ac:dyDescent="0.2">
      <c r="A107">
        <v>3106</v>
      </c>
      <c r="B107" t="s">
        <v>249</v>
      </c>
      <c r="C107" t="s">
        <v>250</v>
      </c>
      <c r="D107">
        <v>1339</v>
      </c>
      <c r="E107" t="s">
        <v>51</v>
      </c>
      <c r="F107" s="1">
        <v>45490</v>
      </c>
      <c r="G107">
        <v>3</v>
      </c>
      <c r="H107" t="s">
        <v>32</v>
      </c>
      <c r="I107" t="s">
        <v>33</v>
      </c>
      <c r="J107">
        <v>0.2</v>
      </c>
      <c r="K107">
        <v>113.4</v>
      </c>
      <c r="L107">
        <v>567</v>
      </c>
      <c r="M107">
        <v>453.6</v>
      </c>
      <c r="N107" t="s">
        <v>54</v>
      </c>
    </row>
    <row r="108" spans="1:14" x14ac:dyDescent="0.2">
      <c r="A108">
        <v>3107</v>
      </c>
      <c r="B108" t="s">
        <v>251</v>
      </c>
      <c r="C108" t="s">
        <v>252</v>
      </c>
      <c r="D108">
        <v>1340</v>
      </c>
      <c r="E108" t="s">
        <v>51</v>
      </c>
      <c r="F108" s="1">
        <v>45400</v>
      </c>
      <c r="G108">
        <v>1</v>
      </c>
      <c r="H108" t="s">
        <v>32</v>
      </c>
      <c r="I108" t="s">
        <v>33</v>
      </c>
      <c r="J108">
        <v>0.2</v>
      </c>
      <c r="K108">
        <v>24</v>
      </c>
      <c r="L108">
        <v>120</v>
      </c>
      <c r="M108">
        <v>96</v>
      </c>
      <c r="N108" t="s">
        <v>48</v>
      </c>
    </row>
    <row r="109" spans="1:14" x14ac:dyDescent="0.2">
      <c r="A109">
        <v>3108</v>
      </c>
      <c r="B109" t="s">
        <v>253</v>
      </c>
      <c r="C109" t="s">
        <v>80</v>
      </c>
      <c r="D109">
        <v>1341</v>
      </c>
      <c r="E109" t="s">
        <v>37</v>
      </c>
      <c r="F109" s="1">
        <v>45581</v>
      </c>
      <c r="G109">
        <v>2</v>
      </c>
      <c r="H109" t="s">
        <v>52</v>
      </c>
      <c r="I109" t="s">
        <v>43</v>
      </c>
      <c r="J109">
        <v>0.3</v>
      </c>
      <c r="K109">
        <v>259.5</v>
      </c>
      <c r="L109">
        <v>865</v>
      </c>
      <c r="M109">
        <v>605.5</v>
      </c>
      <c r="N109" t="s">
        <v>114</v>
      </c>
    </row>
    <row r="110" spans="1:14" x14ac:dyDescent="0.2">
      <c r="A110">
        <v>3109</v>
      </c>
      <c r="B110" t="s">
        <v>254</v>
      </c>
      <c r="C110" t="s">
        <v>255</v>
      </c>
      <c r="D110">
        <v>1342</v>
      </c>
      <c r="E110" t="s">
        <v>76</v>
      </c>
      <c r="F110" s="1">
        <v>45412</v>
      </c>
      <c r="G110">
        <v>3</v>
      </c>
      <c r="H110" t="s">
        <v>52</v>
      </c>
      <c r="I110" t="s">
        <v>53</v>
      </c>
      <c r="J110">
        <v>0.25</v>
      </c>
      <c r="K110">
        <v>444.25</v>
      </c>
      <c r="L110">
        <v>1777</v>
      </c>
      <c r="M110">
        <v>1332.75</v>
      </c>
      <c r="N110" t="s">
        <v>44</v>
      </c>
    </row>
    <row r="111" spans="1:14" x14ac:dyDescent="0.2">
      <c r="A111">
        <v>3110</v>
      </c>
      <c r="B111" t="s">
        <v>256</v>
      </c>
      <c r="C111" t="s">
        <v>257</v>
      </c>
      <c r="D111">
        <v>1343</v>
      </c>
      <c r="E111" t="s">
        <v>51</v>
      </c>
      <c r="F111" s="1">
        <v>45343</v>
      </c>
      <c r="G111">
        <v>2</v>
      </c>
      <c r="H111" t="s">
        <v>52</v>
      </c>
      <c r="I111" t="s">
        <v>57</v>
      </c>
      <c r="J111">
        <v>0.2</v>
      </c>
      <c r="K111">
        <v>245.20000000000002</v>
      </c>
      <c r="L111">
        <v>1226</v>
      </c>
      <c r="M111">
        <v>980.8</v>
      </c>
      <c r="N111" t="s">
        <v>54</v>
      </c>
    </row>
    <row r="112" spans="1:14" x14ac:dyDescent="0.2">
      <c r="A112">
        <v>3111</v>
      </c>
      <c r="B112" t="s">
        <v>258</v>
      </c>
      <c r="C112" t="s">
        <v>259</v>
      </c>
      <c r="D112">
        <v>1344</v>
      </c>
      <c r="E112" t="s">
        <v>76</v>
      </c>
      <c r="F112" s="1">
        <v>45489</v>
      </c>
      <c r="G112">
        <v>3</v>
      </c>
      <c r="H112" t="s">
        <v>71</v>
      </c>
      <c r="I112" t="s">
        <v>57</v>
      </c>
      <c r="J112">
        <v>0.25</v>
      </c>
      <c r="K112">
        <v>418.5</v>
      </c>
      <c r="L112">
        <v>1674</v>
      </c>
      <c r="M112">
        <v>1255.5</v>
      </c>
      <c r="N112" t="s">
        <v>34</v>
      </c>
    </row>
    <row r="113" spans="1:14" x14ac:dyDescent="0.2">
      <c r="A113">
        <v>3112</v>
      </c>
      <c r="B113" t="s">
        <v>224</v>
      </c>
      <c r="C113" t="s">
        <v>260</v>
      </c>
      <c r="D113">
        <v>1345</v>
      </c>
      <c r="E113" t="s">
        <v>31</v>
      </c>
      <c r="F113" s="1">
        <v>45480</v>
      </c>
      <c r="G113">
        <v>2</v>
      </c>
      <c r="H113" t="s">
        <v>52</v>
      </c>
      <c r="I113" t="s">
        <v>53</v>
      </c>
      <c r="J113">
        <v>0.1</v>
      </c>
      <c r="K113">
        <v>167.60000000000002</v>
      </c>
      <c r="L113">
        <v>1676</v>
      </c>
      <c r="M113">
        <v>1508.4</v>
      </c>
      <c r="N113" t="s">
        <v>44</v>
      </c>
    </row>
    <row r="114" spans="1:14" x14ac:dyDescent="0.2">
      <c r="A114">
        <v>3113</v>
      </c>
      <c r="B114" t="s">
        <v>36</v>
      </c>
      <c r="C114" t="s">
        <v>94</v>
      </c>
      <c r="D114">
        <v>1346</v>
      </c>
      <c r="E114" t="s">
        <v>37</v>
      </c>
      <c r="F114" s="1">
        <v>45653</v>
      </c>
      <c r="G114">
        <v>2</v>
      </c>
      <c r="H114" t="s">
        <v>52</v>
      </c>
      <c r="I114" t="s">
        <v>53</v>
      </c>
      <c r="J114">
        <v>0.3</v>
      </c>
      <c r="K114">
        <v>143.1</v>
      </c>
      <c r="L114">
        <v>477</v>
      </c>
      <c r="M114">
        <v>333.9</v>
      </c>
      <c r="N114" t="s">
        <v>54</v>
      </c>
    </row>
    <row r="115" spans="1:14" x14ac:dyDescent="0.2">
      <c r="A115">
        <v>3114</v>
      </c>
      <c r="B115" t="s">
        <v>261</v>
      </c>
      <c r="C115" t="s">
        <v>262</v>
      </c>
      <c r="D115">
        <v>1347</v>
      </c>
      <c r="E115" t="s">
        <v>42</v>
      </c>
      <c r="F115" s="1">
        <v>45481</v>
      </c>
      <c r="G115">
        <v>1</v>
      </c>
      <c r="H115" t="s">
        <v>32</v>
      </c>
      <c r="I115" t="s">
        <v>64</v>
      </c>
      <c r="J115">
        <v>0.25</v>
      </c>
      <c r="K115">
        <v>259.25</v>
      </c>
      <c r="L115">
        <v>1037</v>
      </c>
      <c r="M115">
        <v>777.75</v>
      </c>
      <c r="N115" t="s">
        <v>44</v>
      </c>
    </row>
    <row r="116" spans="1:14" x14ac:dyDescent="0.2">
      <c r="A116">
        <v>3115</v>
      </c>
      <c r="B116" t="s">
        <v>222</v>
      </c>
      <c r="C116" t="s">
        <v>263</v>
      </c>
      <c r="D116">
        <v>1348</v>
      </c>
      <c r="E116" t="s">
        <v>37</v>
      </c>
      <c r="F116" s="1">
        <v>45305</v>
      </c>
      <c r="G116">
        <v>3</v>
      </c>
      <c r="H116" t="s">
        <v>52</v>
      </c>
      <c r="I116" t="s">
        <v>57</v>
      </c>
      <c r="J116">
        <v>0.3</v>
      </c>
      <c r="K116">
        <v>77.7</v>
      </c>
      <c r="L116">
        <v>259</v>
      </c>
      <c r="M116">
        <v>181.3</v>
      </c>
      <c r="N116" t="s">
        <v>114</v>
      </c>
    </row>
    <row r="117" spans="1:14" x14ac:dyDescent="0.2">
      <c r="A117">
        <v>3116</v>
      </c>
      <c r="B117" t="s">
        <v>264</v>
      </c>
      <c r="C117" t="s">
        <v>265</v>
      </c>
      <c r="D117">
        <v>1349</v>
      </c>
      <c r="E117" t="s">
        <v>92</v>
      </c>
      <c r="F117" s="1">
        <v>45365</v>
      </c>
      <c r="G117">
        <v>2</v>
      </c>
      <c r="H117" t="s">
        <v>32</v>
      </c>
      <c r="I117" t="s">
        <v>39</v>
      </c>
      <c r="J117">
        <v>0.3</v>
      </c>
      <c r="K117">
        <v>397.5</v>
      </c>
      <c r="L117">
        <v>1325</v>
      </c>
      <c r="M117">
        <v>927.5</v>
      </c>
      <c r="N117" t="s">
        <v>44</v>
      </c>
    </row>
    <row r="118" spans="1:14" x14ac:dyDescent="0.2">
      <c r="A118">
        <v>3117</v>
      </c>
      <c r="B118" t="s">
        <v>161</v>
      </c>
      <c r="C118" t="s">
        <v>266</v>
      </c>
      <c r="D118">
        <v>1350</v>
      </c>
      <c r="E118" t="s">
        <v>76</v>
      </c>
      <c r="F118" s="1">
        <v>45645</v>
      </c>
      <c r="G118">
        <v>2</v>
      </c>
      <c r="H118" t="s">
        <v>52</v>
      </c>
      <c r="I118" t="s">
        <v>43</v>
      </c>
      <c r="J118">
        <v>0.25</v>
      </c>
      <c r="K118">
        <v>436.25</v>
      </c>
      <c r="L118">
        <v>1745</v>
      </c>
      <c r="M118">
        <v>1308.75</v>
      </c>
      <c r="N118" t="s">
        <v>48</v>
      </c>
    </row>
    <row r="119" spans="1:14" x14ac:dyDescent="0.2">
      <c r="A119">
        <v>3118</v>
      </c>
      <c r="B119" t="s">
        <v>267</v>
      </c>
      <c r="C119" t="s">
        <v>268</v>
      </c>
      <c r="D119">
        <v>1351</v>
      </c>
      <c r="E119" t="s">
        <v>92</v>
      </c>
      <c r="F119" s="1">
        <v>45371</v>
      </c>
      <c r="G119">
        <v>3</v>
      </c>
      <c r="H119" t="s">
        <v>52</v>
      </c>
      <c r="I119" t="s">
        <v>64</v>
      </c>
      <c r="J119">
        <v>0.3</v>
      </c>
      <c r="K119">
        <v>201.9</v>
      </c>
      <c r="L119">
        <v>673</v>
      </c>
      <c r="M119">
        <v>471.1</v>
      </c>
      <c r="N119" t="s">
        <v>54</v>
      </c>
    </row>
    <row r="120" spans="1:14" x14ac:dyDescent="0.2">
      <c r="A120">
        <v>3119</v>
      </c>
      <c r="B120" t="s">
        <v>269</v>
      </c>
      <c r="C120" t="s">
        <v>270</v>
      </c>
      <c r="D120">
        <v>1352</v>
      </c>
      <c r="E120" t="s">
        <v>42</v>
      </c>
      <c r="F120" s="1">
        <v>45621</v>
      </c>
      <c r="G120">
        <v>2</v>
      </c>
      <c r="H120" t="s">
        <v>38</v>
      </c>
      <c r="I120" t="s">
        <v>57</v>
      </c>
      <c r="J120">
        <v>0.25</v>
      </c>
      <c r="K120">
        <v>271.5</v>
      </c>
      <c r="L120">
        <v>1086</v>
      </c>
      <c r="M120">
        <v>814.5</v>
      </c>
      <c r="N120" t="s">
        <v>34</v>
      </c>
    </row>
    <row r="121" spans="1:14" x14ac:dyDescent="0.2">
      <c r="A121">
        <v>3120</v>
      </c>
      <c r="B121" t="s">
        <v>271</v>
      </c>
      <c r="C121" t="s">
        <v>272</v>
      </c>
      <c r="D121">
        <v>1353</v>
      </c>
      <c r="E121" t="s">
        <v>76</v>
      </c>
      <c r="F121" s="1">
        <v>45448</v>
      </c>
      <c r="G121">
        <v>3</v>
      </c>
      <c r="H121" t="s">
        <v>32</v>
      </c>
      <c r="I121" t="s">
        <v>57</v>
      </c>
      <c r="J121">
        <v>0.25</v>
      </c>
      <c r="K121">
        <v>47.25</v>
      </c>
      <c r="L121">
        <v>189</v>
      </c>
      <c r="M121">
        <v>141.75</v>
      </c>
      <c r="N121" t="s">
        <v>54</v>
      </c>
    </row>
    <row r="122" spans="1:14" x14ac:dyDescent="0.2">
      <c r="A122">
        <v>3121</v>
      </c>
      <c r="B122" t="s">
        <v>273</v>
      </c>
      <c r="C122" t="s">
        <v>221</v>
      </c>
      <c r="D122">
        <v>1354</v>
      </c>
      <c r="E122" t="s">
        <v>92</v>
      </c>
      <c r="F122" s="1">
        <v>45505</v>
      </c>
      <c r="G122">
        <v>1</v>
      </c>
      <c r="H122" t="s">
        <v>32</v>
      </c>
      <c r="I122" t="s">
        <v>53</v>
      </c>
      <c r="J122">
        <v>0.3</v>
      </c>
      <c r="K122">
        <v>176.7</v>
      </c>
      <c r="L122">
        <v>589</v>
      </c>
      <c r="M122">
        <v>412.3</v>
      </c>
      <c r="N122" t="s">
        <v>44</v>
      </c>
    </row>
    <row r="123" spans="1:14" x14ac:dyDescent="0.2">
      <c r="A123">
        <v>3122</v>
      </c>
      <c r="B123" t="s">
        <v>180</v>
      </c>
      <c r="C123" t="s">
        <v>274</v>
      </c>
      <c r="D123">
        <v>1355</v>
      </c>
      <c r="E123" t="s">
        <v>42</v>
      </c>
      <c r="F123" s="1">
        <v>45518</v>
      </c>
      <c r="G123">
        <v>3</v>
      </c>
      <c r="H123" t="s">
        <v>32</v>
      </c>
      <c r="I123" t="s">
        <v>81</v>
      </c>
      <c r="J123">
        <v>0.25</v>
      </c>
      <c r="K123">
        <v>108</v>
      </c>
      <c r="L123">
        <v>432</v>
      </c>
      <c r="M123">
        <v>324</v>
      </c>
      <c r="N123" t="s">
        <v>54</v>
      </c>
    </row>
    <row r="124" spans="1:14" x14ac:dyDescent="0.2">
      <c r="A124">
        <v>3123</v>
      </c>
      <c r="B124" t="s">
        <v>275</v>
      </c>
      <c r="C124" t="s">
        <v>276</v>
      </c>
      <c r="D124">
        <v>1356</v>
      </c>
      <c r="E124" t="s">
        <v>51</v>
      </c>
      <c r="F124" s="1">
        <v>45399</v>
      </c>
      <c r="G124">
        <v>3</v>
      </c>
      <c r="H124" t="s">
        <v>52</v>
      </c>
      <c r="I124" t="s">
        <v>39</v>
      </c>
      <c r="J124">
        <v>0.2</v>
      </c>
      <c r="K124">
        <v>304.60000000000002</v>
      </c>
      <c r="L124">
        <v>1523</v>
      </c>
      <c r="M124">
        <v>1218.4000000000001</v>
      </c>
      <c r="N124" t="s">
        <v>44</v>
      </c>
    </row>
    <row r="125" spans="1:14" x14ac:dyDescent="0.2">
      <c r="A125">
        <v>3124</v>
      </c>
      <c r="B125" t="s">
        <v>277</v>
      </c>
      <c r="C125" t="s">
        <v>278</v>
      </c>
      <c r="D125">
        <v>1357</v>
      </c>
      <c r="E125" t="s">
        <v>31</v>
      </c>
      <c r="F125" s="1">
        <v>45532</v>
      </c>
      <c r="G125">
        <v>1</v>
      </c>
      <c r="H125" t="s">
        <v>32</v>
      </c>
      <c r="I125" t="s">
        <v>33</v>
      </c>
      <c r="J125">
        <v>0.1</v>
      </c>
      <c r="K125">
        <v>162.9</v>
      </c>
      <c r="L125">
        <v>1629</v>
      </c>
      <c r="M125">
        <v>1466.1</v>
      </c>
      <c r="N125" t="s">
        <v>114</v>
      </c>
    </row>
    <row r="126" spans="1:14" x14ac:dyDescent="0.2">
      <c r="A126">
        <v>3125</v>
      </c>
      <c r="B126" t="s">
        <v>279</v>
      </c>
      <c r="C126" t="s">
        <v>280</v>
      </c>
      <c r="D126">
        <v>1358</v>
      </c>
      <c r="E126" t="s">
        <v>42</v>
      </c>
      <c r="F126" s="1">
        <v>45332</v>
      </c>
      <c r="G126">
        <v>3</v>
      </c>
      <c r="H126" t="s">
        <v>38</v>
      </c>
      <c r="I126" t="s">
        <v>47</v>
      </c>
      <c r="J126">
        <v>0.25</v>
      </c>
      <c r="K126">
        <v>260.5</v>
      </c>
      <c r="L126">
        <v>1042</v>
      </c>
      <c r="M126">
        <v>781.5</v>
      </c>
      <c r="N126" t="s">
        <v>34</v>
      </c>
    </row>
    <row r="127" spans="1:14" x14ac:dyDescent="0.2">
      <c r="A127">
        <v>3126</v>
      </c>
      <c r="B127" t="s">
        <v>281</v>
      </c>
      <c r="C127" t="s">
        <v>282</v>
      </c>
      <c r="D127">
        <v>1359</v>
      </c>
      <c r="E127" t="s">
        <v>76</v>
      </c>
      <c r="F127" s="1">
        <v>45469</v>
      </c>
      <c r="G127">
        <v>2</v>
      </c>
      <c r="H127" t="s">
        <v>52</v>
      </c>
      <c r="I127" t="s">
        <v>64</v>
      </c>
      <c r="J127">
        <v>0.25</v>
      </c>
      <c r="K127">
        <v>103.25</v>
      </c>
      <c r="L127">
        <v>413</v>
      </c>
      <c r="M127">
        <v>309.75</v>
      </c>
      <c r="N127" t="s">
        <v>44</v>
      </c>
    </row>
    <row r="128" spans="1:14" x14ac:dyDescent="0.2">
      <c r="A128">
        <v>3127</v>
      </c>
      <c r="B128" t="s">
        <v>253</v>
      </c>
      <c r="C128" t="s">
        <v>283</v>
      </c>
      <c r="D128">
        <v>1360</v>
      </c>
      <c r="E128" t="s">
        <v>76</v>
      </c>
      <c r="F128" s="1">
        <v>45388</v>
      </c>
      <c r="G128">
        <v>2</v>
      </c>
      <c r="H128" t="s">
        <v>32</v>
      </c>
      <c r="I128" t="s">
        <v>39</v>
      </c>
      <c r="J128">
        <v>0.25</v>
      </c>
      <c r="K128">
        <v>361.5</v>
      </c>
      <c r="L128">
        <v>1446</v>
      </c>
      <c r="M128">
        <v>1084.5</v>
      </c>
      <c r="N128" t="s">
        <v>44</v>
      </c>
    </row>
    <row r="129" spans="1:14" x14ac:dyDescent="0.2">
      <c r="A129">
        <v>3128</v>
      </c>
      <c r="B129" t="s">
        <v>284</v>
      </c>
      <c r="C129" t="s">
        <v>285</v>
      </c>
      <c r="D129">
        <v>1361</v>
      </c>
      <c r="E129" t="s">
        <v>51</v>
      </c>
      <c r="F129" s="1">
        <v>45572</v>
      </c>
      <c r="G129">
        <v>1</v>
      </c>
      <c r="H129" t="s">
        <v>38</v>
      </c>
      <c r="I129" t="s">
        <v>39</v>
      </c>
      <c r="J129">
        <v>0.2</v>
      </c>
      <c r="K129">
        <v>3.8000000000000003</v>
      </c>
      <c r="L129">
        <v>19</v>
      </c>
      <c r="M129">
        <v>15.2</v>
      </c>
      <c r="N129" t="s">
        <v>44</v>
      </c>
    </row>
    <row r="130" spans="1:14" x14ac:dyDescent="0.2">
      <c r="A130">
        <v>3129</v>
      </c>
      <c r="B130" t="s">
        <v>286</v>
      </c>
      <c r="C130" t="s">
        <v>287</v>
      </c>
      <c r="D130">
        <v>1362</v>
      </c>
      <c r="E130" t="s">
        <v>76</v>
      </c>
      <c r="F130" s="1">
        <v>45639</v>
      </c>
      <c r="G130">
        <v>3</v>
      </c>
      <c r="H130" t="s">
        <v>52</v>
      </c>
      <c r="I130" t="s">
        <v>33</v>
      </c>
      <c r="J130">
        <v>0.25</v>
      </c>
      <c r="K130">
        <v>4.5</v>
      </c>
      <c r="L130">
        <v>18</v>
      </c>
      <c r="M130">
        <v>13.5</v>
      </c>
      <c r="N130" t="s">
        <v>34</v>
      </c>
    </row>
    <row r="131" spans="1:14" x14ac:dyDescent="0.2">
      <c r="A131">
        <v>3130</v>
      </c>
      <c r="B131" t="s">
        <v>288</v>
      </c>
      <c r="C131" t="s">
        <v>289</v>
      </c>
      <c r="D131">
        <v>1363</v>
      </c>
      <c r="E131" t="s">
        <v>76</v>
      </c>
      <c r="F131" s="1">
        <v>45354</v>
      </c>
      <c r="G131">
        <v>1</v>
      </c>
      <c r="H131" t="s">
        <v>38</v>
      </c>
      <c r="I131" t="s">
        <v>53</v>
      </c>
      <c r="J131">
        <v>0.25</v>
      </c>
      <c r="K131">
        <v>168.75</v>
      </c>
      <c r="L131">
        <v>675</v>
      </c>
      <c r="M131">
        <v>506.25</v>
      </c>
      <c r="N131" t="s">
        <v>54</v>
      </c>
    </row>
    <row r="132" spans="1:14" x14ac:dyDescent="0.2">
      <c r="A132">
        <v>3131</v>
      </c>
      <c r="B132" t="s">
        <v>290</v>
      </c>
      <c r="C132" t="s">
        <v>291</v>
      </c>
      <c r="D132">
        <v>1364</v>
      </c>
      <c r="E132" t="s">
        <v>76</v>
      </c>
      <c r="F132" s="1">
        <v>45292</v>
      </c>
      <c r="G132">
        <v>2</v>
      </c>
      <c r="H132" t="s">
        <v>52</v>
      </c>
      <c r="I132" t="s">
        <v>57</v>
      </c>
      <c r="J132">
        <v>0.25</v>
      </c>
      <c r="K132">
        <v>279.25</v>
      </c>
      <c r="L132">
        <v>1117</v>
      </c>
      <c r="M132">
        <v>837.75</v>
      </c>
      <c r="N132" t="s">
        <v>114</v>
      </c>
    </row>
    <row r="133" spans="1:14" x14ac:dyDescent="0.2">
      <c r="A133">
        <v>3132</v>
      </c>
      <c r="B133" t="s">
        <v>292</v>
      </c>
      <c r="C133" t="s">
        <v>293</v>
      </c>
      <c r="D133">
        <v>1365</v>
      </c>
      <c r="E133" t="s">
        <v>42</v>
      </c>
      <c r="F133" s="1">
        <v>45310</v>
      </c>
      <c r="G133">
        <v>1</v>
      </c>
      <c r="H133" t="s">
        <v>52</v>
      </c>
      <c r="I133" t="s">
        <v>39</v>
      </c>
      <c r="J133">
        <v>0.25</v>
      </c>
      <c r="K133">
        <v>341.5</v>
      </c>
      <c r="L133">
        <v>1366</v>
      </c>
      <c r="M133">
        <v>1024.5</v>
      </c>
      <c r="N133" t="s">
        <v>34</v>
      </c>
    </row>
    <row r="134" spans="1:14" x14ac:dyDescent="0.2">
      <c r="A134">
        <v>3133</v>
      </c>
      <c r="B134" t="s">
        <v>294</v>
      </c>
      <c r="C134" t="s">
        <v>295</v>
      </c>
      <c r="D134">
        <v>1366</v>
      </c>
      <c r="E134" t="s">
        <v>76</v>
      </c>
      <c r="F134" s="1">
        <v>45612</v>
      </c>
      <c r="G134">
        <v>1</v>
      </c>
      <c r="H134" t="s">
        <v>71</v>
      </c>
      <c r="I134" t="s">
        <v>64</v>
      </c>
      <c r="J134">
        <v>0.25</v>
      </c>
      <c r="K134">
        <v>326.5</v>
      </c>
      <c r="L134">
        <v>1306</v>
      </c>
      <c r="M134">
        <v>979.5</v>
      </c>
      <c r="N134" t="s">
        <v>48</v>
      </c>
    </row>
    <row r="135" spans="1:14" x14ac:dyDescent="0.2">
      <c r="A135">
        <v>3134</v>
      </c>
      <c r="B135" t="s">
        <v>296</v>
      </c>
      <c r="C135" t="s">
        <v>297</v>
      </c>
      <c r="D135">
        <v>1367</v>
      </c>
      <c r="E135" t="s">
        <v>37</v>
      </c>
      <c r="F135" s="1">
        <v>45521</v>
      </c>
      <c r="G135">
        <v>2</v>
      </c>
      <c r="H135" t="s">
        <v>52</v>
      </c>
      <c r="I135" t="s">
        <v>57</v>
      </c>
      <c r="J135">
        <v>0.3</v>
      </c>
      <c r="K135">
        <v>433.2</v>
      </c>
      <c r="L135">
        <v>1444</v>
      </c>
      <c r="M135">
        <v>1010.8</v>
      </c>
      <c r="N135" t="s">
        <v>44</v>
      </c>
    </row>
    <row r="136" spans="1:14" x14ac:dyDescent="0.2">
      <c r="A136">
        <v>3135</v>
      </c>
      <c r="B136" t="s">
        <v>261</v>
      </c>
      <c r="C136" t="s">
        <v>298</v>
      </c>
      <c r="D136">
        <v>1368</v>
      </c>
      <c r="E136" t="s">
        <v>37</v>
      </c>
      <c r="F136" s="1">
        <v>45485</v>
      </c>
      <c r="G136">
        <v>1</v>
      </c>
      <c r="H136" t="s">
        <v>38</v>
      </c>
      <c r="I136" t="s">
        <v>64</v>
      </c>
      <c r="J136">
        <v>0.3</v>
      </c>
      <c r="K136">
        <v>74.7</v>
      </c>
      <c r="L136">
        <v>249</v>
      </c>
      <c r="M136">
        <v>174.3</v>
      </c>
      <c r="N136" t="s">
        <v>48</v>
      </c>
    </row>
    <row r="137" spans="1:14" x14ac:dyDescent="0.2">
      <c r="A137">
        <v>3136</v>
      </c>
      <c r="B137" t="s">
        <v>299</v>
      </c>
      <c r="C137" t="s">
        <v>152</v>
      </c>
      <c r="D137">
        <v>1369</v>
      </c>
      <c r="E137" t="s">
        <v>76</v>
      </c>
      <c r="F137" s="1">
        <v>45546</v>
      </c>
      <c r="G137">
        <v>2</v>
      </c>
      <c r="H137" t="s">
        <v>52</v>
      </c>
      <c r="I137" t="s">
        <v>53</v>
      </c>
      <c r="J137">
        <v>0.25</v>
      </c>
      <c r="K137">
        <v>248.5</v>
      </c>
      <c r="L137">
        <v>994</v>
      </c>
      <c r="M137">
        <v>745.5</v>
      </c>
      <c r="N137" t="s">
        <v>54</v>
      </c>
    </row>
    <row r="138" spans="1:14" x14ac:dyDescent="0.2">
      <c r="A138">
        <v>3137</v>
      </c>
      <c r="B138" t="s">
        <v>300</v>
      </c>
      <c r="C138" t="s">
        <v>301</v>
      </c>
      <c r="D138">
        <v>1370</v>
      </c>
      <c r="E138" t="s">
        <v>76</v>
      </c>
      <c r="F138" s="1">
        <v>45568</v>
      </c>
      <c r="G138">
        <v>3</v>
      </c>
      <c r="H138" t="s">
        <v>38</v>
      </c>
      <c r="I138" t="s">
        <v>81</v>
      </c>
      <c r="J138">
        <v>0.25</v>
      </c>
      <c r="K138">
        <v>264.75</v>
      </c>
      <c r="L138">
        <v>1059</v>
      </c>
      <c r="M138">
        <v>794.25</v>
      </c>
      <c r="N138" t="s">
        <v>34</v>
      </c>
    </row>
    <row r="139" spans="1:14" x14ac:dyDescent="0.2">
      <c r="A139">
        <v>3138</v>
      </c>
      <c r="B139" t="s">
        <v>302</v>
      </c>
      <c r="C139" t="s">
        <v>303</v>
      </c>
      <c r="D139">
        <v>1371</v>
      </c>
      <c r="E139" t="s">
        <v>92</v>
      </c>
      <c r="F139" s="1">
        <v>45429</v>
      </c>
      <c r="G139">
        <v>1</v>
      </c>
      <c r="H139" t="s">
        <v>32</v>
      </c>
      <c r="I139" t="s">
        <v>43</v>
      </c>
      <c r="J139">
        <v>0.3</v>
      </c>
      <c r="K139">
        <v>51.3</v>
      </c>
      <c r="L139">
        <v>171</v>
      </c>
      <c r="M139">
        <v>119.7</v>
      </c>
      <c r="N139" t="s">
        <v>34</v>
      </c>
    </row>
    <row r="140" spans="1:14" x14ac:dyDescent="0.2">
      <c r="A140">
        <v>3139</v>
      </c>
      <c r="B140" t="s">
        <v>304</v>
      </c>
      <c r="C140" t="s">
        <v>305</v>
      </c>
      <c r="D140">
        <v>1372</v>
      </c>
      <c r="E140" t="s">
        <v>37</v>
      </c>
      <c r="F140" s="1">
        <v>45466</v>
      </c>
      <c r="G140">
        <v>1</v>
      </c>
      <c r="H140" t="s">
        <v>32</v>
      </c>
      <c r="I140" t="s">
        <v>81</v>
      </c>
      <c r="J140">
        <v>0.3</v>
      </c>
      <c r="K140">
        <v>179.4</v>
      </c>
      <c r="L140">
        <v>598</v>
      </c>
      <c r="M140">
        <v>418.6</v>
      </c>
      <c r="N140" t="s">
        <v>54</v>
      </c>
    </row>
    <row r="141" spans="1:14" x14ac:dyDescent="0.2">
      <c r="A141">
        <v>3140</v>
      </c>
      <c r="B141" t="s">
        <v>306</v>
      </c>
      <c r="C141" t="s">
        <v>307</v>
      </c>
      <c r="D141">
        <v>1373</v>
      </c>
      <c r="E141" t="s">
        <v>31</v>
      </c>
      <c r="F141" s="1">
        <v>45344</v>
      </c>
      <c r="G141">
        <v>1</v>
      </c>
      <c r="H141" t="s">
        <v>38</v>
      </c>
      <c r="I141" t="s">
        <v>39</v>
      </c>
      <c r="J141">
        <v>0.1</v>
      </c>
      <c r="K141">
        <v>59.1</v>
      </c>
      <c r="L141">
        <v>591</v>
      </c>
      <c r="M141">
        <v>531.9</v>
      </c>
      <c r="N141" t="s">
        <v>54</v>
      </c>
    </row>
    <row r="142" spans="1:14" x14ac:dyDescent="0.2">
      <c r="A142">
        <v>3141</v>
      </c>
      <c r="B142" t="s">
        <v>308</v>
      </c>
      <c r="C142" t="s">
        <v>309</v>
      </c>
      <c r="D142">
        <v>1374</v>
      </c>
      <c r="E142" t="s">
        <v>31</v>
      </c>
      <c r="F142" s="1">
        <v>45354</v>
      </c>
      <c r="G142">
        <v>2</v>
      </c>
      <c r="H142" t="s">
        <v>32</v>
      </c>
      <c r="I142" t="s">
        <v>39</v>
      </c>
      <c r="J142">
        <v>0.1</v>
      </c>
      <c r="K142">
        <v>58.900000000000006</v>
      </c>
      <c r="L142">
        <v>589</v>
      </c>
      <c r="M142">
        <v>530.1</v>
      </c>
      <c r="N142" t="s">
        <v>44</v>
      </c>
    </row>
    <row r="143" spans="1:14" x14ac:dyDescent="0.2">
      <c r="A143">
        <v>3142</v>
      </c>
      <c r="B143" t="s">
        <v>310</v>
      </c>
      <c r="C143" t="s">
        <v>59</v>
      </c>
      <c r="D143">
        <v>1375</v>
      </c>
      <c r="E143" t="s">
        <v>42</v>
      </c>
      <c r="F143" s="1">
        <v>45500</v>
      </c>
      <c r="G143">
        <v>1</v>
      </c>
      <c r="H143" t="s">
        <v>32</v>
      </c>
      <c r="I143" t="s">
        <v>81</v>
      </c>
      <c r="J143">
        <v>0.25</v>
      </c>
      <c r="K143">
        <v>251.25</v>
      </c>
      <c r="L143">
        <v>1005</v>
      </c>
      <c r="M143">
        <v>753.75</v>
      </c>
      <c r="N143" t="s">
        <v>44</v>
      </c>
    </row>
    <row r="144" spans="1:14" x14ac:dyDescent="0.2">
      <c r="A144">
        <v>3143</v>
      </c>
      <c r="B144" t="s">
        <v>311</v>
      </c>
      <c r="C144" t="s">
        <v>312</v>
      </c>
      <c r="D144">
        <v>1376</v>
      </c>
      <c r="E144" t="s">
        <v>42</v>
      </c>
      <c r="F144" s="1">
        <v>45495</v>
      </c>
      <c r="G144">
        <v>2</v>
      </c>
      <c r="H144" t="s">
        <v>38</v>
      </c>
      <c r="I144" t="s">
        <v>43</v>
      </c>
      <c r="J144">
        <v>0.25</v>
      </c>
      <c r="K144">
        <v>160.25</v>
      </c>
      <c r="L144">
        <v>641</v>
      </c>
      <c r="M144">
        <v>480.75</v>
      </c>
      <c r="N144" t="s">
        <v>44</v>
      </c>
    </row>
    <row r="145" spans="1:14" x14ac:dyDescent="0.2">
      <c r="A145">
        <v>3144</v>
      </c>
      <c r="B145" t="s">
        <v>313</v>
      </c>
      <c r="C145" t="s">
        <v>314</v>
      </c>
      <c r="D145">
        <v>1377</v>
      </c>
      <c r="E145" t="s">
        <v>92</v>
      </c>
      <c r="F145" s="1">
        <v>45650</v>
      </c>
      <c r="G145">
        <v>2</v>
      </c>
      <c r="H145" t="s">
        <v>52</v>
      </c>
      <c r="I145" t="s">
        <v>81</v>
      </c>
      <c r="J145">
        <v>0.3</v>
      </c>
      <c r="K145">
        <v>443.09999999999997</v>
      </c>
      <c r="L145">
        <v>1477</v>
      </c>
      <c r="M145">
        <v>1033.9000000000001</v>
      </c>
      <c r="N145" t="s">
        <v>54</v>
      </c>
    </row>
    <row r="146" spans="1:14" x14ac:dyDescent="0.2">
      <c r="A146">
        <v>3145</v>
      </c>
      <c r="B146" t="s">
        <v>315</v>
      </c>
      <c r="C146" t="s">
        <v>316</v>
      </c>
      <c r="D146">
        <v>1378</v>
      </c>
      <c r="E146" t="s">
        <v>76</v>
      </c>
      <c r="F146" s="1">
        <v>45637</v>
      </c>
      <c r="G146">
        <v>1</v>
      </c>
      <c r="H146" t="s">
        <v>32</v>
      </c>
      <c r="I146" t="s">
        <v>57</v>
      </c>
      <c r="J146">
        <v>0.25</v>
      </c>
      <c r="K146">
        <v>406.75</v>
      </c>
      <c r="L146">
        <v>1627</v>
      </c>
      <c r="M146">
        <v>1220.25</v>
      </c>
      <c r="N146" t="s">
        <v>114</v>
      </c>
    </row>
    <row r="147" spans="1:14" x14ac:dyDescent="0.2">
      <c r="A147">
        <v>3146</v>
      </c>
      <c r="B147" t="s">
        <v>317</v>
      </c>
      <c r="C147" t="s">
        <v>318</v>
      </c>
      <c r="D147">
        <v>1379</v>
      </c>
      <c r="E147" t="s">
        <v>42</v>
      </c>
      <c r="F147" s="1">
        <v>45345</v>
      </c>
      <c r="G147">
        <v>3</v>
      </c>
      <c r="H147" t="s">
        <v>32</v>
      </c>
      <c r="I147" t="s">
        <v>81</v>
      </c>
      <c r="J147">
        <v>0.25</v>
      </c>
      <c r="K147">
        <v>219</v>
      </c>
      <c r="L147">
        <v>876</v>
      </c>
      <c r="M147">
        <v>657</v>
      </c>
      <c r="N147" t="s">
        <v>54</v>
      </c>
    </row>
    <row r="148" spans="1:14" x14ac:dyDescent="0.2">
      <c r="A148">
        <v>3147</v>
      </c>
      <c r="B148" t="s">
        <v>68</v>
      </c>
      <c r="C148" t="s">
        <v>319</v>
      </c>
      <c r="D148">
        <v>1380</v>
      </c>
      <c r="E148" t="s">
        <v>31</v>
      </c>
      <c r="F148" s="1">
        <v>45309</v>
      </c>
      <c r="G148">
        <v>1</v>
      </c>
      <c r="H148" t="s">
        <v>52</v>
      </c>
      <c r="I148" t="s">
        <v>47</v>
      </c>
      <c r="J148">
        <v>0.1</v>
      </c>
      <c r="K148">
        <v>110.5</v>
      </c>
      <c r="L148">
        <v>1105</v>
      </c>
      <c r="M148">
        <v>994.5</v>
      </c>
      <c r="N148" t="s">
        <v>44</v>
      </c>
    </row>
    <row r="149" spans="1:14" x14ac:dyDescent="0.2">
      <c r="A149">
        <v>3148</v>
      </c>
      <c r="B149" t="s">
        <v>320</v>
      </c>
      <c r="C149" t="s">
        <v>321</v>
      </c>
      <c r="D149">
        <v>1381</v>
      </c>
      <c r="E149" t="s">
        <v>37</v>
      </c>
      <c r="F149" s="1">
        <v>45540</v>
      </c>
      <c r="G149">
        <v>2</v>
      </c>
      <c r="H149" t="s">
        <v>52</v>
      </c>
      <c r="I149" t="s">
        <v>43</v>
      </c>
      <c r="J149">
        <v>0.3</v>
      </c>
      <c r="K149">
        <v>291.59999999999997</v>
      </c>
      <c r="L149">
        <v>972</v>
      </c>
      <c r="M149">
        <v>680.40000000000009</v>
      </c>
      <c r="N149" t="s">
        <v>54</v>
      </c>
    </row>
    <row r="150" spans="1:14" x14ac:dyDescent="0.2">
      <c r="A150">
        <v>3149</v>
      </c>
      <c r="B150" t="s">
        <v>322</v>
      </c>
      <c r="C150" t="s">
        <v>323</v>
      </c>
      <c r="D150">
        <v>1382</v>
      </c>
      <c r="E150" t="s">
        <v>76</v>
      </c>
      <c r="F150" s="1">
        <v>45614</v>
      </c>
      <c r="G150">
        <v>2</v>
      </c>
      <c r="H150" t="s">
        <v>52</v>
      </c>
      <c r="I150" t="s">
        <v>43</v>
      </c>
      <c r="J150">
        <v>0.25</v>
      </c>
      <c r="K150">
        <v>196.75</v>
      </c>
      <c r="L150">
        <v>787</v>
      </c>
      <c r="M150">
        <v>590.25</v>
      </c>
      <c r="N150" t="s">
        <v>48</v>
      </c>
    </row>
    <row r="151" spans="1:14" x14ac:dyDescent="0.2">
      <c r="A151">
        <v>3150</v>
      </c>
      <c r="B151" t="s">
        <v>275</v>
      </c>
      <c r="C151" t="s">
        <v>324</v>
      </c>
      <c r="D151">
        <v>1383</v>
      </c>
      <c r="E151" t="s">
        <v>42</v>
      </c>
      <c r="F151" s="1">
        <v>45543</v>
      </c>
      <c r="G151">
        <v>3</v>
      </c>
      <c r="H151" t="s">
        <v>52</v>
      </c>
      <c r="I151" t="s">
        <v>43</v>
      </c>
      <c r="J151">
        <v>0.25</v>
      </c>
      <c r="K151">
        <v>27.25</v>
      </c>
      <c r="L151">
        <v>109</v>
      </c>
      <c r="M151">
        <v>81.75</v>
      </c>
      <c r="N151" t="s">
        <v>44</v>
      </c>
    </row>
    <row r="152" spans="1:14" x14ac:dyDescent="0.2">
      <c r="A152">
        <v>3151</v>
      </c>
      <c r="B152" t="s">
        <v>325</v>
      </c>
      <c r="C152" t="s">
        <v>326</v>
      </c>
      <c r="D152">
        <v>1384</v>
      </c>
      <c r="E152" t="s">
        <v>76</v>
      </c>
      <c r="F152" s="1">
        <v>45520</v>
      </c>
      <c r="G152">
        <v>1</v>
      </c>
      <c r="H152" t="s">
        <v>52</v>
      </c>
      <c r="I152" t="s">
        <v>43</v>
      </c>
      <c r="J152">
        <v>0.25</v>
      </c>
      <c r="K152">
        <v>133.25</v>
      </c>
      <c r="L152">
        <v>533</v>
      </c>
      <c r="M152">
        <v>399.75</v>
      </c>
      <c r="N152" t="s">
        <v>114</v>
      </c>
    </row>
    <row r="153" spans="1:14" x14ac:dyDescent="0.2">
      <c r="A153">
        <v>3152</v>
      </c>
      <c r="B153" t="s">
        <v>55</v>
      </c>
      <c r="C153" t="s">
        <v>327</v>
      </c>
      <c r="D153">
        <v>1385</v>
      </c>
      <c r="E153" t="s">
        <v>92</v>
      </c>
      <c r="F153" s="1">
        <v>45390</v>
      </c>
      <c r="G153">
        <v>3</v>
      </c>
      <c r="H153" t="s">
        <v>52</v>
      </c>
      <c r="I153" t="s">
        <v>33</v>
      </c>
      <c r="J153">
        <v>0.3</v>
      </c>
      <c r="K153">
        <v>288.89999999999998</v>
      </c>
      <c r="L153">
        <v>963</v>
      </c>
      <c r="M153">
        <v>674.1</v>
      </c>
      <c r="N153" t="s">
        <v>54</v>
      </c>
    </row>
    <row r="154" spans="1:14" x14ac:dyDescent="0.2">
      <c r="A154">
        <v>3153</v>
      </c>
      <c r="B154" t="s">
        <v>328</v>
      </c>
      <c r="C154" t="s">
        <v>30</v>
      </c>
      <c r="D154">
        <v>1386</v>
      </c>
      <c r="E154" t="s">
        <v>42</v>
      </c>
      <c r="F154" s="1">
        <v>45621</v>
      </c>
      <c r="G154">
        <v>2</v>
      </c>
      <c r="H154" t="s">
        <v>32</v>
      </c>
      <c r="I154" t="s">
        <v>39</v>
      </c>
      <c r="J154">
        <v>0.25</v>
      </c>
      <c r="K154">
        <v>112</v>
      </c>
      <c r="L154">
        <v>448</v>
      </c>
      <c r="M154">
        <v>336</v>
      </c>
      <c r="N154" t="s">
        <v>44</v>
      </c>
    </row>
    <row r="155" spans="1:14" x14ac:dyDescent="0.2">
      <c r="A155">
        <v>3154</v>
      </c>
      <c r="B155" t="s">
        <v>258</v>
      </c>
      <c r="C155" t="s">
        <v>329</v>
      </c>
      <c r="D155">
        <v>1387</v>
      </c>
      <c r="E155" t="s">
        <v>31</v>
      </c>
      <c r="F155" s="1">
        <v>45629</v>
      </c>
      <c r="G155">
        <v>3</v>
      </c>
      <c r="H155" t="s">
        <v>52</v>
      </c>
      <c r="I155" t="s">
        <v>47</v>
      </c>
      <c r="J155">
        <v>0.1</v>
      </c>
      <c r="K155">
        <v>29.900000000000002</v>
      </c>
      <c r="L155">
        <v>299</v>
      </c>
      <c r="M155">
        <v>269.10000000000002</v>
      </c>
      <c r="N155" t="s">
        <v>114</v>
      </c>
    </row>
    <row r="156" spans="1:14" x14ac:dyDescent="0.2">
      <c r="A156">
        <v>3155</v>
      </c>
      <c r="B156" t="s">
        <v>330</v>
      </c>
      <c r="C156" t="s">
        <v>331</v>
      </c>
      <c r="D156">
        <v>1388</v>
      </c>
      <c r="E156" t="s">
        <v>42</v>
      </c>
      <c r="F156" s="1">
        <v>45462</v>
      </c>
      <c r="G156">
        <v>3</v>
      </c>
      <c r="H156" t="s">
        <v>71</v>
      </c>
      <c r="I156" t="s">
        <v>81</v>
      </c>
      <c r="J156">
        <v>0.25</v>
      </c>
      <c r="K156">
        <v>457.25</v>
      </c>
      <c r="L156">
        <v>1829</v>
      </c>
      <c r="M156">
        <v>1371.75</v>
      </c>
      <c r="N156" t="s">
        <v>34</v>
      </c>
    </row>
    <row r="157" spans="1:14" x14ac:dyDescent="0.2">
      <c r="A157">
        <v>3156</v>
      </c>
      <c r="B157" t="s">
        <v>332</v>
      </c>
      <c r="C157" t="s">
        <v>333</v>
      </c>
      <c r="D157">
        <v>1389</v>
      </c>
      <c r="E157" t="s">
        <v>92</v>
      </c>
      <c r="F157" s="1">
        <v>45310</v>
      </c>
      <c r="G157">
        <v>2</v>
      </c>
      <c r="H157" t="s">
        <v>52</v>
      </c>
      <c r="I157" t="s">
        <v>33</v>
      </c>
      <c r="J157">
        <v>0.3</v>
      </c>
      <c r="K157">
        <v>210.6</v>
      </c>
      <c r="L157">
        <v>702</v>
      </c>
      <c r="M157">
        <v>491.4</v>
      </c>
      <c r="N157" t="s">
        <v>44</v>
      </c>
    </row>
    <row r="158" spans="1:14" x14ac:dyDescent="0.2">
      <c r="A158">
        <v>3157</v>
      </c>
      <c r="B158" t="s">
        <v>169</v>
      </c>
      <c r="C158" t="s">
        <v>245</v>
      </c>
      <c r="D158">
        <v>1390</v>
      </c>
      <c r="E158" t="s">
        <v>42</v>
      </c>
      <c r="F158" s="1">
        <v>45577</v>
      </c>
      <c r="G158">
        <v>2</v>
      </c>
      <c r="H158" t="s">
        <v>32</v>
      </c>
      <c r="I158" t="s">
        <v>64</v>
      </c>
      <c r="J158">
        <v>0.25</v>
      </c>
      <c r="K158">
        <v>112.75</v>
      </c>
      <c r="L158">
        <v>451</v>
      </c>
      <c r="M158">
        <v>338.25</v>
      </c>
      <c r="N158" t="s">
        <v>114</v>
      </c>
    </row>
    <row r="159" spans="1:14" x14ac:dyDescent="0.2">
      <c r="A159">
        <v>3158</v>
      </c>
      <c r="B159" t="s">
        <v>334</v>
      </c>
      <c r="C159" t="s">
        <v>335</v>
      </c>
      <c r="D159">
        <v>1391</v>
      </c>
      <c r="E159" t="s">
        <v>76</v>
      </c>
      <c r="F159" s="1">
        <v>45634</v>
      </c>
      <c r="G159">
        <v>3</v>
      </c>
      <c r="H159" t="s">
        <v>32</v>
      </c>
      <c r="I159" t="s">
        <v>64</v>
      </c>
      <c r="J159">
        <v>0.25</v>
      </c>
      <c r="K159">
        <v>191.5</v>
      </c>
      <c r="L159">
        <v>766</v>
      </c>
      <c r="M159">
        <v>574.5</v>
      </c>
      <c r="N159" t="s">
        <v>48</v>
      </c>
    </row>
    <row r="160" spans="1:14" x14ac:dyDescent="0.2">
      <c r="A160">
        <v>3159</v>
      </c>
      <c r="B160" t="s">
        <v>154</v>
      </c>
      <c r="C160" t="s">
        <v>151</v>
      </c>
      <c r="D160">
        <v>1392</v>
      </c>
      <c r="E160" t="s">
        <v>31</v>
      </c>
      <c r="F160" s="1">
        <v>45570</v>
      </c>
      <c r="G160">
        <v>2</v>
      </c>
      <c r="H160" t="s">
        <v>52</v>
      </c>
      <c r="I160" t="s">
        <v>53</v>
      </c>
      <c r="J160">
        <v>0.1</v>
      </c>
      <c r="K160">
        <v>95.5</v>
      </c>
      <c r="L160">
        <v>955</v>
      </c>
      <c r="M160">
        <v>859.5</v>
      </c>
      <c r="N160" t="s">
        <v>34</v>
      </c>
    </row>
    <row r="161" spans="1:14" x14ac:dyDescent="0.2">
      <c r="A161">
        <v>3160</v>
      </c>
      <c r="B161" t="s">
        <v>336</v>
      </c>
      <c r="C161" t="s">
        <v>337</v>
      </c>
      <c r="D161">
        <v>1393</v>
      </c>
      <c r="E161" t="s">
        <v>42</v>
      </c>
      <c r="F161" s="1">
        <v>45620</v>
      </c>
      <c r="G161">
        <v>1</v>
      </c>
      <c r="H161" t="s">
        <v>52</v>
      </c>
      <c r="I161" t="s">
        <v>47</v>
      </c>
      <c r="J161">
        <v>0.25</v>
      </c>
      <c r="K161">
        <v>141.25</v>
      </c>
      <c r="L161">
        <v>565</v>
      </c>
      <c r="M161">
        <v>423.75</v>
      </c>
      <c r="N161" t="s">
        <v>114</v>
      </c>
    </row>
    <row r="162" spans="1:14" x14ac:dyDescent="0.2">
      <c r="A162">
        <v>3161</v>
      </c>
      <c r="B162" t="s">
        <v>338</v>
      </c>
      <c r="C162" t="s">
        <v>339</v>
      </c>
      <c r="D162">
        <v>1394</v>
      </c>
      <c r="E162" t="s">
        <v>92</v>
      </c>
      <c r="F162" s="1">
        <v>45471</v>
      </c>
      <c r="G162">
        <v>1</v>
      </c>
      <c r="H162" t="s">
        <v>32</v>
      </c>
      <c r="I162" t="s">
        <v>43</v>
      </c>
      <c r="J162">
        <v>0.3</v>
      </c>
      <c r="K162">
        <v>478.2</v>
      </c>
      <c r="L162">
        <v>1594</v>
      </c>
      <c r="M162">
        <v>1115.8</v>
      </c>
      <c r="N162" t="s">
        <v>44</v>
      </c>
    </row>
    <row r="163" spans="1:14" x14ac:dyDescent="0.2">
      <c r="A163">
        <v>3162</v>
      </c>
      <c r="B163" t="s">
        <v>195</v>
      </c>
      <c r="C163" t="s">
        <v>340</v>
      </c>
      <c r="D163">
        <v>1395</v>
      </c>
      <c r="E163" t="s">
        <v>76</v>
      </c>
      <c r="F163" s="1">
        <v>45389</v>
      </c>
      <c r="G163">
        <v>2</v>
      </c>
      <c r="H163" t="s">
        <v>32</v>
      </c>
      <c r="I163" t="s">
        <v>81</v>
      </c>
      <c r="J163">
        <v>0.25</v>
      </c>
      <c r="K163">
        <v>333</v>
      </c>
      <c r="L163">
        <v>1332</v>
      </c>
      <c r="M163">
        <v>999</v>
      </c>
      <c r="N163" t="s">
        <v>48</v>
      </c>
    </row>
    <row r="164" spans="1:14" x14ac:dyDescent="0.2">
      <c r="A164">
        <v>3163</v>
      </c>
      <c r="B164" t="s">
        <v>341</v>
      </c>
      <c r="C164" t="s">
        <v>116</v>
      </c>
      <c r="D164">
        <v>1396</v>
      </c>
      <c r="E164" t="s">
        <v>37</v>
      </c>
      <c r="F164" s="1">
        <v>45403</v>
      </c>
      <c r="G164">
        <v>2</v>
      </c>
      <c r="H164" t="s">
        <v>32</v>
      </c>
      <c r="I164" t="s">
        <v>33</v>
      </c>
      <c r="J164">
        <v>0.3</v>
      </c>
      <c r="K164">
        <v>463.79999999999995</v>
      </c>
      <c r="L164">
        <v>1546</v>
      </c>
      <c r="M164">
        <v>1082.2</v>
      </c>
      <c r="N164" t="s">
        <v>44</v>
      </c>
    </row>
    <row r="165" spans="1:14" x14ac:dyDescent="0.2">
      <c r="A165">
        <v>3164</v>
      </c>
      <c r="B165" t="s">
        <v>342</v>
      </c>
      <c r="C165" t="s">
        <v>343</v>
      </c>
      <c r="D165">
        <v>1397</v>
      </c>
      <c r="E165" t="s">
        <v>76</v>
      </c>
      <c r="F165" s="1">
        <v>45338</v>
      </c>
      <c r="G165">
        <v>2</v>
      </c>
      <c r="H165" t="s">
        <v>52</v>
      </c>
      <c r="I165" t="s">
        <v>81</v>
      </c>
      <c r="J165">
        <v>0.25</v>
      </c>
      <c r="K165">
        <v>294</v>
      </c>
      <c r="L165">
        <v>1176</v>
      </c>
      <c r="M165">
        <v>882</v>
      </c>
      <c r="N165" t="s">
        <v>48</v>
      </c>
    </row>
    <row r="166" spans="1:14" x14ac:dyDescent="0.2">
      <c r="A166">
        <v>3165</v>
      </c>
      <c r="B166" t="s">
        <v>344</v>
      </c>
      <c r="C166" t="s">
        <v>250</v>
      </c>
      <c r="D166">
        <v>1398</v>
      </c>
      <c r="E166" t="s">
        <v>92</v>
      </c>
      <c r="F166" s="1">
        <v>45552</v>
      </c>
      <c r="G166">
        <v>3</v>
      </c>
      <c r="H166" t="s">
        <v>52</v>
      </c>
      <c r="I166" t="s">
        <v>53</v>
      </c>
      <c r="J166">
        <v>0.3</v>
      </c>
      <c r="K166">
        <v>498.9</v>
      </c>
      <c r="L166">
        <v>1663</v>
      </c>
      <c r="M166">
        <v>1164.0999999999999</v>
      </c>
      <c r="N166" t="s">
        <v>34</v>
      </c>
    </row>
    <row r="167" spans="1:14" x14ac:dyDescent="0.2">
      <c r="A167">
        <v>3166</v>
      </c>
      <c r="B167" t="s">
        <v>345</v>
      </c>
      <c r="C167" t="s">
        <v>346</v>
      </c>
      <c r="D167">
        <v>1399</v>
      </c>
      <c r="E167" t="s">
        <v>31</v>
      </c>
      <c r="F167" s="1">
        <v>45462</v>
      </c>
      <c r="G167">
        <v>2</v>
      </c>
      <c r="H167" t="s">
        <v>32</v>
      </c>
      <c r="I167" t="s">
        <v>33</v>
      </c>
      <c r="J167">
        <v>0.1</v>
      </c>
      <c r="K167">
        <v>49.2</v>
      </c>
      <c r="L167">
        <v>492</v>
      </c>
      <c r="M167">
        <v>442.8</v>
      </c>
      <c r="N167" t="s">
        <v>44</v>
      </c>
    </row>
    <row r="168" spans="1:14" x14ac:dyDescent="0.2">
      <c r="A168">
        <v>3167</v>
      </c>
      <c r="B168" t="s">
        <v>347</v>
      </c>
      <c r="C168" t="s">
        <v>348</v>
      </c>
      <c r="D168">
        <v>1400</v>
      </c>
      <c r="E168" t="s">
        <v>31</v>
      </c>
      <c r="F168" s="1">
        <v>45298</v>
      </c>
      <c r="G168">
        <v>2</v>
      </c>
      <c r="H168" t="s">
        <v>71</v>
      </c>
      <c r="I168" t="s">
        <v>39</v>
      </c>
      <c r="J168">
        <v>0.1</v>
      </c>
      <c r="K168">
        <v>175.10000000000002</v>
      </c>
      <c r="L168">
        <v>1751</v>
      </c>
      <c r="M168">
        <v>1575.9</v>
      </c>
      <c r="N168" t="s">
        <v>54</v>
      </c>
    </row>
    <row r="169" spans="1:14" x14ac:dyDescent="0.2">
      <c r="A169">
        <v>3168</v>
      </c>
      <c r="B169" t="s">
        <v>349</v>
      </c>
      <c r="C169" t="s">
        <v>350</v>
      </c>
      <c r="D169">
        <v>1401</v>
      </c>
      <c r="E169" t="s">
        <v>76</v>
      </c>
      <c r="F169" s="1">
        <v>45571</v>
      </c>
      <c r="G169">
        <v>2</v>
      </c>
      <c r="H169" t="s">
        <v>32</v>
      </c>
      <c r="I169" t="s">
        <v>81</v>
      </c>
      <c r="J169">
        <v>0.25</v>
      </c>
      <c r="K169">
        <v>229</v>
      </c>
      <c r="L169">
        <v>916</v>
      </c>
      <c r="M169">
        <v>687</v>
      </c>
      <c r="N169" t="s">
        <v>114</v>
      </c>
    </row>
    <row r="170" spans="1:14" x14ac:dyDescent="0.2">
      <c r="A170">
        <v>3169</v>
      </c>
      <c r="B170" t="s">
        <v>351</v>
      </c>
      <c r="C170" t="s">
        <v>206</v>
      </c>
      <c r="D170">
        <v>1402</v>
      </c>
      <c r="E170" t="s">
        <v>92</v>
      </c>
      <c r="F170" s="1">
        <v>45639</v>
      </c>
      <c r="G170">
        <v>3</v>
      </c>
      <c r="H170" t="s">
        <v>52</v>
      </c>
      <c r="I170" t="s">
        <v>81</v>
      </c>
      <c r="J170">
        <v>0.3</v>
      </c>
      <c r="K170">
        <v>240.89999999999998</v>
      </c>
      <c r="L170">
        <v>803</v>
      </c>
      <c r="M170">
        <v>562.1</v>
      </c>
      <c r="N170" t="s">
        <v>48</v>
      </c>
    </row>
    <row r="171" spans="1:14" x14ac:dyDescent="0.2">
      <c r="A171">
        <v>3170</v>
      </c>
      <c r="B171" t="s">
        <v>352</v>
      </c>
      <c r="C171" t="s">
        <v>353</v>
      </c>
      <c r="D171">
        <v>1403</v>
      </c>
      <c r="E171" t="s">
        <v>51</v>
      </c>
      <c r="F171" s="1">
        <v>45577</v>
      </c>
      <c r="G171">
        <v>1</v>
      </c>
      <c r="H171" t="s">
        <v>52</v>
      </c>
      <c r="I171" t="s">
        <v>81</v>
      </c>
      <c r="J171">
        <v>0.2</v>
      </c>
      <c r="K171">
        <v>325.40000000000003</v>
      </c>
      <c r="L171">
        <v>1627</v>
      </c>
      <c r="M171">
        <v>1301.5999999999999</v>
      </c>
      <c r="N171" t="s">
        <v>54</v>
      </c>
    </row>
    <row r="172" spans="1:14" x14ac:dyDescent="0.2">
      <c r="A172">
        <v>3171</v>
      </c>
      <c r="B172" t="s">
        <v>354</v>
      </c>
      <c r="C172" t="s">
        <v>183</v>
      </c>
      <c r="D172">
        <v>1404</v>
      </c>
      <c r="E172" t="s">
        <v>51</v>
      </c>
      <c r="F172" s="1">
        <v>45385</v>
      </c>
      <c r="G172">
        <v>1</v>
      </c>
      <c r="H172" t="s">
        <v>38</v>
      </c>
      <c r="I172" t="s">
        <v>47</v>
      </c>
      <c r="J172">
        <v>0.2</v>
      </c>
      <c r="K172">
        <v>28.8</v>
      </c>
      <c r="L172">
        <v>144</v>
      </c>
      <c r="M172">
        <v>115.2</v>
      </c>
      <c r="N172" t="s">
        <v>48</v>
      </c>
    </row>
    <row r="173" spans="1:14" x14ac:dyDescent="0.2">
      <c r="A173">
        <v>3172</v>
      </c>
      <c r="B173" t="s">
        <v>355</v>
      </c>
      <c r="C173" t="s">
        <v>356</v>
      </c>
      <c r="D173">
        <v>1405</v>
      </c>
      <c r="E173" t="s">
        <v>37</v>
      </c>
      <c r="F173" s="1">
        <v>45372</v>
      </c>
      <c r="G173">
        <v>1</v>
      </c>
      <c r="H173" t="s">
        <v>38</v>
      </c>
      <c r="I173" t="s">
        <v>43</v>
      </c>
      <c r="J173">
        <v>0.3</v>
      </c>
      <c r="K173">
        <v>173.7</v>
      </c>
      <c r="L173">
        <v>579</v>
      </c>
      <c r="M173">
        <v>405.3</v>
      </c>
      <c r="N173" t="s">
        <v>48</v>
      </c>
    </row>
    <row r="174" spans="1:14" x14ac:dyDescent="0.2">
      <c r="A174">
        <v>3173</v>
      </c>
      <c r="B174" t="s">
        <v>357</v>
      </c>
      <c r="C174" t="s">
        <v>358</v>
      </c>
      <c r="D174">
        <v>1406</v>
      </c>
      <c r="E174" t="s">
        <v>31</v>
      </c>
      <c r="F174" s="1">
        <v>45491</v>
      </c>
      <c r="G174">
        <v>3</v>
      </c>
      <c r="H174" t="s">
        <v>32</v>
      </c>
      <c r="I174" t="s">
        <v>43</v>
      </c>
      <c r="J174">
        <v>0.1</v>
      </c>
      <c r="K174">
        <v>138.5</v>
      </c>
      <c r="L174">
        <v>1385</v>
      </c>
      <c r="M174">
        <v>1246.5</v>
      </c>
      <c r="N174" t="s">
        <v>34</v>
      </c>
    </row>
    <row r="175" spans="1:14" x14ac:dyDescent="0.2">
      <c r="A175">
        <v>3174</v>
      </c>
      <c r="B175" t="s">
        <v>359</v>
      </c>
      <c r="C175" t="s">
        <v>201</v>
      </c>
      <c r="D175">
        <v>1407</v>
      </c>
      <c r="E175" t="s">
        <v>42</v>
      </c>
      <c r="F175" s="1">
        <v>45607</v>
      </c>
      <c r="G175">
        <v>3</v>
      </c>
      <c r="H175" t="s">
        <v>71</v>
      </c>
      <c r="I175" t="s">
        <v>57</v>
      </c>
      <c r="J175">
        <v>0.25</v>
      </c>
      <c r="K175">
        <v>27.25</v>
      </c>
      <c r="L175">
        <v>109</v>
      </c>
      <c r="M175">
        <v>81.75</v>
      </c>
      <c r="N175" t="s">
        <v>54</v>
      </c>
    </row>
    <row r="176" spans="1:14" x14ac:dyDescent="0.2">
      <c r="A176">
        <v>3175</v>
      </c>
      <c r="B176" t="s">
        <v>227</v>
      </c>
      <c r="C176" t="s">
        <v>360</v>
      </c>
      <c r="D176">
        <v>1408</v>
      </c>
      <c r="E176" t="s">
        <v>37</v>
      </c>
      <c r="F176" s="1">
        <v>45598</v>
      </c>
      <c r="G176">
        <v>3</v>
      </c>
      <c r="H176" t="s">
        <v>71</v>
      </c>
      <c r="I176" t="s">
        <v>43</v>
      </c>
      <c r="J176">
        <v>0.3</v>
      </c>
      <c r="K176">
        <v>159.29999999999998</v>
      </c>
      <c r="L176">
        <v>531</v>
      </c>
      <c r="M176">
        <v>371.70000000000005</v>
      </c>
      <c r="N176" t="s">
        <v>54</v>
      </c>
    </row>
    <row r="177" spans="1:14" x14ac:dyDescent="0.2">
      <c r="A177">
        <v>3176</v>
      </c>
      <c r="B177" t="s">
        <v>361</v>
      </c>
      <c r="C177" t="s">
        <v>75</v>
      </c>
      <c r="D177">
        <v>1409</v>
      </c>
      <c r="E177" t="s">
        <v>37</v>
      </c>
      <c r="F177" s="1">
        <v>45324</v>
      </c>
      <c r="G177">
        <v>3</v>
      </c>
      <c r="H177" t="s">
        <v>52</v>
      </c>
      <c r="I177" t="s">
        <v>47</v>
      </c>
      <c r="J177">
        <v>0.3</v>
      </c>
      <c r="K177">
        <v>312.3</v>
      </c>
      <c r="L177">
        <v>1041</v>
      </c>
      <c r="M177">
        <v>728.7</v>
      </c>
      <c r="N177" t="s">
        <v>44</v>
      </c>
    </row>
    <row r="178" spans="1:14" x14ac:dyDescent="0.2">
      <c r="A178">
        <v>3177</v>
      </c>
      <c r="B178" t="s">
        <v>362</v>
      </c>
      <c r="C178" t="s">
        <v>363</v>
      </c>
      <c r="D178">
        <v>1410</v>
      </c>
      <c r="E178" t="s">
        <v>37</v>
      </c>
      <c r="F178" s="1">
        <v>45386</v>
      </c>
      <c r="G178">
        <v>3</v>
      </c>
      <c r="H178" t="s">
        <v>32</v>
      </c>
      <c r="I178" t="s">
        <v>39</v>
      </c>
      <c r="J178">
        <v>0.3</v>
      </c>
      <c r="K178">
        <v>51.6</v>
      </c>
      <c r="L178">
        <v>172</v>
      </c>
      <c r="M178">
        <v>120.4</v>
      </c>
      <c r="N178" t="s">
        <v>44</v>
      </c>
    </row>
    <row r="179" spans="1:14" x14ac:dyDescent="0.2">
      <c r="A179">
        <v>3178</v>
      </c>
      <c r="B179" t="s">
        <v>364</v>
      </c>
      <c r="C179" t="s">
        <v>365</v>
      </c>
      <c r="D179">
        <v>1411</v>
      </c>
      <c r="E179" t="s">
        <v>51</v>
      </c>
      <c r="F179" s="1">
        <v>45637</v>
      </c>
      <c r="G179">
        <v>2</v>
      </c>
      <c r="H179" t="s">
        <v>38</v>
      </c>
      <c r="I179" t="s">
        <v>57</v>
      </c>
      <c r="J179">
        <v>0.2</v>
      </c>
      <c r="K179">
        <v>115.2</v>
      </c>
      <c r="L179">
        <v>576</v>
      </c>
      <c r="M179">
        <v>460.8</v>
      </c>
      <c r="N179" t="s">
        <v>44</v>
      </c>
    </row>
    <row r="180" spans="1:14" x14ac:dyDescent="0.2">
      <c r="A180">
        <v>3179</v>
      </c>
      <c r="B180" t="s">
        <v>288</v>
      </c>
      <c r="C180" t="s">
        <v>366</v>
      </c>
      <c r="D180">
        <v>1412</v>
      </c>
      <c r="E180" t="s">
        <v>51</v>
      </c>
      <c r="F180" s="1">
        <v>45607</v>
      </c>
      <c r="G180">
        <v>3</v>
      </c>
      <c r="H180" t="s">
        <v>52</v>
      </c>
      <c r="I180" t="s">
        <v>33</v>
      </c>
      <c r="J180">
        <v>0.2</v>
      </c>
      <c r="K180">
        <v>105.60000000000001</v>
      </c>
      <c r="L180">
        <v>528</v>
      </c>
      <c r="M180">
        <v>422.4</v>
      </c>
      <c r="N180" t="s">
        <v>48</v>
      </c>
    </row>
    <row r="181" spans="1:14" x14ac:dyDescent="0.2">
      <c r="A181">
        <v>3180</v>
      </c>
      <c r="B181" t="s">
        <v>367</v>
      </c>
      <c r="C181" t="s">
        <v>368</v>
      </c>
      <c r="D181">
        <v>1413</v>
      </c>
      <c r="E181" t="s">
        <v>42</v>
      </c>
      <c r="F181" s="1">
        <v>45599</v>
      </c>
      <c r="G181">
        <v>1</v>
      </c>
      <c r="H181" t="s">
        <v>32</v>
      </c>
      <c r="I181" t="s">
        <v>57</v>
      </c>
      <c r="J181">
        <v>0.25</v>
      </c>
      <c r="K181">
        <v>242</v>
      </c>
      <c r="L181">
        <v>968</v>
      </c>
      <c r="M181">
        <v>726</v>
      </c>
      <c r="N181" t="s">
        <v>54</v>
      </c>
    </row>
    <row r="182" spans="1:14" x14ac:dyDescent="0.2">
      <c r="A182">
        <v>3181</v>
      </c>
      <c r="B182" t="s">
        <v>369</v>
      </c>
      <c r="C182" t="s">
        <v>370</v>
      </c>
      <c r="D182">
        <v>1414</v>
      </c>
      <c r="E182" t="s">
        <v>37</v>
      </c>
      <c r="F182" s="1">
        <v>45355</v>
      </c>
      <c r="G182">
        <v>2</v>
      </c>
      <c r="H182" t="s">
        <v>32</v>
      </c>
      <c r="I182" t="s">
        <v>57</v>
      </c>
      <c r="J182">
        <v>0.3</v>
      </c>
      <c r="K182">
        <v>558</v>
      </c>
      <c r="L182">
        <v>1860</v>
      </c>
      <c r="M182">
        <v>1302</v>
      </c>
      <c r="N182" t="s">
        <v>34</v>
      </c>
    </row>
    <row r="183" spans="1:14" x14ac:dyDescent="0.2">
      <c r="A183">
        <v>3182</v>
      </c>
      <c r="B183" t="s">
        <v>371</v>
      </c>
      <c r="C183" t="s">
        <v>372</v>
      </c>
      <c r="D183">
        <v>1415</v>
      </c>
      <c r="E183" t="s">
        <v>31</v>
      </c>
      <c r="F183" s="1">
        <v>45391</v>
      </c>
      <c r="G183">
        <v>1</v>
      </c>
      <c r="H183" t="s">
        <v>32</v>
      </c>
      <c r="I183" t="s">
        <v>53</v>
      </c>
      <c r="J183">
        <v>0.1</v>
      </c>
      <c r="K183">
        <v>90.800000000000011</v>
      </c>
      <c r="L183">
        <v>908</v>
      </c>
      <c r="M183">
        <v>817.2</v>
      </c>
      <c r="N183" t="s">
        <v>114</v>
      </c>
    </row>
    <row r="184" spans="1:14" x14ac:dyDescent="0.2">
      <c r="A184">
        <v>3183</v>
      </c>
      <c r="B184" t="s">
        <v>373</v>
      </c>
      <c r="C184" t="s">
        <v>374</v>
      </c>
      <c r="D184">
        <v>1416</v>
      </c>
      <c r="E184" t="s">
        <v>76</v>
      </c>
      <c r="F184" s="1">
        <v>45476</v>
      </c>
      <c r="G184">
        <v>1</v>
      </c>
      <c r="H184" t="s">
        <v>52</v>
      </c>
      <c r="I184" t="s">
        <v>57</v>
      </c>
      <c r="J184">
        <v>0.25</v>
      </c>
      <c r="K184">
        <v>16.75</v>
      </c>
      <c r="L184">
        <v>67</v>
      </c>
      <c r="M184">
        <v>50.25</v>
      </c>
      <c r="N184" t="s">
        <v>44</v>
      </c>
    </row>
    <row r="185" spans="1:14" x14ac:dyDescent="0.2">
      <c r="A185">
        <v>3184</v>
      </c>
      <c r="B185" t="s">
        <v>375</v>
      </c>
      <c r="C185" t="s">
        <v>376</v>
      </c>
      <c r="D185">
        <v>1417</v>
      </c>
      <c r="E185" t="s">
        <v>31</v>
      </c>
      <c r="F185" s="1">
        <v>45363</v>
      </c>
      <c r="G185">
        <v>3</v>
      </c>
      <c r="H185" t="s">
        <v>32</v>
      </c>
      <c r="I185" t="s">
        <v>53</v>
      </c>
      <c r="J185">
        <v>0.1</v>
      </c>
      <c r="K185">
        <v>56.1</v>
      </c>
      <c r="L185">
        <v>561</v>
      </c>
      <c r="M185">
        <v>504.9</v>
      </c>
      <c r="N185" t="s">
        <v>44</v>
      </c>
    </row>
    <row r="186" spans="1:14" x14ac:dyDescent="0.2">
      <c r="A186">
        <v>3185</v>
      </c>
      <c r="B186" t="s">
        <v>377</v>
      </c>
      <c r="C186" t="s">
        <v>378</v>
      </c>
      <c r="D186">
        <v>1418</v>
      </c>
      <c r="E186" t="s">
        <v>31</v>
      </c>
      <c r="F186" s="1">
        <v>45337</v>
      </c>
      <c r="G186">
        <v>1</v>
      </c>
      <c r="H186" t="s">
        <v>32</v>
      </c>
      <c r="I186" t="s">
        <v>47</v>
      </c>
      <c r="J186">
        <v>0.1</v>
      </c>
      <c r="K186">
        <v>178.20000000000002</v>
      </c>
      <c r="L186">
        <v>1782</v>
      </c>
      <c r="M186">
        <v>1603.8</v>
      </c>
      <c r="N186" t="s">
        <v>44</v>
      </c>
    </row>
    <row r="187" spans="1:14" x14ac:dyDescent="0.2">
      <c r="A187">
        <v>3186</v>
      </c>
      <c r="B187" t="s">
        <v>379</v>
      </c>
      <c r="C187" t="s">
        <v>380</v>
      </c>
      <c r="D187">
        <v>1419</v>
      </c>
      <c r="E187" t="s">
        <v>76</v>
      </c>
      <c r="F187" s="1">
        <v>45500</v>
      </c>
      <c r="G187">
        <v>3</v>
      </c>
      <c r="H187" t="s">
        <v>52</v>
      </c>
      <c r="I187" t="s">
        <v>64</v>
      </c>
      <c r="J187">
        <v>0.25</v>
      </c>
      <c r="K187">
        <v>360</v>
      </c>
      <c r="L187">
        <v>1440</v>
      </c>
      <c r="M187">
        <v>1080</v>
      </c>
      <c r="N187" t="s">
        <v>34</v>
      </c>
    </row>
    <row r="188" spans="1:14" x14ac:dyDescent="0.2">
      <c r="A188">
        <v>3187</v>
      </c>
      <c r="B188" t="s">
        <v>381</v>
      </c>
      <c r="C188" t="s">
        <v>382</v>
      </c>
      <c r="D188">
        <v>1420</v>
      </c>
      <c r="E188" t="s">
        <v>42</v>
      </c>
      <c r="F188" s="1">
        <v>45639</v>
      </c>
      <c r="G188">
        <v>1</v>
      </c>
      <c r="H188" t="s">
        <v>52</v>
      </c>
      <c r="I188" t="s">
        <v>53</v>
      </c>
      <c r="J188">
        <v>0.25</v>
      </c>
      <c r="K188">
        <v>151.75</v>
      </c>
      <c r="L188">
        <v>607</v>
      </c>
      <c r="M188">
        <v>455.25</v>
      </c>
      <c r="N188" t="s">
        <v>44</v>
      </c>
    </row>
    <row r="189" spans="1:14" x14ac:dyDescent="0.2">
      <c r="A189">
        <v>3188</v>
      </c>
      <c r="B189" t="s">
        <v>383</v>
      </c>
      <c r="C189" t="s">
        <v>384</v>
      </c>
      <c r="D189">
        <v>1421</v>
      </c>
      <c r="E189" t="s">
        <v>76</v>
      </c>
      <c r="F189" s="1">
        <v>45644</v>
      </c>
      <c r="G189">
        <v>2</v>
      </c>
      <c r="H189" t="s">
        <v>38</v>
      </c>
      <c r="I189" t="s">
        <v>57</v>
      </c>
      <c r="J189">
        <v>0.25</v>
      </c>
      <c r="K189">
        <v>135.25</v>
      </c>
      <c r="L189">
        <v>541</v>
      </c>
      <c r="M189">
        <v>405.75</v>
      </c>
      <c r="N189" t="s">
        <v>54</v>
      </c>
    </row>
    <row r="190" spans="1:14" x14ac:dyDescent="0.2">
      <c r="A190">
        <v>3189</v>
      </c>
      <c r="B190" t="s">
        <v>385</v>
      </c>
      <c r="C190" t="s">
        <v>376</v>
      </c>
      <c r="D190">
        <v>1422</v>
      </c>
      <c r="E190" t="s">
        <v>51</v>
      </c>
      <c r="F190" s="1">
        <v>45498</v>
      </c>
      <c r="G190">
        <v>2</v>
      </c>
      <c r="H190" t="s">
        <v>71</v>
      </c>
      <c r="I190" t="s">
        <v>81</v>
      </c>
      <c r="J190">
        <v>0.2</v>
      </c>
      <c r="K190">
        <v>188.8</v>
      </c>
      <c r="L190">
        <v>944</v>
      </c>
      <c r="M190">
        <v>755.2</v>
      </c>
      <c r="N190" t="s">
        <v>34</v>
      </c>
    </row>
    <row r="191" spans="1:14" x14ac:dyDescent="0.2">
      <c r="A191">
        <v>3190</v>
      </c>
      <c r="B191" t="s">
        <v>386</v>
      </c>
      <c r="C191" t="s">
        <v>387</v>
      </c>
      <c r="D191">
        <v>1423</v>
      </c>
      <c r="E191" t="s">
        <v>76</v>
      </c>
      <c r="F191" s="1">
        <v>45369</v>
      </c>
      <c r="G191">
        <v>1</v>
      </c>
      <c r="H191" t="s">
        <v>52</v>
      </c>
      <c r="I191" t="s">
        <v>39</v>
      </c>
      <c r="J191">
        <v>0.25</v>
      </c>
      <c r="K191">
        <v>25.75</v>
      </c>
      <c r="L191">
        <v>103</v>
      </c>
      <c r="M191">
        <v>77.25</v>
      </c>
      <c r="N191" t="s">
        <v>44</v>
      </c>
    </row>
    <row r="192" spans="1:14" x14ac:dyDescent="0.2">
      <c r="A192">
        <v>3191</v>
      </c>
      <c r="B192" t="s">
        <v>388</v>
      </c>
      <c r="C192" t="s">
        <v>268</v>
      </c>
      <c r="D192">
        <v>1424</v>
      </c>
      <c r="E192" t="s">
        <v>37</v>
      </c>
      <c r="F192" s="1">
        <v>45321</v>
      </c>
      <c r="G192">
        <v>2</v>
      </c>
      <c r="H192" t="s">
        <v>38</v>
      </c>
      <c r="I192" t="s">
        <v>81</v>
      </c>
      <c r="J192">
        <v>0.3</v>
      </c>
      <c r="K192">
        <v>39</v>
      </c>
      <c r="L192">
        <v>130</v>
      </c>
      <c r="M192">
        <v>91</v>
      </c>
      <c r="N192" t="s">
        <v>48</v>
      </c>
    </row>
    <row r="193" spans="1:14" x14ac:dyDescent="0.2">
      <c r="A193">
        <v>3192</v>
      </c>
      <c r="B193" t="s">
        <v>389</v>
      </c>
      <c r="C193" t="s">
        <v>390</v>
      </c>
      <c r="D193">
        <v>1425</v>
      </c>
      <c r="E193" t="s">
        <v>37</v>
      </c>
      <c r="F193" s="1">
        <v>45400</v>
      </c>
      <c r="G193">
        <v>3</v>
      </c>
      <c r="H193" t="s">
        <v>52</v>
      </c>
      <c r="I193" t="s">
        <v>47</v>
      </c>
      <c r="J193">
        <v>0.3</v>
      </c>
      <c r="K193">
        <v>182.4</v>
      </c>
      <c r="L193">
        <v>608</v>
      </c>
      <c r="M193">
        <v>425.6</v>
      </c>
      <c r="N193" t="s">
        <v>54</v>
      </c>
    </row>
    <row r="194" spans="1:14" x14ac:dyDescent="0.2">
      <c r="A194">
        <v>3193</v>
      </c>
      <c r="B194" t="s">
        <v>117</v>
      </c>
      <c r="C194" t="s">
        <v>391</v>
      </c>
      <c r="D194">
        <v>1426</v>
      </c>
      <c r="E194" t="s">
        <v>92</v>
      </c>
      <c r="F194" s="1">
        <v>45374</v>
      </c>
      <c r="G194">
        <v>3</v>
      </c>
      <c r="H194" t="s">
        <v>32</v>
      </c>
      <c r="I194" t="s">
        <v>53</v>
      </c>
      <c r="J194">
        <v>0.3</v>
      </c>
      <c r="K194">
        <v>491.09999999999997</v>
      </c>
      <c r="L194">
        <v>1637</v>
      </c>
      <c r="M194">
        <v>1145.9000000000001</v>
      </c>
      <c r="N194" t="s">
        <v>44</v>
      </c>
    </row>
    <row r="195" spans="1:14" x14ac:dyDescent="0.2">
      <c r="A195">
        <v>3194</v>
      </c>
      <c r="B195" t="s">
        <v>347</v>
      </c>
      <c r="C195" t="s">
        <v>392</v>
      </c>
      <c r="D195">
        <v>1427</v>
      </c>
      <c r="E195" t="s">
        <v>51</v>
      </c>
      <c r="F195" s="1">
        <v>45340</v>
      </c>
      <c r="G195">
        <v>2</v>
      </c>
      <c r="H195" t="s">
        <v>52</v>
      </c>
      <c r="I195" t="s">
        <v>47</v>
      </c>
      <c r="J195">
        <v>0.2</v>
      </c>
      <c r="K195">
        <v>240.4</v>
      </c>
      <c r="L195">
        <v>1202</v>
      </c>
      <c r="M195">
        <v>961.6</v>
      </c>
      <c r="N195" t="s">
        <v>48</v>
      </c>
    </row>
    <row r="196" spans="1:14" x14ac:dyDescent="0.2">
      <c r="A196">
        <v>3195</v>
      </c>
      <c r="B196" t="s">
        <v>393</v>
      </c>
      <c r="C196" t="s">
        <v>394</v>
      </c>
      <c r="D196">
        <v>1428</v>
      </c>
      <c r="E196" t="s">
        <v>31</v>
      </c>
      <c r="F196" s="1">
        <v>45427</v>
      </c>
      <c r="G196">
        <v>1</v>
      </c>
      <c r="H196" t="s">
        <v>32</v>
      </c>
      <c r="I196" t="s">
        <v>33</v>
      </c>
      <c r="J196">
        <v>0.1</v>
      </c>
      <c r="K196">
        <v>130.4</v>
      </c>
      <c r="L196">
        <v>1304</v>
      </c>
      <c r="M196">
        <v>1173.5999999999999</v>
      </c>
      <c r="N196" t="s">
        <v>44</v>
      </c>
    </row>
    <row r="197" spans="1:14" x14ac:dyDescent="0.2">
      <c r="A197">
        <v>3196</v>
      </c>
      <c r="B197" t="s">
        <v>90</v>
      </c>
      <c r="C197" t="s">
        <v>395</v>
      </c>
      <c r="D197">
        <v>1429</v>
      </c>
      <c r="E197" t="s">
        <v>76</v>
      </c>
      <c r="F197" s="1">
        <v>45545</v>
      </c>
      <c r="G197">
        <v>2</v>
      </c>
      <c r="H197" t="s">
        <v>32</v>
      </c>
      <c r="I197" t="s">
        <v>57</v>
      </c>
      <c r="J197">
        <v>0.25</v>
      </c>
      <c r="K197">
        <v>412</v>
      </c>
      <c r="L197">
        <v>1648</v>
      </c>
      <c r="M197">
        <v>1236</v>
      </c>
      <c r="N197" t="s">
        <v>48</v>
      </c>
    </row>
    <row r="198" spans="1:14" x14ac:dyDescent="0.2">
      <c r="A198">
        <v>3197</v>
      </c>
      <c r="B198" t="s">
        <v>396</v>
      </c>
      <c r="C198" t="s">
        <v>397</v>
      </c>
      <c r="D198">
        <v>1430</v>
      </c>
      <c r="E198" t="s">
        <v>76</v>
      </c>
      <c r="F198" s="1">
        <v>45462</v>
      </c>
      <c r="G198">
        <v>1</v>
      </c>
      <c r="H198" t="s">
        <v>32</v>
      </c>
      <c r="I198" t="s">
        <v>43</v>
      </c>
      <c r="J198">
        <v>0.25</v>
      </c>
      <c r="K198">
        <v>323.25</v>
      </c>
      <c r="L198">
        <v>1293</v>
      </c>
      <c r="M198">
        <v>969.75</v>
      </c>
      <c r="N198" t="s">
        <v>114</v>
      </c>
    </row>
    <row r="199" spans="1:14" x14ac:dyDescent="0.2">
      <c r="A199">
        <v>3198</v>
      </c>
      <c r="B199" t="s">
        <v>398</v>
      </c>
      <c r="C199" t="s">
        <v>399</v>
      </c>
      <c r="D199">
        <v>1431</v>
      </c>
      <c r="E199" t="s">
        <v>76</v>
      </c>
      <c r="F199" s="1">
        <v>45589</v>
      </c>
      <c r="G199">
        <v>2</v>
      </c>
      <c r="H199" t="s">
        <v>52</v>
      </c>
      <c r="I199" t="s">
        <v>81</v>
      </c>
      <c r="J199">
        <v>0.25</v>
      </c>
      <c r="K199">
        <v>303.5</v>
      </c>
      <c r="L199">
        <v>1214</v>
      </c>
      <c r="M199">
        <v>910.5</v>
      </c>
      <c r="N199" t="s">
        <v>44</v>
      </c>
    </row>
    <row r="200" spans="1:14" x14ac:dyDescent="0.2">
      <c r="A200">
        <v>3199</v>
      </c>
      <c r="B200" t="s">
        <v>311</v>
      </c>
      <c r="C200" t="s">
        <v>400</v>
      </c>
      <c r="D200">
        <v>1432</v>
      </c>
      <c r="E200" t="s">
        <v>76</v>
      </c>
      <c r="F200" s="1">
        <v>45462</v>
      </c>
      <c r="G200">
        <v>3</v>
      </c>
      <c r="H200" t="s">
        <v>52</v>
      </c>
      <c r="I200" t="s">
        <v>33</v>
      </c>
      <c r="J200">
        <v>0.25</v>
      </c>
      <c r="K200">
        <v>354.5</v>
      </c>
      <c r="L200">
        <v>1418</v>
      </c>
      <c r="M200">
        <v>1063.5</v>
      </c>
      <c r="N200" t="s">
        <v>48</v>
      </c>
    </row>
    <row r="201" spans="1:14" x14ac:dyDescent="0.2">
      <c r="A201">
        <v>3200</v>
      </c>
      <c r="B201" t="s">
        <v>401</v>
      </c>
      <c r="C201" t="s">
        <v>402</v>
      </c>
      <c r="D201">
        <v>1433</v>
      </c>
      <c r="E201" t="s">
        <v>92</v>
      </c>
      <c r="F201" s="1">
        <v>45574</v>
      </c>
      <c r="G201">
        <v>2</v>
      </c>
      <c r="H201" t="s">
        <v>52</v>
      </c>
      <c r="I201" t="s">
        <v>43</v>
      </c>
      <c r="J201">
        <v>0.3</v>
      </c>
      <c r="K201">
        <v>465.59999999999997</v>
      </c>
      <c r="L201">
        <v>1552</v>
      </c>
      <c r="M201">
        <v>1086.4000000000001</v>
      </c>
      <c r="N201" t="s">
        <v>34</v>
      </c>
    </row>
    <row r="202" spans="1:14" x14ac:dyDescent="0.2">
      <c r="A202">
        <v>3201</v>
      </c>
      <c r="B202" t="s">
        <v>403</v>
      </c>
      <c r="C202" t="s">
        <v>109</v>
      </c>
      <c r="D202">
        <v>1434</v>
      </c>
      <c r="E202" t="s">
        <v>31</v>
      </c>
      <c r="F202" s="1">
        <v>45425</v>
      </c>
      <c r="G202">
        <v>1</v>
      </c>
      <c r="H202" t="s">
        <v>71</v>
      </c>
      <c r="I202" t="s">
        <v>47</v>
      </c>
      <c r="J202">
        <v>0.1</v>
      </c>
      <c r="K202">
        <v>5</v>
      </c>
      <c r="L202">
        <v>50</v>
      </c>
      <c r="M202">
        <v>45</v>
      </c>
      <c r="N202" t="s">
        <v>34</v>
      </c>
    </row>
    <row r="203" spans="1:14" x14ac:dyDescent="0.2">
      <c r="A203">
        <v>3202</v>
      </c>
      <c r="B203" t="s">
        <v>404</v>
      </c>
      <c r="C203" t="s">
        <v>405</v>
      </c>
      <c r="D203">
        <v>1435</v>
      </c>
      <c r="E203" t="s">
        <v>42</v>
      </c>
      <c r="F203" s="1">
        <v>45363</v>
      </c>
      <c r="G203">
        <v>2</v>
      </c>
      <c r="H203" t="s">
        <v>32</v>
      </c>
      <c r="I203" t="s">
        <v>53</v>
      </c>
      <c r="J203">
        <v>0.25</v>
      </c>
      <c r="K203">
        <v>279.25</v>
      </c>
      <c r="L203">
        <v>1117</v>
      </c>
      <c r="M203">
        <v>837.75</v>
      </c>
      <c r="N203" t="s">
        <v>54</v>
      </c>
    </row>
    <row r="204" spans="1:14" x14ac:dyDescent="0.2">
      <c r="A204">
        <v>3203</v>
      </c>
      <c r="B204" t="s">
        <v>406</v>
      </c>
      <c r="C204" t="s">
        <v>280</v>
      </c>
      <c r="D204">
        <v>1436</v>
      </c>
      <c r="E204" t="s">
        <v>76</v>
      </c>
      <c r="F204" s="1">
        <v>45596</v>
      </c>
      <c r="G204">
        <v>2</v>
      </c>
      <c r="H204" t="s">
        <v>38</v>
      </c>
      <c r="I204" t="s">
        <v>39</v>
      </c>
      <c r="J204">
        <v>0.25</v>
      </c>
      <c r="K204">
        <v>238.5</v>
      </c>
      <c r="L204">
        <v>954</v>
      </c>
      <c r="M204">
        <v>715.5</v>
      </c>
      <c r="N204" t="s">
        <v>54</v>
      </c>
    </row>
    <row r="205" spans="1:14" x14ac:dyDescent="0.2">
      <c r="A205">
        <v>3204</v>
      </c>
      <c r="B205" t="s">
        <v>407</v>
      </c>
      <c r="C205" t="s">
        <v>408</v>
      </c>
      <c r="D205">
        <v>1437</v>
      </c>
      <c r="E205" t="s">
        <v>51</v>
      </c>
      <c r="F205" s="1">
        <v>45344</v>
      </c>
      <c r="G205">
        <v>1</v>
      </c>
      <c r="H205" t="s">
        <v>32</v>
      </c>
      <c r="I205" t="s">
        <v>81</v>
      </c>
      <c r="J205">
        <v>0.2</v>
      </c>
      <c r="K205">
        <v>138.4</v>
      </c>
      <c r="L205">
        <v>692</v>
      </c>
      <c r="M205">
        <v>553.6</v>
      </c>
      <c r="N205" t="s">
        <v>48</v>
      </c>
    </row>
    <row r="206" spans="1:14" x14ac:dyDescent="0.2">
      <c r="A206">
        <v>3205</v>
      </c>
      <c r="B206" t="s">
        <v>409</v>
      </c>
      <c r="C206" t="s">
        <v>410</v>
      </c>
      <c r="D206">
        <v>1438</v>
      </c>
      <c r="E206" t="s">
        <v>31</v>
      </c>
      <c r="F206" s="1">
        <v>45575</v>
      </c>
      <c r="G206">
        <v>3</v>
      </c>
      <c r="H206" t="s">
        <v>52</v>
      </c>
      <c r="I206" t="s">
        <v>53</v>
      </c>
      <c r="J206">
        <v>0.1</v>
      </c>
      <c r="K206">
        <v>143.6</v>
      </c>
      <c r="L206">
        <v>1436</v>
      </c>
      <c r="M206">
        <v>1292.4000000000001</v>
      </c>
      <c r="N206" t="s">
        <v>34</v>
      </c>
    </row>
    <row r="207" spans="1:14" x14ac:dyDescent="0.2">
      <c r="A207">
        <v>3206</v>
      </c>
      <c r="B207" t="s">
        <v>411</v>
      </c>
      <c r="C207" t="s">
        <v>348</v>
      </c>
      <c r="D207">
        <v>1439</v>
      </c>
      <c r="E207" t="s">
        <v>51</v>
      </c>
      <c r="F207" s="1">
        <v>45518</v>
      </c>
      <c r="G207">
        <v>2</v>
      </c>
      <c r="H207" t="s">
        <v>32</v>
      </c>
      <c r="I207" t="s">
        <v>64</v>
      </c>
      <c r="J207">
        <v>0.2</v>
      </c>
      <c r="K207">
        <v>259.40000000000003</v>
      </c>
      <c r="L207">
        <v>1297</v>
      </c>
      <c r="M207">
        <v>1037.5999999999999</v>
      </c>
      <c r="N207" t="s">
        <v>44</v>
      </c>
    </row>
    <row r="208" spans="1:14" x14ac:dyDescent="0.2">
      <c r="A208">
        <v>3207</v>
      </c>
      <c r="B208" t="s">
        <v>412</v>
      </c>
      <c r="C208" t="s">
        <v>245</v>
      </c>
      <c r="D208">
        <v>1440</v>
      </c>
      <c r="E208" t="s">
        <v>76</v>
      </c>
      <c r="F208" s="1">
        <v>45535</v>
      </c>
      <c r="G208">
        <v>2</v>
      </c>
      <c r="H208" t="s">
        <v>71</v>
      </c>
      <c r="I208" t="s">
        <v>33</v>
      </c>
      <c r="J208">
        <v>0.25</v>
      </c>
      <c r="K208">
        <v>252.75</v>
      </c>
      <c r="L208">
        <v>1011</v>
      </c>
      <c r="M208">
        <v>758.25</v>
      </c>
      <c r="N208" t="s">
        <v>44</v>
      </c>
    </row>
    <row r="209" spans="1:14" x14ac:dyDescent="0.2">
      <c r="A209">
        <v>3208</v>
      </c>
      <c r="B209" t="s">
        <v>413</v>
      </c>
      <c r="C209" t="s">
        <v>414</v>
      </c>
      <c r="D209">
        <v>1441</v>
      </c>
      <c r="E209" t="s">
        <v>31</v>
      </c>
      <c r="F209" s="1">
        <v>45314</v>
      </c>
      <c r="G209">
        <v>1</v>
      </c>
      <c r="H209" t="s">
        <v>52</v>
      </c>
      <c r="I209" t="s">
        <v>53</v>
      </c>
      <c r="J209">
        <v>0.1</v>
      </c>
      <c r="K209">
        <v>122.80000000000001</v>
      </c>
      <c r="L209">
        <v>1228</v>
      </c>
      <c r="M209">
        <v>1105.2</v>
      </c>
      <c r="N209" t="s">
        <v>44</v>
      </c>
    </row>
    <row r="210" spans="1:14" x14ac:dyDescent="0.2">
      <c r="A210">
        <v>3209</v>
      </c>
      <c r="B210" t="s">
        <v>415</v>
      </c>
      <c r="C210" t="s">
        <v>416</v>
      </c>
      <c r="D210">
        <v>1442</v>
      </c>
      <c r="E210" t="s">
        <v>37</v>
      </c>
      <c r="F210" s="1">
        <v>45357</v>
      </c>
      <c r="G210">
        <v>3</v>
      </c>
      <c r="H210" t="s">
        <v>32</v>
      </c>
      <c r="I210" t="s">
        <v>47</v>
      </c>
      <c r="J210">
        <v>0.3</v>
      </c>
      <c r="K210">
        <v>228.29999999999998</v>
      </c>
      <c r="L210">
        <v>761</v>
      </c>
      <c r="M210">
        <v>532.70000000000005</v>
      </c>
      <c r="N210" t="s">
        <v>114</v>
      </c>
    </row>
    <row r="211" spans="1:14" x14ac:dyDescent="0.2">
      <c r="A211">
        <v>3210</v>
      </c>
      <c r="B211" t="s">
        <v>417</v>
      </c>
      <c r="C211" t="s">
        <v>418</v>
      </c>
      <c r="D211">
        <v>1443</v>
      </c>
      <c r="E211" t="s">
        <v>76</v>
      </c>
      <c r="F211" s="1">
        <v>45356</v>
      </c>
      <c r="G211">
        <v>2</v>
      </c>
      <c r="H211" t="s">
        <v>32</v>
      </c>
      <c r="I211" t="s">
        <v>33</v>
      </c>
      <c r="J211">
        <v>0.25</v>
      </c>
      <c r="K211">
        <v>116.5</v>
      </c>
      <c r="L211">
        <v>466</v>
      </c>
      <c r="M211">
        <v>349.5</v>
      </c>
      <c r="N211" t="s">
        <v>48</v>
      </c>
    </row>
    <row r="212" spans="1:14" x14ac:dyDescent="0.2">
      <c r="A212">
        <v>3211</v>
      </c>
      <c r="B212" t="s">
        <v>419</v>
      </c>
      <c r="C212" t="s">
        <v>210</v>
      </c>
      <c r="D212">
        <v>1444</v>
      </c>
      <c r="E212" t="s">
        <v>42</v>
      </c>
      <c r="F212" s="1">
        <v>45553</v>
      </c>
      <c r="G212">
        <v>2</v>
      </c>
      <c r="H212" t="s">
        <v>32</v>
      </c>
      <c r="I212" t="s">
        <v>33</v>
      </c>
      <c r="J212">
        <v>0.25</v>
      </c>
      <c r="K212">
        <v>79.75</v>
      </c>
      <c r="L212">
        <v>319</v>
      </c>
      <c r="M212">
        <v>239.25</v>
      </c>
      <c r="N212" t="s">
        <v>54</v>
      </c>
    </row>
    <row r="213" spans="1:14" x14ac:dyDescent="0.2">
      <c r="A213">
        <v>3212</v>
      </c>
      <c r="B213" t="s">
        <v>420</v>
      </c>
      <c r="C213" t="s">
        <v>421</v>
      </c>
      <c r="D213">
        <v>1445</v>
      </c>
      <c r="E213" t="s">
        <v>92</v>
      </c>
      <c r="F213" s="1">
        <v>45540</v>
      </c>
      <c r="G213">
        <v>3</v>
      </c>
      <c r="H213" t="s">
        <v>52</v>
      </c>
      <c r="I213" t="s">
        <v>81</v>
      </c>
      <c r="J213">
        <v>0.3</v>
      </c>
      <c r="K213">
        <v>17.099999999999998</v>
      </c>
      <c r="L213">
        <v>57</v>
      </c>
      <c r="M213">
        <v>39.900000000000006</v>
      </c>
      <c r="N213" t="s">
        <v>34</v>
      </c>
    </row>
    <row r="214" spans="1:14" x14ac:dyDescent="0.2">
      <c r="A214">
        <v>3213</v>
      </c>
      <c r="B214" t="s">
        <v>422</v>
      </c>
      <c r="C214" t="s">
        <v>423</v>
      </c>
      <c r="D214">
        <v>1446</v>
      </c>
      <c r="E214" t="s">
        <v>37</v>
      </c>
      <c r="F214" s="1">
        <v>45364</v>
      </c>
      <c r="G214">
        <v>3</v>
      </c>
      <c r="H214" t="s">
        <v>32</v>
      </c>
      <c r="I214" t="s">
        <v>57</v>
      </c>
      <c r="J214">
        <v>0.3</v>
      </c>
      <c r="K214">
        <v>451.5</v>
      </c>
      <c r="L214">
        <v>1505</v>
      </c>
      <c r="M214">
        <v>1053.5</v>
      </c>
      <c r="N214" t="s">
        <v>54</v>
      </c>
    </row>
    <row r="215" spans="1:14" x14ac:dyDescent="0.2">
      <c r="A215">
        <v>3214</v>
      </c>
      <c r="B215" t="s">
        <v>424</v>
      </c>
      <c r="C215" t="s">
        <v>425</v>
      </c>
      <c r="D215">
        <v>1447</v>
      </c>
      <c r="E215" t="s">
        <v>51</v>
      </c>
      <c r="F215" s="1">
        <v>45520</v>
      </c>
      <c r="G215">
        <v>3</v>
      </c>
      <c r="H215" t="s">
        <v>32</v>
      </c>
      <c r="I215" t="s">
        <v>53</v>
      </c>
      <c r="J215">
        <v>0.2</v>
      </c>
      <c r="K215">
        <v>147.80000000000001</v>
      </c>
      <c r="L215">
        <v>739</v>
      </c>
      <c r="M215">
        <v>591.20000000000005</v>
      </c>
      <c r="N215" t="s">
        <v>114</v>
      </c>
    </row>
    <row r="216" spans="1:14" x14ac:dyDescent="0.2">
      <c r="A216">
        <v>3215</v>
      </c>
      <c r="B216" t="s">
        <v>426</v>
      </c>
      <c r="C216" t="s">
        <v>427</v>
      </c>
      <c r="D216">
        <v>1448</v>
      </c>
      <c r="E216" t="s">
        <v>42</v>
      </c>
      <c r="F216" s="1">
        <v>45510</v>
      </c>
      <c r="G216">
        <v>3</v>
      </c>
      <c r="H216" t="s">
        <v>52</v>
      </c>
      <c r="I216" t="s">
        <v>47</v>
      </c>
      <c r="J216">
        <v>0.25</v>
      </c>
      <c r="K216">
        <v>443</v>
      </c>
      <c r="L216">
        <v>1772</v>
      </c>
      <c r="M216">
        <v>1329</v>
      </c>
      <c r="N216" t="s">
        <v>44</v>
      </c>
    </row>
    <row r="217" spans="1:14" x14ac:dyDescent="0.2">
      <c r="A217">
        <v>3216</v>
      </c>
      <c r="B217" t="s">
        <v>428</v>
      </c>
      <c r="C217" t="s">
        <v>429</v>
      </c>
      <c r="D217">
        <v>1449</v>
      </c>
      <c r="E217" t="s">
        <v>76</v>
      </c>
      <c r="F217" s="1">
        <v>45560</v>
      </c>
      <c r="G217">
        <v>1</v>
      </c>
      <c r="H217" t="s">
        <v>52</v>
      </c>
      <c r="I217" t="s">
        <v>81</v>
      </c>
      <c r="J217">
        <v>0.25</v>
      </c>
      <c r="K217">
        <v>83.75</v>
      </c>
      <c r="L217">
        <v>335</v>
      </c>
      <c r="M217">
        <v>251.25</v>
      </c>
      <c r="N217" t="s">
        <v>34</v>
      </c>
    </row>
    <row r="218" spans="1:14" x14ac:dyDescent="0.2">
      <c r="A218">
        <v>3217</v>
      </c>
      <c r="B218" t="s">
        <v>430</v>
      </c>
      <c r="C218" t="s">
        <v>252</v>
      </c>
      <c r="D218">
        <v>1450</v>
      </c>
      <c r="E218" t="s">
        <v>76</v>
      </c>
      <c r="F218" s="1">
        <v>45611</v>
      </c>
      <c r="G218">
        <v>2</v>
      </c>
      <c r="H218" t="s">
        <v>38</v>
      </c>
      <c r="I218" t="s">
        <v>81</v>
      </c>
      <c r="J218">
        <v>0.25</v>
      </c>
      <c r="K218">
        <v>407</v>
      </c>
      <c r="L218">
        <v>1628</v>
      </c>
      <c r="M218">
        <v>1221</v>
      </c>
      <c r="N218" t="s">
        <v>48</v>
      </c>
    </row>
    <row r="219" spans="1:14" x14ac:dyDescent="0.2">
      <c r="A219">
        <v>3218</v>
      </c>
      <c r="B219" t="s">
        <v>334</v>
      </c>
      <c r="C219" t="s">
        <v>431</v>
      </c>
      <c r="D219">
        <v>1451</v>
      </c>
      <c r="E219" t="s">
        <v>76</v>
      </c>
      <c r="F219" s="1">
        <v>45554</v>
      </c>
      <c r="G219">
        <v>2</v>
      </c>
      <c r="H219" t="s">
        <v>52</v>
      </c>
      <c r="I219" t="s">
        <v>57</v>
      </c>
      <c r="J219">
        <v>0.25</v>
      </c>
      <c r="K219">
        <v>404.5</v>
      </c>
      <c r="L219">
        <v>1618</v>
      </c>
      <c r="M219">
        <v>1213.5</v>
      </c>
      <c r="N219" t="s">
        <v>44</v>
      </c>
    </row>
    <row r="220" spans="1:14" x14ac:dyDescent="0.2">
      <c r="A220">
        <v>3219</v>
      </c>
      <c r="B220" t="s">
        <v>432</v>
      </c>
      <c r="C220" t="s">
        <v>433</v>
      </c>
      <c r="D220">
        <v>1452</v>
      </c>
      <c r="E220" t="s">
        <v>42</v>
      </c>
      <c r="F220" s="1">
        <v>45631</v>
      </c>
      <c r="G220">
        <v>1</v>
      </c>
      <c r="H220" t="s">
        <v>32</v>
      </c>
      <c r="I220" t="s">
        <v>47</v>
      </c>
      <c r="J220">
        <v>0.25</v>
      </c>
      <c r="K220">
        <v>420.75</v>
      </c>
      <c r="L220">
        <v>1683</v>
      </c>
      <c r="M220">
        <v>1262.25</v>
      </c>
      <c r="N220" t="s">
        <v>54</v>
      </c>
    </row>
    <row r="221" spans="1:14" x14ac:dyDescent="0.2">
      <c r="A221">
        <v>3220</v>
      </c>
      <c r="B221" t="s">
        <v>434</v>
      </c>
      <c r="C221" t="s">
        <v>435</v>
      </c>
      <c r="D221">
        <v>1453</v>
      </c>
      <c r="E221" t="s">
        <v>76</v>
      </c>
      <c r="F221" s="1">
        <v>45410</v>
      </c>
      <c r="G221">
        <v>2</v>
      </c>
      <c r="H221" t="s">
        <v>52</v>
      </c>
      <c r="I221" t="s">
        <v>64</v>
      </c>
      <c r="J221">
        <v>0.25</v>
      </c>
      <c r="K221">
        <v>396.5</v>
      </c>
      <c r="L221">
        <v>1586</v>
      </c>
      <c r="M221">
        <v>1189.5</v>
      </c>
      <c r="N221" t="s">
        <v>54</v>
      </c>
    </row>
    <row r="222" spans="1:14" x14ac:dyDescent="0.2">
      <c r="A222">
        <v>3221</v>
      </c>
      <c r="B222" t="s">
        <v>436</v>
      </c>
      <c r="C222" t="s">
        <v>437</v>
      </c>
      <c r="D222">
        <v>1454</v>
      </c>
      <c r="E222" t="s">
        <v>92</v>
      </c>
      <c r="F222" s="1">
        <v>45599</v>
      </c>
      <c r="G222">
        <v>1</v>
      </c>
      <c r="H222" t="s">
        <v>38</v>
      </c>
      <c r="I222" t="s">
        <v>57</v>
      </c>
      <c r="J222">
        <v>0.3</v>
      </c>
      <c r="K222">
        <v>26.099999999999998</v>
      </c>
      <c r="L222">
        <v>87</v>
      </c>
      <c r="M222">
        <v>60.900000000000006</v>
      </c>
      <c r="N222" t="s">
        <v>114</v>
      </c>
    </row>
    <row r="223" spans="1:14" x14ac:dyDescent="0.2">
      <c r="A223">
        <v>3222</v>
      </c>
      <c r="B223" t="s">
        <v>105</v>
      </c>
      <c r="C223" t="s">
        <v>438</v>
      </c>
      <c r="D223">
        <v>1455</v>
      </c>
      <c r="E223" t="s">
        <v>51</v>
      </c>
      <c r="F223" s="1">
        <v>45524</v>
      </c>
      <c r="G223">
        <v>2</v>
      </c>
      <c r="H223" t="s">
        <v>32</v>
      </c>
      <c r="I223" t="s">
        <v>43</v>
      </c>
      <c r="J223">
        <v>0.2</v>
      </c>
      <c r="K223">
        <v>291.60000000000002</v>
      </c>
      <c r="L223">
        <v>1458</v>
      </c>
      <c r="M223">
        <v>1166.4000000000001</v>
      </c>
      <c r="N223" t="s">
        <v>34</v>
      </c>
    </row>
    <row r="224" spans="1:14" x14ac:dyDescent="0.2">
      <c r="A224">
        <v>3223</v>
      </c>
      <c r="B224" t="s">
        <v>439</v>
      </c>
      <c r="C224" t="s">
        <v>30</v>
      </c>
      <c r="D224">
        <v>1456</v>
      </c>
      <c r="E224" t="s">
        <v>51</v>
      </c>
      <c r="F224" s="1">
        <v>45333</v>
      </c>
      <c r="G224">
        <v>1</v>
      </c>
      <c r="H224" t="s">
        <v>38</v>
      </c>
      <c r="I224" t="s">
        <v>57</v>
      </c>
      <c r="J224">
        <v>0.2</v>
      </c>
      <c r="K224">
        <v>296.40000000000003</v>
      </c>
      <c r="L224">
        <v>1482</v>
      </c>
      <c r="M224">
        <v>1185.5999999999999</v>
      </c>
      <c r="N224" t="s">
        <v>34</v>
      </c>
    </row>
    <row r="225" spans="1:14" x14ac:dyDescent="0.2">
      <c r="A225">
        <v>3224</v>
      </c>
      <c r="B225" t="s">
        <v>440</v>
      </c>
      <c r="C225" t="s">
        <v>441</v>
      </c>
      <c r="D225">
        <v>1457</v>
      </c>
      <c r="E225" t="s">
        <v>76</v>
      </c>
      <c r="F225" s="1">
        <v>45469</v>
      </c>
      <c r="G225">
        <v>3</v>
      </c>
      <c r="H225" t="s">
        <v>38</v>
      </c>
      <c r="I225" t="s">
        <v>53</v>
      </c>
      <c r="J225">
        <v>0.25</v>
      </c>
      <c r="K225">
        <v>363.25</v>
      </c>
      <c r="L225">
        <v>1453</v>
      </c>
      <c r="M225">
        <v>1089.75</v>
      </c>
      <c r="N225" t="s">
        <v>114</v>
      </c>
    </row>
    <row r="226" spans="1:14" x14ac:dyDescent="0.2">
      <c r="A226">
        <v>3225</v>
      </c>
      <c r="B226" t="s">
        <v>348</v>
      </c>
      <c r="C226" t="s">
        <v>442</v>
      </c>
      <c r="D226">
        <v>1458</v>
      </c>
      <c r="E226" t="s">
        <v>76</v>
      </c>
      <c r="F226" s="1">
        <v>45476</v>
      </c>
      <c r="G226">
        <v>2</v>
      </c>
      <c r="H226" t="s">
        <v>52</v>
      </c>
      <c r="I226" t="s">
        <v>47</v>
      </c>
      <c r="J226">
        <v>0.25</v>
      </c>
      <c r="K226">
        <v>220.5</v>
      </c>
      <c r="L226">
        <v>882</v>
      </c>
      <c r="M226">
        <v>661.5</v>
      </c>
      <c r="N226" t="s">
        <v>54</v>
      </c>
    </row>
    <row r="227" spans="1:14" x14ac:dyDescent="0.2">
      <c r="A227">
        <v>3226</v>
      </c>
      <c r="B227" t="s">
        <v>432</v>
      </c>
      <c r="C227" t="s">
        <v>443</v>
      </c>
      <c r="D227">
        <v>1459</v>
      </c>
      <c r="E227" t="s">
        <v>37</v>
      </c>
      <c r="F227" s="1">
        <v>45414</v>
      </c>
      <c r="G227">
        <v>1</v>
      </c>
      <c r="H227" t="s">
        <v>52</v>
      </c>
      <c r="I227" t="s">
        <v>64</v>
      </c>
      <c r="J227">
        <v>0.3</v>
      </c>
      <c r="K227">
        <v>457.2</v>
      </c>
      <c r="L227">
        <v>1524</v>
      </c>
      <c r="M227">
        <v>1066.8</v>
      </c>
      <c r="N227" t="s">
        <v>34</v>
      </c>
    </row>
    <row r="228" spans="1:14" x14ac:dyDescent="0.2">
      <c r="A228">
        <v>3227</v>
      </c>
      <c r="B228" t="s">
        <v>444</v>
      </c>
      <c r="C228" t="s">
        <v>445</v>
      </c>
      <c r="D228">
        <v>1460</v>
      </c>
      <c r="E228" t="s">
        <v>92</v>
      </c>
      <c r="F228" s="1">
        <v>45298</v>
      </c>
      <c r="G228">
        <v>1</v>
      </c>
      <c r="H228" t="s">
        <v>52</v>
      </c>
      <c r="I228" t="s">
        <v>53</v>
      </c>
      <c r="J228">
        <v>0.3</v>
      </c>
      <c r="K228">
        <v>290.39999999999998</v>
      </c>
      <c r="L228">
        <v>968</v>
      </c>
      <c r="M228">
        <v>677.6</v>
      </c>
      <c r="N228" t="s">
        <v>54</v>
      </c>
    </row>
    <row r="229" spans="1:14" x14ac:dyDescent="0.2">
      <c r="A229">
        <v>3228</v>
      </c>
      <c r="B229" t="s">
        <v>446</v>
      </c>
      <c r="C229" t="s">
        <v>447</v>
      </c>
      <c r="D229">
        <v>1461</v>
      </c>
      <c r="E229" t="s">
        <v>51</v>
      </c>
      <c r="F229" s="1">
        <v>45391</v>
      </c>
      <c r="G229">
        <v>3</v>
      </c>
      <c r="H229" t="s">
        <v>52</v>
      </c>
      <c r="I229" t="s">
        <v>33</v>
      </c>
      <c r="J229">
        <v>0.2</v>
      </c>
      <c r="K229">
        <v>145</v>
      </c>
      <c r="L229">
        <v>725</v>
      </c>
      <c r="M229">
        <v>580</v>
      </c>
      <c r="N229" t="s">
        <v>114</v>
      </c>
    </row>
    <row r="230" spans="1:14" x14ac:dyDescent="0.2">
      <c r="A230">
        <v>3229</v>
      </c>
      <c r="B230" t="s">
        <v>448</v>
      </c>
      <c r="C230" t="s">
        <v>449</v>
      </c>
      <c r="D230">
        <v>1462</v>
      </c>
      <c r="E230" t="s">
        <v>31</v>
      </c>
      <c r="F230" s="1">
        <v>45330</v>
      </c>
      <c r="G230">
        <v>2</v>
      </c>
      <c r="H230" t="s">
        <v>32</v>
      </c>
      <c r="I230" t="s">
        <v>57</v>
      </c>
      <c r="J230">
        <v>0.1</v>
      </c>
      <c r="K230">
        <v>138.4</v>
      </c>
      <c r="L230">
        <v>1384</v>
      </c>
      <c r="M230">
        <v>1245.5999999999999</v>
      </c>
      <c r="N230" t="s">
        <v>44</v>
      </c>
    </row>
    <row r="231" spans="1:14" x14ac:dyDescent="0.2">
      <c r="A231">
        <v>3230</v>
      </c>
      <c r="B231" t="s">
        <v>450</v>
      </c>
      <c r="C231" t="s">
        <v>451</v>
      </c>
      <c r="D231">
        <v>1463</v>
      </c>
      <c r="E231" t="s">
        <v>37</v>
      </c>
      <c r="F231" s="1">
        <v>45481</v>
      </c>
      <c r="G231">
        <v>3</v>
      </c>
      <c r="H231" t="s">
        <v>32</v>
      </c>
      <c r="I231" t="s">
        <v>47</v>
      </c>
      <c r="J231">
        <v>0.3</v>
      </c>
      <c r="K231">
        <v>139.79999999999998</v>
      </c>
      <c r="L231">
        <v>466</v>
      </c>
      <c r="M231">
        <v>326.20000000000005</v>
      </c>
      <c r="N231" t="s">
        <v>48</v>
      </c>
    </row>
    <row r="232" spans="1:14" x14ac:dyDescent="0.2">
      <c r="A232">
        <v>3231</v>
      </c>
      <c r="B232" t="s">
        <v>318</v>
      </c>
      <c r="C232" t="s">
        <v>452</v>
      </c>
      <c r="D232">
        <v>1464</v>
      </c>
      <c r="E232" t="s">
        <v>42</v>
      </c>
      <c r="F232" s="1">
        <v>45554</v>
      </c>
      <c r="G232">
        <v>3</v>
      </c>
      <c r="H232" t="s">
        <v>52</v>
      </c>
      <c r="I232" t="s">
        <v>39</v>
      </c>
      <c r="J232">
        <v>0.25</v>
      </c>
      <c r="K232">
        <v>56.75</v>
      </c>
      <c r="L232">
        <v>227</v>
      </c>
      <c r="M232">
        <v>170.25</v>
      </c>
      <c r="N232" t="s">
        <v>114</v>
      </c>
    </row>
    <row r="233" spans="1:14" x14ac:dyDescent="0.2">
      <c r="A233">
        <v>3232</v>
      </c>
      <c r="B233" t="s">
        <v>453</v>
      </c>
      <c r="C233" t="s">
        <v>378</v>
      </c>
      <c r="D233">
        <v>1465</v>
      </c>
      <c r="E233" t="s">
        <v>76</v>
      </c>
      <c r="F233" s="1">
        <v>45541</v>
      </c>
      <c r="G233">
        <v>1</v>
      </c>
      <c r="H233" t="s">
        <v>52</v>
      </c>
      <c r="I233" t="s">
        <v>64</v>
      </c>
      <c r="J233">
        <v>0.25</v>
      </c>
      <c r="K233">
        <v>296.75</v>
      </c>
      <c r="L233">
        <v>1187</v>
      </c>
      <c r="M233">
        <v>890.25</v>
      </c>
      <c r="N233" t="s">
        <v>44</v>
      </c>
    </row>
    <row r="234" spans="1:14" x14ac:dyDescent="0.2">
      <c r="A234">
        <v>3233</v>
      </c>
      <c r="B234" t="s">
        <v>454</v>
      </c>
      <c r="C234" t="s">
        <v>405</v>
      </c>
      <c r="D234">
        <v>1466</v>
      </c>
      <c r="E234" t="s">
        <v>31</v>
      </c>
      <c r="F234" s="1">
        <v>45599</v>
      </c>
      <c r="G234">
        <v>2</v>
      </c>
      <c r="H234" t="s">
        <v>32</v>
      </c>
      <c r="I234" t="s">
        <v>39</v>
      </c>
      <c r="J234">
        <v>0.1</v>
      </c>
      <c r="K234">
        <v>54.300000000000004</v>
      </c>
      <c r="L234">
        <v>543</v>
      </c>
      <c r="M234">
        <v>488.7</v>
      </c>
      <c r="N234" t="s">
        <v>48</v>
      </c>
    </row>
    <row r="235" spans="1:14" x14ac:dyDescent="0.2">
      <c r="A235">
        <v>3234</v>
      </c>
      <c r="B235" t="s">
        <v>455</v>
      </c>
      <c r="C235" t="s">
        <v>456</v>
      </c>
      <c r="D235">
        <v>1467</v>
      </c>
      <c r="E235" t="s">
        <v>31</v>
      </c>
      <c r="F235" s="1">
        <v>45338</v>
      </c>
      <c r="G235">
        <v>3</v>
      </c>
      <c r="H235" t="s">
        <v>52</v>
      </c>
      <c r="I235" t="s">
        <v>57</v>
      </c>
      <c r="J235">
        <v>0.1</v>
      </c>
      <c r="K235">
        <v>91.100000000000009</v>
      </c>
      <c r="L235">
        <v>911</v>
      </c>
      <c r="M235">
        <v>819.9</v>
      </c>
      <c r="N235" t="s">
        <v>44</v>
      </c>
    </row>
    <row r="236" spans="1:14" x14ac:dyDescent="0.2">
      <c r="A236">
        <v>3235</v>
      </c>
      <c r="B236" t="s">
        <v>144</v>
      </c>
      <c r="C236" t="s">
        <v>102</v>
      </c>
      <c r="D236">
        <v>1468</v>
      </c>
      <c r="E236" t="s">
        <v>31</v>
      </c>
      <c r="F236" s="1">
        <v>45468</v>
      </c>
      <c r="G236">
        <v>1</v>
      </c>
      <c r="H236" t="s">
        <v>32</v>
      </c>
      <c r="I236" t="s">
        <v>64</v>
      </c>
      <c r="J236">
        <v>0.1</v>
      </c>
      <c r="K236">
        <v>76.5</v>
      </c>
      <c r="L236">
        <v>765</v>
      </c>
      <c r="M236">
        <v>688.5</v>
      </c>
      <c r="N236" t="s">
        <v>54</v>
      </c>
    </row>
    <row r="237" spans="1:14" x14ac:dyDescent="0.2">
      <c r="A237">
        <v>3236</v>
      </c>
      <c r="B237" t="s">
        <v>348</v>
      </c>
      <c r="C237" t="s">
        <v>457</v>
      </c>
      <c r="D237">
        <v>1469</v>
      </c>
      <c r="E237" t="s">
        <v>92</v>
      </c>
      <c r="F237" s="1">
        <v>45531</v>
      </c>
      <c r="G237">
        <v>2</v>
      </c>
      <c r="H237" t="s">
        <v>71</v>
      </c>
      <c r="I237" t="s">
        <v>81</v>
      </c>
      <c r="J237">
        <v>0.3</v>
      </c>
      <c r="K237">
        <v>60.3</v>
      </c>
      <c r="L237">
        <v>201</v>
      </c>
      <c r="M237">
        <v>140.69999999999999</v>
      </c>
      <c r="N237" t="s">
        <v>48</v>
      </c>
    </row>
    <row r="238" spans="1:14" x14ac:dyDescent="0.2">
      <c r="A238">
        <v>3237</v>
      </c>
      <c r="B238" t="s">
        <v>458</v>
      </c>
      <c r="C238" t="s">
        <v>459</v>
      </c>
      <c r="D238">
        <v>1470</v>
      </c>
      <c r="E238" t="s">
        <v>42</v>
      </c>
      <c r="F238" s="1">
        <v>45575</v>
      </c>
      <c r="G238">
        <v>1</v>
      </c>
      <c r="H238" t="s">
        <v>32</v>
      </c>
      <c r="I238" t="s">
        <v>64</v>
      </c>
      <c r="J238">
        <v>0.25</v>
      </c>
      <c r="K238">
        <v>111.25</v>
      </c>
      <c r="L238">
        <v>445</v>
      </c>
      <c r="M238">
        <v>333.75</v>
      </c>
      <c r="N238" t="s">
        <v>34</v>
      </c>
    </row>
    <row r="239" spans="1:14" x14ac:dyDescent="0.2">
      <c r="A239">
        <v>3238</v>
      </c>
      <c r="B239" t="s">
        <v>55</v>
      </c>
      <c r="C239" t="s">
        <v>460</v>
      </c>
      <c r="D239">
        <v>1471</v>
      </c>
      <c r="E239" t="s">
        <v>76</v>
      </c>
      <c r="F239" s="1">
        <v>45417</v>
      </c>
      <c r="G239">
        <v>1</v>
      </c>
      <c r="H239" t="s">
        <v>32</v>
      </c>
      <c r="I239" t="s">
        <v>57</v>
      </c>
      <c r="J239">
        <v>0.25</v>
      </c>
      <c r="K239">
        <v>389.5</v>
      </c>
      <c r="L239">
        <v>1558</v>
      </c>
      <c r="M239">
        <v>1168.5</v>
      </c>
      <c r="N239" t="s">
        <v>114</v>
      </c>
    </row>
    <row r="240" spans="1:14" x14ac:dyDescent="0.2">
      <c r="A240">
        <v>3239</v>
      </c>
      <c r="B240" t="s">
        <v>461</v>
      </c>
      <c r="C240" t="s">
        <v>462</v>
      </c>
      <c r="D240">
        <v>1472</v>
      </c>
      <c r="E240" t="s">
        <v>31</v>
      </c>
      <c r="F240" s="1">
        <v>45434</v>
      </c>
      <c r="G240">
        <v>1</v>
      </c>
      <c r="H240" t="s">
        <v>32</v>
      </c>
      <c r="I240" t="s">
        <v>43</v>
      </c>
      <c r="J240">
        <v>0.1</v>
      </c>
      <c r="K240">
        <v>54.400000000000006</v>
      </c>
      <c r="L240">
        <v>544</v>
      </c>
      <c r="M240">
        <v>489.6</v>
      </c>
      <c r="N240" t="s">
        <v>114</v>
      </c>
    </row>
    <row r="241" spans="1:14" x14ac:dyDescent="0.2">
      <c r="A241">
        <v>3240</v>
      </c>
      <c r="B241" t="s">
        <v>463</v>
      </c>
      <c r="C241" t="s">
        <v>464</v>
      </c>
      <c r="D241">
        <v>1473</v>
      </c>
      <c r="E241" t="s">
        <v>51</v>
      </c>
      <c r="F241" s="1">
        <v>45519</v>
      </c>
      <c r="G241">
        <v>1</v>
      </c>
      <c r="H241" t="s">
        <v>32</v>
      </c>
      <c r="I241" t="s">
        <v>33</v>
      </c>
      <c r="J241">
        <v>0.2</v>
      </c>
      <c r="K241">
        <v>329.8</v>
      </c>
      <c r="L241">
        <v>1649</v>
      </c>
      <c r="M241">
        <v>1319.2</v>
      </c>
      <c r="N241" t="s">
        <v>48</v>
      </c>
    </row>
    <row r="242" spans="1:14" x14ac:dyDescent="0.2">
      <c r="A242">
        <v>3241</v>
      </c>
      <c r="B242" t="s">
        <v>465</v>
      </c>
      <c r="C242" t="s">
        <v>466</v>
      </c>
      <c r="D242">
        <v>1474</v>
      </c>
      <c r="E242" t="s">
        <v>37</v>
      </c>
      <c r="F242" s="1">
        <v>45428</v>
      </c>
      <c r="G242">
        <v>2</v>
      </c>
      <c r="H242" t="s">
        <v>52</v>
      </c>
      <c r="I242" t="s">
        <v>53</v>
      </c>
      <c r="J242">
        <v>0.3</v>
      </c>
      <c r="K242">
        <v>240</v>
      </c>
      <c r="L242">
        <v>800</v>
      </c>
      <c r="M242">
        <v>560</v>
      </c>
      <c r="N242" t="s">
        <v>44</v>
      </c>
    </row>
    <row r="243" spans="1:14" x14ac:dyDescent="0.2">
      <c r="A243">
        <v>3242</v>
      </c>
      <c r="B243" t="s">
        <v>467</v>
      </c>
      <c r="C243" t="s">
        <v>468</v>
      </c>
      <c r="D243">
        <v>1475</v>
      </c>
      <c r="E243" t="s">
        <v>31</v>
      </c>
      <c r="F243" s="1">
        <v>45292</v>
      </c>
      <c r="G243">
        <v>3</v>
      </c>
      <c r="H243" t="s">
        <v>32</v>
      </c>
      <c r="I243" t="s">
        <v>43</v>
      </c>
      <c r="J243">
        <v>0.1</v>
      </c>
      <c r="K243">
        <v>179</v>
      </c>
      <c r="L243">
        <v>1790</v>
      </c>
      <c r="M243">
        <v>1611</v>
      </c>
      <c r="N243" t="s">
        <v>34</v>
      </c>
    </row>
    <row r="244" spans="1:14" x14ac:dyDescent="0.2">
      <c r="A244">
        <v>3243</v>
      </c>
      <c r="B244" t="s">
        <v>469</v>
      </c>
      <c r="C244" t="s">
        <v>470</v>
      </c>
      <c r="D244">
        <v>1476</v>
      </c>
      <c r="E244" t="s">
        <v>42</v>
      </c>
      <c r="F244" s="1">
        <v>45648</v>
      </c>
      <c r="G244">
        <v>2</v>
      </c>
      <c r="H244" t="s">
        <v>32</v>
      </c>
      <c r="I244" t="s">
        <v>53</v>
      </c>
      <c r="J244">
        <v>0.25</v>
      </c>
      <c r="K244">
        <v>219.75</v>
      </c>
      <c r="L244">
        <v>879</v>
      </c>
      <c r="M244">
        <v>659.25</v>
      </c>
      <c r="N244" t="s">
        <v>54</v>
      </c>
    </row>
    <row r="245" spans="1:14" x14ac:dyDescent="0.2">
      <c r="A245">
        <v>3244</v>
      </c>
      <c r="B245" t="s">
        <v>471</v>
      </c>
      <c r="C245" t="s">
        <v>472</v>
      </c>
      <c r="D245">
        <v>1477</v>
      </c>
      <c r="E245" t="s">
        <v>31</v>
      </c>
      <c r="F245" s="1">
        <v>45354</v>
      </c>
      <c r="G245">
        <v>2</v>
      </c>
      <c r="H245" t="s">
        <v>32</v>
      </c>
      <c r="I245" t="s">
        <v>39</v>
      </c>
      <c r="J245">
        <v>0.1</v>
      </c>
      <c r="K245">
        <v>173.20000000000002</v>
      </c>
      <c r="L245">
        <v>1732</v>
      </c>
      <c r="M245">
        <v>1558.8</v>
      </c>
      <c r="N245" t="s">
        <v>114</v>
      </c>
    </row>
    <row r="246" spans="1:14" x14ac:dyDescent="0.2">
      <c r="A246">
        <v>3245</v>
      </c>
      <c r="B246" t="s">
        <v>473</v>
      </c>
      <c r="C246" t="s">
        <v>474</v>
      </c>
      <c r="D246">
        <v>1478</v>
      </c>
      <c r="E246" t="s">
        <v>76</v>
      </c>
      <c r="F246" s="1">
        <v>45550</v>
      </c>
      <c r="G246">
        <v>1</v>
      </c>
      <c r="H246" t="s">
        <v>38</v>
      </c>
      <c r="I246" t="s">
        <v>33</v>
      </c>
      <c r="J246">
        <v>0.25</v>
      </c>
      <c r="K246">
        <v>368.5</v>
      </c>
      <c r="L246">
        <v>1474</v>
      </c>
      <c r="M246">
        <v>1105.5</v>
      </c>
      <c r="N246" t="s">
        <v>54</v>
      </c>
    </row>
    <row r="247" spans="1:14" x14ac:dyDescent="0.2">
      <c r="A247">
        <v>3246</v>
      </c>
      <c r="B247" t="s">
        <v>117</v>
      </c>
      <c r="C247" t="s">
        <v>475</v>
      </c>
      <c r="D247">
        <v>1479</v>
      </c>
      <c r="E247" t="s">
        <v>31</v>
      </c>
      <c r="F247" s="1">
        <v>45622</v>
      </c>
      <c r="G247">
        <v>2</v>
      </c>
      <c r="H247" t="s">
        <v>38</v>
      </c>
      <c r="I247" t="s">
        <v>53</v>
      </c>
      <c r="J247">
        <v>0.1</v>
      </c>
      <c r="K247">
        <v>103.4</v>
      </c>
      <c r="L247">
        <v>1034</v>
      </c>
      <c r="M247">
        <v>930.6</v>
      </c>
      <c r="N247" t="s">
        <v>54</v>
      </c>
    </row>
    <row r="248" spans="1:14" x14ac:dyDescent="0.2">
      <c r="A248">
        <v>3247</v>
      </c>
      <c r="B248" t="s">
        <v>476</v>
      </c>
      <c r="C248" t="s">
        <v>399</v>
      </c>
      <c r="D248">
        <v>1480</v>
      </c>
      <c r="E248" t="s">
        <v>37</v>
      </c>
      <c r="F248" s="1">
        <v>45457</v>
      </c>
      <c r="G248">
        <v>3</v>
      </c>
      <c r="H248" t="s">
        <v>32</v>
      </c>
      <c r="I248" t="s">
        <v>53</v>
      </c>
      <c r="J248">
        <v>0.3</v>
      </c>
      <c r="K248">
        <v>355.5</v>
      </c>
      <c r="L248">
        <v>1185</v>
      </c>
      <c r="M248">
        <v>829.5</v>
      </c>
      <c r="N248" t="s">
        <v>54</v>
      </c>
    </row>
    <row r="249" spans="1:14" x14ac:dyDescent="0.2">
      <c r="A249">
        <v>3248</v>
      </c>
      <c r="B249" t="s">
        <v>477</v>
      </c>
      <c r="C249" t="s">
        <v>478</v>
      </c>
      <c r="D249">
        <v>1481</v>
      </c>
      <c r="E249" t="s">
        <v>76</v>
      </c>
      <c r="F249" s="1">
        <v>45603</v>
      </c>
      <c r="G249">
        <v>1</v>
      </c>
      <c r="H249" t="s">
        <v>52</v>
      </c>
      <c r="I249" t="s">
        <v>81</v>
      </c>
      <c r="J249">
        <v>0.25</v>
      </c>
      <c r="K249">
        <v>211.5</v>
      </c>
      <c r="L249">
        <v>846</v>
      </c>
      <c r="M249">
        <v>634.5</v>
      </c>
      <c r="N249" t="s">
        <v>114</v>
      </c>
    </row>
    <row r="250" spans="1:14" x14ac:dyDescent="0.2">
      <c r="A250">
        <v>3249</v>
      </c>
      <c r="B250" t="s">
        <v>479</v>
      </c>
      <c r="C250" t="s">
        <v>354</v>
      </c>
      <c r="D250">
        <v>1482</v>
      </c>
      <c r="E250" t="s">
        <v>51</v>
      </c>
      <c r="F250" s="1">
        <v>45619</v>
      </c>
      <c r="G250">
        <v>2</v>
      </c>
      <c r="H250" t="s">
        <v>32</v>
      </c>
      <c r="I250" t="s">
        <v>47</v>
      </c>
      <c r="J250">
        <v>0.2</v>
      </c>
      <c r="K250">
        <v>238</v>
      </c>
      <c r="L250">
        <v>1190</v>
      </c>
      <c r="M250">
        <v>952</v>
      </c>
      <c r="N250" t="s">
        <v>44</v>
      </c>
    </row>
    <row r="251" spans="1:14" x14ac:dyDescent="0.2">
      <c r="A251">
        <v>3250</v>
      </c>
      <c r="B251" t="s">
        <v>480</v>
      </c>
      <c r="C251" t="s">
        <v>481</v>
      </c>
      <c r="D251">
        <v>1483</v>
      </c>
      <c r="E251" t="s">
        <v>51</v>
      </c>
      <c r="F251" s="1">
        <v>45436</v>
      </c>
      <c r="G251">
        <v>3</v>
      </c>
      <c r="H251" t="s">
        <v>32</v>
      </c>
      <c r="I251" t="s">
        <v>81</v>
      </c>
      <c r="J251">
        <v>0.2</v>
      </c>
      <c r="K251">
        <v>155.80000000000001</v>
      </c>
      <c r="L251">
        <v>779</v>
      </c>
      <c r="M251">
        <v>623.20000000000005</v>
      </c>
      <c r="N251" t="s">
        <v>44</v>
      </c>
    </row>
    <row r="252" spans="1:14" x14ac:dyDescent="0.2">
      <c r="A252">
        <v>3251</v>
      </c>
      <c r="B252" t="s">
        <v>328</v>
      </c>
      <c r="C252" t="s">
        <v>433</v>
      </c>
      <c r="D252">
        <v>1484</v>
      </c>
      <c r="E252" t="s">
        <v>76</v>
      </c>
      <c r="F252" s="1">
        <v>45350</v>
      </c>
      <c r="G252">
        <v>1</v>
      </c>
      <c r="H252" t="s">
        <v>32</v>
      </c>
      <c r="I252" t="s">
        <v>53</v>
      </c>
      <c r="J252">
        <v>0.25</v>
      </c>
      <c r="K252">
        <v>80.25</v>
      </c>
      <c r="L252">
        <v>321</v>
      </c>
      <c r="M252">
        <v>240.75</v>
      </c>
      <c r="N252" t="s">
        <v>44</v>
      </c>
    </row>
    <row r="253" spans="1:14" x14ac:dyDescent="0.2">
      <c r="A253">
        <v>3252</v>
      </c>
      <c r="B253" t="s">
        <v>482</v>
      </c>
      <c r="C253" t="s">
        <v>483</v>
      </c>
      <c r="D253">
        <v>1485</v>
      </c>
      <c r="E253" t="s">
        <v>31</v>
      </c>
      <c r="F253" s="1">
        <v>45409</v>
      </c>
      <c r="G253">
        <v>1</v>
      </c>
      <c r="H253" t="s">
        <v>52</v>
      </c>
      <c r="I253" t="s">
        <v>53</v>
      </c>
      <c r="J253">
        <v>0.1</v>
      </c>
      <c r="K253">
        <v>23.5</v>
      </c>
      <c r="L253">
        <v>235</v>
      </c>
      <c r="M253">
        <v>211.5</v>
      </c>
      <c r="N253" t="s">
        <v>44</v>
      </c>
    </row>
    <row r="254" spans="1:14" x14ac:dyDescent="0.2">
      <c r="A254">
        <v>3253</v>
      </c>
      <c r="B254" t="s">
        <v>484</v>
      </c>
      <c r="C254" t="s">
        <v>485</v>
      </c>
      <c r="D254">
        <v>1486</v>
      </c>
      <c r="E254" t="s">
        <v>92</v>
      </c>
      <c r="F254" s="1">
        <v>45612</v>
      </c>
      <c r="G254">
        <v>3</v>
      </c>
      <c r="H254" t="s">
        <v>52</v>
      </c>
      <c r="I254" t="s">
        <v>33</v>
      </c>
      <c r="J254">
        <v>0.3</v>
      </c>
      <c r="K254">
        <v>375.3</v>
      </c>
      <c r="L254">
        <v>1251</v>
      </c>
      <c r="M254">
        <v>875.7</v>
      </c>
      <c r="N254" t="s">
        <v>48</v>
      </c>
    </row>
    <row r="255" spans="1:14" x14ac:dyDescent="0.2">
      <c r="A255">
        <v>3254</v>
      </c>
      <c r="B255" t="s">
        <v>415</v>
      </c>
      <c r="C255" t="s">
        <v>486</v>
      </c>
      <c r="D255">
        <v>1487</v>
      </c>
      <c r="E255" t="s">
        <v>42</v>
      </c>
      <c r="F255" s="1">
        <v>45537</v>
      </c>
      <c r="G255">
        <v>1</v>
      </c>
      <c r="H255" t="s">
        <v>32</v>
      </c>
      <c r="I255" t="s">
        <v>47</v>
      </c>
      <c r="J255">
        <v>0.25</v>
      </c>
      <c r="K255">
        <v>326.25</v>
      </c>
      <c r="L255">
        <v>1305</v>
      </c>
      <c r="M255">
        <v>978.75</v>
      </c>
      <c r="N255" t="s">
        <v>34</v>
      </c>
    </row>
    <row r="256" spans="1:14" x14ac:dyDescent="0.2">
      <c r="A256">
        <v>3255</v>
      </c>
      <c r="B256" t="s">
        <v>487</v>
      </c>
      <c r="C256" t="s">
        <v>488</v>
      </c>
      <c r="D256">
        <v>1488</v>
      </c>
      <c r="E256" t="s">
        <v>31</v>
      </c>
      <c r="F256" s="1">
        <v>45554</v>
      </c>
      <c r="G256">
        <v>2</v>
      </c>
      <c r="H256" t="s">
        <v>52</v>
      </c>
      <c r="I256" t="s">
        <v>47</v>
      </c>
      <c r="J256">
        <v>0.1</v>
      </c>
      <c r="K256">
        <v>9.7000000000000011</v>
      </c>
      <c r="L256">
        <v>97</v>
      </c>
      <c r="M256">
        <v>87.3</v>
      </c>
      <c r="N256" t="s">
        <v>34</v>
      </c>
    </row>
    <row r="257" spans="1:14" x14ac:dyDescent="0.2">
      <c r="A257">
        <v>3256</v>
      </c>
      <c r="B257" t="s">
        <v>489</v>
      </c>
      <c r="C257" t="s">
        <v>490</v>
      </c>
      <c r="D257">
        <v>1489</v>
      </c>
      <c r="E257" t="s">
        <v>51</v>
      </c>
      <c r="F257" s="1">
        <v>45615</v>
      </c>
      <c r="G257">
        <v>1</v>
      </c>
      <c r="H257" t="s">
        <v>32</v>
      </c>
      <c r="I257" t="s">
        <v>33</v>
      </c>
      <c r="J257">
        <v>0.2</v>
      </c>
      <c r="K257">
        <v>306.60000000000002</v>
      </c>
      <c r="L257">
        <v>1533</v>
      </c>
      <c r="M257">
        <v>1226.4000000000001</v>
      </c>
      <c r="N257" t="s">
        <v>114</v>
      </c>
    </row>
    <row r="258" spans="1:14" x14ac:dyDescent="0.2">
      <c r="A258">
        <v>3257</v>
      </c>
      <c r="B258" t="s">
        <v>491</v>
      </c>
      <c r="C258" t="s">
        <v>208</v>
      </c>
      <c r="D258">
        <v>1490</v>
      </c>
      <c r="E258" t="s">
        <v>92</v>
      </c>
      <c r="F258" s="1">
        <v>45340</v>
      </c>
      <c r="G258">
        <v>1</v>
      </c>
      <c r="H258" t="s">
        <v>32</v>
      </c>
      <c r="I258" t="s">
        <v>47</v>
      </c>
      <c r="J258">
        <v>0.3</v>
      </c>
      <c r="K258">
        <v>119.69999999999999</v>
      </c>
      <c r="L258">
        <v>399</v>
      </c>
      <c r="M258">
        <v>279.3</v>
      </c>
      <c r="N258" t="s">
        <v>34</v>
      </c>
    </row>
    <row r="259" spans="1:14" x14ac:dyDescent="0.2">
      <c r="A259">
        <v>3258</v>
      </c>
      <c r="B259" t="s">
        <v>233</v>
      </c>
      <c r="C259" t="s">
        <v>492</v>
      </c>
      <c r="D259">
        <v>1491</v>
      </c>
      <c r="E259" t="s">
        <v>31</v>
      </c>
      <c r="F259" s="1">
        <v>45520</v>
      </c>
      <c r="G259">
        <v>3</v>
      </c>
      <c r="H259" t="s">
        <v>32</v>
      </c>
      <c r="I259" t="s">
        <v>53</v>
      </c>
      <c r="J259">
        <v>0.1</v>
      </c>
      <c r="K259">
        <v>43</v>
      </c>
      <c r="L259">
        <v>430</v>
      </c>
      <c r="M259">
        <v>387</v>
      </c>
      <c r="N259" t="s">
        <v>114</v>
      </c>
    </row>
    <row r="260" spans="1:14" x14ac:dyDescent="0.2">
      <c r="A260">
        <v>3259</v>
      </c>
      <c r="B260" t="s">
        <v>493</v>
      </c>
      <c r="C260" t="s">
        <v>494</v>
      </c>
      <c r="D260">
        <v>1492</v>
      </c>
      <c r="E260" t="s">
        <v>76</v>
      </c>
      <c r="F260" s="1">
        <v>45355</v>
      </c>
      <c r="G260">
        <v>2</v>
      </c>
      <c r="H260" t="s">
        <v>32</v>
      </c>
      <c r="I260" t="s">
        <v>57</v>
      </c>
      <c r="J260">
        <v>0.25</v>
      </c>
      <c r="K260">
        <v>309.25</v>
      </c>
      <c r="L260">
        <v>1237</v>
      </c>
      <c r="M260">
        <v>927.75</v>
      </c>
      <c r="N260" t="s">
        <v>34</v>
      </c>
    </row>
    <row r="261" spans="1:14" x14ac:dyDescent="0.2">
      <c r="A261">
        <v>3260</v>
      </c>
      <c r="B261" t="s">
        <v>495</v>
      </c>
      <c r="C261" t="s">
        <v>210</v>
      </c>
      <c r="D261">
        <v>1493</v>
      </c>
      <c r="E261" t="s">
        <v>76</v>
      </c>
      <c r="F261" s="1">
        <v>45306</v>
      </c>
      <c r="G261">
        <v>2</v>
      </c>
      <c r="H261" t="s">
        <v>32</v>
      </c>
      <c r="I261" t="s">
        <v>47</v>
      </c>
      <c r="J261">
        <v>0.25</v>
      </c>
      <c r="K261">
        <v>137.75</v>
      </c>
      <c r="L261">
        <v>551</v>
      </c>
      <c r="M261">
        <v>413.25</v>
      </c>
      <c r="N261" t="s">
        <v>114</v>
      </c>
    </row>
    <row r="262" spans="1:14" x14ac:dyDescent="0.2">
      <c r="A262">
        <v>3261</v>
      </c>
      <c r="B262" t="s">
        <v>496</v>
      </c>
      <c r="C262" t="s">
        <v>177</v>
      </c>
      <c r="D262">
        <v>1494</v>
      </c>
      <c r="E262" t="s">
        <v>51</v>
      </c>
      <c r="F262" s="1">
        <v>45371</v>
      </c>
      <c r="G262">
        <v>3</v>
      </c>
      <c r="H262" t="s">
        <v>32</v>
      </c>
      <c r="I262" t="s">
        <v>81</v>
      </c>
      <c r="J262">
        <v>0.2</v>
      </c>
      <c r="K262">
        <v>337.8</v>
      </c>
      <c r="L262">
        <v>1689</v>
      </c>
      <c r="M262">
        <v>1351.2</v>
      </c>
      <c r="N262" t="s">
        <v>54</v>
      </c>
    </row>
    <row r="263" spans="1:14" x14ac:dyDescent="0.2">
      <c r="A263">
        <v>3262</v>
      </c>
      <c r="B263" t="s">
        <v>209</v>
      </c>
      <c r="C263" t="s">
        <v>54</v>
      </c>
      <c r="D263">
        <v>1495</v>
      </c>
      <c r="E263" t="s">
        <v>31</v>
      </c>
      <c r="F263" s="1">
        <v>45467</v>
      </c>
      <c r="G263">
        <v>3</v>
      </c>
      <c r="H263" t="s">
        <v>52</v>
      </c>
      <c r="I263" t="s">
        <v>43</v>
      </c>
      <c r="J263">
        <v>0.1</v>
      </c>
      <c r="K263">
        <v>151.20000000000002</v>
      </c>
      <c r="L263">
        <v>1512</v>
      </c>
      <c r="M263">
        <v>1360.8</v>
      </c>
      <c r="N263" t="s">
        <v>114</v>
      </c>
    </row>
    <row r="264" spans="1:14" x14ac:dyDescent="0.2">
      <c r="A264">
        <v>3263</v>
      </c>
      <c r="B264" t="s">
        <v>497</v>
      </c>
      <c r="C264" t="s">
        <v>498</v>
      </c>
      <c r="D264">
        <v>1496</v>
      </c>
      <c r="E264" t="s">
        <v>42</v>
      </c>
      <c r="F264" s="1">
        <v>45632</v>
      </c>
      <c r="G264">
        <v>1</v>
      </c>
      <c r="H264" t="s">
        <v>52</v>
      </c>
      <c r="I264" t="s">
        <v>39</v>
      </c>
      <c r="J264">
        <v>0.25</v>
      </c>
      <c r="K264">
        <v>168.75</v>
      </c>
      <c r="L264">
        <v>675</v>
      </c>
      <c r="M264">
        <v>506.25</v>
      </c>
      <c r="N264" t="s">
        <v>114</v>
      </c>
    </row>
    <row r="265" spans="1:14" x14ac:dyDescent="0.2">
      <c r="A265">
        <v>3264</v>
      </c>
      <c r="B265" t="s">
        <v>55</v>
      </c>
      <c r="C265" t="s">
        <v>499</v>
      </c>
      <c r="D265">
        <v>1497</v>
      </c>
      <c r="E265" t="s">
        <v>51</v>
      </c>
      <c r="F265" s="1">
        <v>45350</v>
      </c>
      <c r="G265">
        <v>2</v>
      </c>
      <c r="H265" t="s">
        <v>52</v>
      </c>
      <c r="I265" t="s">
        <v>53</v>
      </c>
      <c r="J265">
        <v>0.2</v>
      </c>
      <c r="K265">
        <v>298.60000000000002</v>
      </c>
      <c r="L265">
        <v>1493</v>
      </c>
      <c r="M265">
        <v>1194.4000000000001</v>
      </c>
      <c r="N265" t="s">
        <v>114</v>
      </c>
    </row>
    <row r="266" spans="1:14" x14ac:dyDescent="0.2">
      <c r="A266">
        <v>3265</v>
      </c>
      <c r="B266" t="s">
        <v>484</v>
      </c>
      <c r="C266" t="s">
        <v>500</v>
      </c>
      <c r="D266">
        <v>1498</v>
      </c>
      <c r="E266" t="s">
        <v>37</v>
      </c>
      <c r="F266" s="1">
        <v>45395</v>
      </c>
      <c r="G266">
        <v>2</v>
      </c>
      <c r="H266" t="s">
        <v>32</v>
      </c>
      <c r="I266" t="s">
        <v>33</v>
      </c>
      <c r="J266">
        <v>0.3</v>
      </c>
      <c r="K266">
        <v>414.59999999999997</v>
      </c>
      <c r="L266">
        <v>1382</v>
      </c>
      <c r="M266">
        <v>967.40000000000009</v>
      </c>
      <c r="N266" t="s">
        <v>34</v>
      </c>
    </row>
    <row r="267" spans="1:14" x14ac:dyDescent="0.2">
      <c r="A267">
        <v>3266</v>
      </c>
      <c r="B267" t="s">
        <v>144</v>
      </c>
      <c r="C267" t="s">
        <v>501</v>
      </c>
      <c r="D267">
        <v>1499</v>
      </c>
      <c r="E267" t="s">
        <v>76</v>
      </c>
      <c r="F267" s="1">
        <v>45596</v>
      </c>
      <c r="G267">
        <v>3</v>
      </c>
      <c r="H267" t="s">
        <v>52</v>
      </c>
      <c r="I267" t="s">
        <v>47</v>
      </c>
      <c r="J267">
        <v>0.25</v>
      </c>
      <c r="K267">
        <v>86</v>
      </c>
      <c r="L267">
        <v>344</v>
      </c>
      <c r="M267">
        <v>258</v>
      </c>
      <c r="N267" t="s">
        <v>48</v>
      </c>
    </row>
    <row r="268" spans="1:14" x14ac:dyDescent="0.2">
      <c r="A268">
        <v>3267</v>
      </c>
      <c r="B268" t="s">
        <v>502</v>
      </c>
      <c r="C268" t="s">
        <v>503</v>
      </c>
      <c r="D268">
        <v>1500</v>
      </c>
      <c r="E268" t="s">
        <v>76</v>
      </c>
      <c r="F268" s="1">
        <v>45409</v>
      </c>
      <c r="G268">
        <v>1</v>
      </c>
      <c r="H268" t="s">
        <v>52</v>
      </c>
      <c r="I268" t="s">
        <v>47</v>
      </c>
      <c r="J268">
        <v>0.25</v>
      </c>
      <c r="K268">
        <v>115.5</v>
      </c>
      <c r="L268">
        <v>462</v>
      </c>
      <c r="M268">
        <v>346.5</v>
      </c>
      <c r="N268" t="s">
        <v>34</v>
      </c>
    </row>
    <row r="269" spans="1:14" x14ac:dyDescent="0.2">
      <c r="A269">
        <v>3268</v>
      </c>
      <c r="B269" t="s">
        <v>504</v>
      </c>
      <c r="C269" t="s">
        <v>505</v>
      </c>
      <c r="D269">
        <v>1501</v>
      </c>
      <c r="E269" t="s">
        <v>76</v>
      </c>
      <c r="F269" s="1">
        <v>45614</v>
      </c>
      <c r="G269">
        <v>1</v>
      </c>
      <c r="H269" t="s">
        <v>32</v>
      </c>
      <c r="I269" t="s">
        <v>53</v>
      </c>
      <c r="J269">
        <v>0.25</v>
      </c>
      <c r="K269">
        <v>291.5</v>
      </c>
      <c r="L269">
        <v>1166</v>
      </c>
      <c r="M269">
        <v>874.5</v>
      </c>
      <c r="N269" t="s">
        <v>44</v>
      </c>
    </row>
    <row r="270" spans="1:14" x14ac:dyDescent="0.2">
      <c r="A270">
        <v>3269</v>
      </c>
      <c r="B270" t="s">
        <v>506</v>
      </c>
      <c r="C270" t="s">
        <v>507</v>
      </c>
      <c r="D270">
        <v>1502</v>
      </c>
      <c r="E270" t="s">
        <v>51</v>
      </c>
      <c r="F270" s="1">
        <v>45360</v>
      </c>
      <c r="G270">
        <v>1</v>
      </c>
      <c r="H270" t="s">
        <v>52</v>
      </c>
      <c r="I270" t="s">
        <v>39</v>
      </c>
      <c r="J270">
        <v>0.2</v>
      </c>
      <c r="K270">
        <v>129.4</v>
      </c>
      <c r="L270">
        <v>647</v>
      </c>
      <c r="M270">
        <v>517.6</v>
      </c>
      <c r="N270" t="s">
        <v>44</v>
      </c>
    </row>
    <row r="271" spans="1:14" x14ac:dyDescent="0.2">
      <c r="A271">
        <v>3270</v>
      </c>
      <c r="B271" t="s">
        <v>508</v>
      </c>
      <c r="C271" t="s">
        <v>509</v>
      </c>
      <c r="D271">
        <v>1503</v>
      </c>
      <c r="E271" t="s">
        <v>42</v>
      </c>
      <c r="F271" s="1">
        <v>45510</v>
      </c>
      <c r="G271">
        <v>3</v>
      </c>
      <c r="H271" t="s">
        <v>52</v>
      </c>
      <c r="I271" t="s">
        <v>39</v>
      </c>
      <c r="J271">
        <v>0.25</v>
      </c>
      <c r="K271">
        <v>309.5</v>
      </c>
      <c r="L271">
        <v>1238</v>
      </c>
      <c r="M271">
        <v>928.5</v>
      </c>
      <c r="N271" t="s">
        <v>54</v>
      </c>
    </row>
    <row r="272" spans="1:14" x14ac:dyDescent="0.2">
      <c r="A272">
        <v>3271</v>
      </c>
      <c r="B272" t="s">
        <v>510</v>
      </c>
      <c r="C272" t="s">
        <v>307</v>
      </c>
      <c r="D272">
        <v>1504</v>
      </c>
      <c r="E272" t="s">
        <v>76</v>
      </c>
      <c r="F272" s="1">
        <v>45464</v>
      </c>
      <c r="G272">
        <v>1</v>
      </c>
      <c r="H272" t="s">
        <v>32</v>
      </c>
      <c r="I272" t="s">
        <v>64</v>
      </c>
      <c r="J272">
        <v>0.25</v>
      </c>
      <c r="K272">
        <v>70</v>
      </c>
      <c r="L272">
        <v>280</v>
      </c>
      <c r="M272">
        <v>210</v>
      </c>
      <c r="N272" t="s">
        <v>34</v>
      </c>
    </row>
    <row r="273" spans="1:14" x14ac:dyDescent="0.2">
      <c r="A273">
        <v>3272</v>
      </c>
      <c r="B273" t="s">
        <v>511</v>
      </c>
      <c r="C273" t="s">
        <v>512</v>
      </c>
      <c r="D273">
        <v>1505</v>
      </c>
      <c r="E273" t="s">
        <v>51</v>
      </c>
      <c r="F273" s="1">
        <v>45609</v>
      </c>
      <c r="G273">
        <v>1</v>
      </c>
      <c r="H273" t="s">
        <v>32</v>
      </c>
      <c r="I273" t="s">
        <v>57</v>
      </c>
      <c r="J273">
        <v>0.2</v>
      </c>
      <c r="K273">
        <v>249.20000000000002</v>
      </c>
      <c r="L273">
        <v>1246</v>
      </c>
      <c r="M273">
        <v>996.8</v>
      </c>
      <c r="N273" t="s">
        <v>34</v>
      </c>
    </row>
    <row r="274" spans="1:14" x14ac:dyDescent="0.2">
      <c r="A274">
        <v>3273</v>
      </c>
      <c r="B274" t="s">
        <v>513</v>
      </c>
      <c r="C274" t="s">
        <v>102</v>
      </c>
      <c r="D274">
        <v>1506</v>
      </c>
      <c r="E274" t="s">
        <v>31</v>
      </c>
      <c r="F274" s="1">
        <v>45606</v>
      </c>
      <c r="G274">
        <v>1</v>
      </c>
      <c r="H274" t="s">
        <v>52</v>
      </c>
      <c r="I274" t="s">
        <v>43</v>
      </c>
      <c r="J274">
        <v>0.1</v>
      </c>
      <c r="K274">
        <v>126.10000000000001</v>
      </c>
      <c r="L274">
        <v>1261</v>
      </c>
      <c r="M274">
        <v>1134.9000000000001</v>
      </c>
      <c r="N274" t="s">
        <v>54</v>
      </c>
    </row>
    <row r="275" spans="1:14" x14ac:dyDescent="0.2">
      <c r="A275">
        <v>3274</v>
      </c>
      <c r="B275" t="s">
        <v>514</v>
      </c>
      <c r="C275" t="s">
        <v>266</v>
      </c>
      <c r="D275">
        <v>1507</v>
      </c>
      <c r="E275" t="s">
        <v>76</v>
      </c>
      <c r="F275" s="1">
        <v>45550</v>
      </c>
      <c r="G275">
        <v>3</v>
      </c>
      <c r="H275" t="s">
        <v>32</v>
      </c>
      <c r="I275" t="s">
        <v>47</v>
      </c>
      <c r="J275">
        <v>0.25</v>
      </c>
      <c r="K275">
        <v>325.75</v>
      </c>
      <c r="L275">
        <v>1303</v>
      </c>
      <c r="M275">
        <v>977.25</v>
      </c>
      <c r="N275" t="s">
        <v>44</v>
      </c>
    </row>
    <row r="276" spans="1:14" x14ac:dyDescent="0.2">
      <c r="A276">
        <v>3275</v>
      </c>
      <c r="B276" t="s">
        <v>127</v>
      </c>
      <c r="C276" t="s">
        <v>231</v>
      </c>
      <c r="D276">
        <v>1508</v>
      </c>
      <c r="E276" t="s">
        <v>76</v>
      </c>
      <c r="F276" s="1">
        <v>45539</v>
      </c>
      <c r="G276">
        <v>3</v>
      </c>
      <c r="H276" t="s">
        <v>32</v>
      </c>
      <c r="I276" t="s">
        <v>53</v>
      </c>
      <c r="J276">
        <v>0.25</v>
      </c>
      <c r="K276">
        <v>438.75</v>
      </c>
      <c r="L276">
        <v>1755</v>
      </c>
      <c r="M276">
        <v>1316.25</v>
      </c>
      <c r="N276" t="s">
        <v>44</v>
      </c>
    </row>
    <row r="277" spans="1:14" x14ac:dyDescent="0.2">
      <c r="A277">
        <v>3276</v>
      </c>
      <c r="B277" t="s">
        <v>515</v>
      </c>
      <c r="C277" t="s">
        <v>68</v>
      </c>
      <c r="D277">
        <v>1509</v>
      </c>
      <c r="E277" t="s">
        <v>37</v>
      </c>
      <c r="F277" s="1">
        <v>45307</v>
      </c>
      <c r="G277">
        <v>1</v>
      </c>
      <c r="H277" t="s">
        <v>32</v>
      </c>
      <c r="I277" t="s">
        <v>33</v>
      </c>
      <c r="J277">
        <v>0.3</v>
      </c>
      <c r="K277">
        <v>352.5</v>
      </c>
      <c r="L277">
        <v>1175</v>
      </c>
      <c r="M277">
        <v>822.5</v>
      </c>
      <c r="N277" t="s">
        <v>114</v>
      </c>
    </row>
    <row r="278" spans="1:14" x14ac:dyDescent="0.2">
      <c r="A278">
        <v>3277</v>
      </c>
      <c r="B278" t="s">
        <v>516</v>
      </c>
      <c r="C278" t="s">
        <v>109</v>
      </c>
      <c r="D278">
        <v>1510</v>
      </c>
      <c r="E278" t="s">
        <v>51</v>
      </c>
      <c r="F278" s="1">
        <v>45585</v>
      </c>
      <c r="G278">
        <v>1</v>
      </c>
      <c r="H278" t="s">
        <v>38</v>
      </c>
      <c r="I278" t="s">
        <v>39</v>
      </c>
      <c r="J278">
        <v>0.2</v>
      </c>
      <c r="K278">
        <v>200.4</v>
      </c>
      <c r="L278">
        <v>1002</v>
      </c>
      <c r="M278">
        <v>801.6</v>
      </c>
      <c r="N278" t="s">
        <v>44</v>
      </c>
    </row>
    <row r="279" spans="1:14" x14ac:dyDescent="0.2">
      <c r="A279">
        <v>3278</v>
      </c>
      <c r="B279" t="s">
        <v>497</v>
      </c>
      <c r="C279" t="s">
        <v>517</v>
      </c>
      <c r="D279">
        <v>1511</v>
      </c>
      <c r="E279" t="s">
        <v>92</v>
      </c>
      <c r="F279" s="1">
        <v>45438</v>
      </c>
      <c r="G279">
        <v>3</v>
      </c>
      <c r="H279" t="s">
        <v>38</v>
      </c>
      <c r="I279" t="s">
        <v>43</v>
      </c>
      <c r="J279">
        <v>0.3</v>
      </c>
      <c r="K279">
        <v>264.3</v>
      </c>
      <c r="L279">
        <v>881</v>
      </c>
      <c r="M279">
        <v>616.70000000000005</v>
      </c>
      <c r="N279" t="s">
        <v>34</v>
      </c>
    </row>
    <row r="280" spans="1:14" x14ac:dyDescent="0.2">
      <c r="A280">
        <v>3279</v>
      </c>
      <c r="B280" t="s">
        <v>518</v>
      </c>
      <c r="C280" t="s">
        <v>519</v>
      </c>
      <c r="D280">
        <v>1512</v>
      </c>
      <c r="E280" t="s">
        <v>42</v>
      </c>
      <c r="F280" s="1">
        <v>45387</v>
      </c>
      <c r="G280">
        <v>2</v>
      </c>
      <c r="H280" t="s">
        <v>32</v>
      </c>
      <c r="I280" t="s">
        <v>81</v>
      </c>
      <c r="J280">
        <v>0.25</v>
      </c>
      <c r="K280">
        <v>14.25</v>
      </c>
      <c r="L280">
        <v>57</v>
      </c>
      <c r="M280">
        <v>42.75</v>
      </c>
      <c r="N280" t="s">
        <v>44</v>
      </c>
    </row>
    <row r="281" spans="1:14" x14ac:dyDescent="0.2">
      <c r="A281">
        <v>3280</v>
      </c>
      <c r="B281" t="s">
        <v>520</v>
      </c>
      <c r="C281" t="s">
        <v>250</v>
      </c>
      <c r="D281">
        <v>1513</v>
      </c>
      <c r="E281" t="s">
        <v>42</v>
      </c>
      <c r="F281" s="1">
        <v>45504</v>
      </c>
      <c r="G281">
        <v>3</v>
      </c>
      <c r="H281" t="s">
        <v>32</v>
      </c>
      <c r="I281" t="s">
        <v>64</v>
      </c>
      <c r="J281">
        <v>0.25</v>
      </c>
      <c r="K281">
        <v>301.75</v>
      </c>
      <c r="L281">
        <v>1207</v>
      </c>
      <c r="M281">
        <v>905.25</v>
      </c>
      <c r="N281" t="s">
        <v>114</v>
      </c>
    </row>
    <row r="282" spans="1:14" x14ac:dyDescent="0.2">
      <c r="A282">
        <v>3281</v>
      </c>
      <c r="B282" t="s">
        <v>521</v>
      </c>
      <c r="C282" t="s">
        <v>522</v>
      </c>
      <c r="D282">
        <v>1514</v>
      </c>
      <c r="E282" t="s">
        <v>37</v>
      </c>
      <c r="F282" s="1">
        <v>45334</v>
      </c>
      <c r="G282">
        <v>3</v>
      </c>
      <c r="H282" t="s">
        <v>32</v>
      </c>
      <c r="I282" t="s">
        <v>39</v>
      </c>
      <c r="J282">
        <v>0.3</v>
      </c>
      <c r="K282">
        <v>431.09999999999997</v>
      </c>
      <c r="L282">
        <v>1437</v>
      </c>
      <c r="M282">
        <v>1005.9000000000001</v>
      </c>
      <c r="N282" t="s">
        <v>44</v>
      </c>
    </row>
    <row r="283" spans="1:14" x14ac:dyDescent="0.2">
      <c r="A283">
        <v>3282</v>
      </c>
      <c r="B283" t="s">
        <v>523</v>
      </c>
      <c r="C283" t="s">
        <v>524</v>
      </c>
      <c r="D283">
        <v>1515</v>
      </c>
      <c r="E283" t="s">
        <v>42</v>
      </c>
      <c r="F283" s="1">
        <v>45413</v>
      </c>
      <c r="G283">
        <v>3</v>
      </c>
      <c r="H283" t="s">
        <v>52</v>
      </c>
      <c r="I283" t="s">
        <v>57</v>
      </c>
      <c r="J283">
        <v>0.25</v>
      </c>
      <c r="K283">
        <v>65</v>
      </c>
      <c r="L283">
        <v>260</v>
      </c>
      <c r="M283">
        <v>195</v>
      </c>
      <c r="N283" t="s">
        <v>114</v>
      </c>
    </row>
    <row r="284" spans="1:14" x14ac:dyDescent="0.2">
      <c r="A284">
        <v>3283</v>
      </c>
      <c r="B284" t="s">
        <v>525</v>
      </c>
      <c r="C284" t="s">
        <v>492</v>
      </c>
      <c r="D284">
        <v>1516</v>
      </c>
      <c r="E284" t="s">
        <v>42</v>
      </c>
      <c r="F284" s="1">
        <v>45325</v>
      </c>
      <c r="G284">
        <v>1</v>
      </c>
      <c r="H284" t="s">
        <v>71</v>
      </c>
      <c r="I284" t="s">
        <v>39</v>
      </c>
      <c r="J284">
        <v>0.25</v>
      </c>
      <c r="K284">
        <v>100.75</v>
      </c>
      <c r="L284">
        <v>403</v>
      </c>
      <c r="M284">
        <v>302.25</v>
      </c>
      <c r="N284" t="s">
        <v>44</v>
      </c>
    </row>
    <row r="285" spans="1:14" x14ac:dyDescent="0.2">
      <c r="A285">
        <v>3284</v>
      </c>
      <c r="B285" t="s">
        <v>104</v>
      </c>
      <c r="C285" t="s">
        <v>526</v>
      </c>
      <c r="D285">
        <v>1517</v>
      </c>
      <c r="E285" t="s">
        <v>92</v>
      </c>
      <c r="F285" s="1">
        <v>45498</v>
      </c>
      <c r="G285">
        <v>3</v>
      </c>
      <c r="H285" t="s">
        <v>52</v>
      </c>
      <c r="I285" t="s">
        <v>64</v>
      </c>
      <c r="J285">
        <v>0.3</v>
      </c>
      <c r="K285">
        <v>513.6</v>
      </c>
      <c r="L285">
        <v>1712</v>
      </c>
      <c r="M285">
        <v>1198.4000000000001</v>
      </c>
      <c r="N285" t="s">
        <v>48</v>
      </c>
    </row>
    <row r="286" spans="1:14" x14ac:dyDescent="0.2">
      <c r="A286">
        <v>3285</v>
      </c>
      <c r="B286" t="s">
        <v>501</v>
      </c>
      <c r="C286" t="s">
        <v>527</v>
      </c>
      <c r="D286">
        <v>1518</v>
      </c>
      <c r="E286" t="s">
        <v>76</v>
      </c>
      <c r="F286" s="1">
        <v>45425</v>
      </c>
      <c r="G286">
        <v>3</v>
      </c>
      <c r="H286" t="s">
        <v>71</v>
      </c>
      <c r="I286" t="s">
        <v>43</v>
      </c>
      <c r="J286">
        <v>0.25</v>
      </c>
      <c r="K286">
        <v>59.75</v>
      </c>
      <c r="L286">
        <v>239</v>
      </c>
      <c r="M286">
        <v>179.25</v>
      </c>
      <c r="N286" t="s">
        <v>114</v>
      </c>
    </row>
    <row r="287" spans="1:14" x14ac:dyDescent="0.2">
      <c r="A287">
        <v>3286</v>
      </c>
      <c r="B287" t="s">
        <v>528</v>
      </c>
      <c r="C287" t="s">
        <v>529</v>
      </c>
      <c r="D287">
        <v>1519</v>
      </c>
      <c r="E287" t="s">
        <v>92</v>
      </c>
      <c r="F287" s="1">
        <v>45572</v>
      </c>
      <c r="G287">
        <v>1</v>
      </c>
      <c r="H287" t="s">
        <v>32</v>
      </c>
      <c r="I287" t="s">
        <v>57</v>
      </c>
      <c r="J287">
        <v>0.3</v>
      </c>
      <c r="K287">
        <v>421.5</v>
      </c>
      <c r="L287">
        <v>1405</v>
      </c>
      <c r="M287">
        <v>983.5</v>
      </c>
      <c r="N287" t="s">
        <v>114</v>
      </c>
    </row>
    <row r="288" spans="1:14" x14ac:dyDescent="0.2">
      <c r="A288">
        <v>3287</v>
      </c>
      <c r="B288" t="s">
        <v>530</v>
      </c>
      <c r="C288" t="s">
        <v>372</v>
      </c>
      <c r="D288">
        <v>1520</v>
      </c>
      <c r="E288" t="s">
        <v>51</v>
      </c>
      <c r="F288" s="1">
        <v>45416</v>
      </c>
      <c r="G288">
        <v>2</v>
      </c>
      <c r="H288" t="s">
        <v>52</v>
      </c>
      <c r="I288" t="s">
        <v>57</v>
      </c>
      <c r="J288">
        <v>0.2</v>
      </c>
      <c r="K288">
        <v>198.60000000000002</v>
      </c>
      <c r="L288">
        <v>993</v>
      </c>
      <c r="M288">
        <v>794.4</v>
      </c>
      <c r="N288" t="s">
        <v>44</v>
      </c>
    </row>
    <row r="289" spans="1:14" x14ac:dyDescent="0.2">
      <c r="A289">
        <v>3288</v>
      </c>
      <c r="B289" t="s">
        <v>222</v>
      </c>
      <c r="C289" t="s">
        <v>531</v>
      </c>
      <c r="D289">
        <v>1521</v>
      </c>
      <c r="E289" t="s">
        <v>76</v>
      </c>
      <c r="F289" s="1">
        <v>45362</v>
      </c>
      <c r="G289">
        <v>2</v>
      </c>
      <c r="H289" t="s">
        <v>32</v>
      </c>
      <c r="I289" t="s">
        <v>47</v>
      </c>
      <c r="J289">
        <v>0.25</v>
      </c>
      <c r="K289">
        <v>133</v>
      </c>
      <c r="L289">
        <v>532</v>
      </c>
      <c r="M289">
        <v>399</v>
      </c>
      <c r="N289" t="s">
        <v>54</v>
      </c>
    </row>
    <row r="290" spans="1:14" x14ac:dyDescent="0.2">
      <c r="A290">
        <v>3289</v>
      </c>
      <c r="B290" t="s">
        <v>88</v>
      </c>
      <c r="C290" t="s">
        <v>532</v>
      </c>
      <c r="D290">
        <v>1522</v>
      </c>
      <c r="E290" t="s">
        <v>76</v>
      </c>
      <c r="F290" s="1">
        <v>45372</v>
      </c>
      <c r="G290">
        <v>3</v>
      </c>
      <c r="H290" t="s">
        <v>52</v>
      </c>
      <c r="I290" t="s">
        <v>47</v>
      </c>
      <c r="J290">
        <v>0.25</v>
      </c>
      <c r="K290">
        <v>132.5</v>
      </c>
      <c r="L290">
        <v>530</v>
      </c>
      <c r="M290">
        <v>397.5</v>
      </c>
      <c r="N290" t="s">
        <v>48</v>
      </c>
    </row>
    <row r="291" spans="1:14" x14ac:dyDescent="0.2">
      <c r="A291">
        <v>3290</v>
      </c>
      <c r="B291" t="s">
        <v>364</v>
      </c>
      <c r="C291" t="s">
        <v>533</v>
      </c>
      <c r="D291">
        <v>1523</v>
      </c>
      <c r="E291" t="s">
        <v>42</v>
      </c>
      <c r="F291" s="1">
        <v>45496</v>
      </c>
      <c r="G291">
        <v>3</v>
      </c>
      <c r="H291" t="s">
        <v>71</v>
      </c>
      <c r="I291" t="s">
        <v>47</v>
      </c>
      <c r="J291">
        <v>0.25</v>
      </c>
      <c r="K291">
        <v>303.75</v>
      </c>
      <c r="L291">
        <v>1215</v>
      </c>
      <c r="M291">
        <v>911.25</v>
      </c>
      <c r="N291" t="s">
        <v>114</v>
      </c>
    </row>
    <row r="292" spans="1:14" x14ac:dyDescent="0.2">
      <c r="A292">
        <v>3291</v>
      </c>
      <c r="B292" t="s">
        <v>534</v>
      </c>
      <c r="C292" t="s">
        <v>527</v>
      </c>
      <c r="D292">
        <v>1524</v>
      </c>
      <c r="E292" t="s">
        <v>31</v>
      </c>
      <c r="F292" s="1">
        <v>45310</v>
      </c>
      <c r="G292">
        <v>2</v>
      </c>
      <c r="H292" t="s">
        <v>32</v>
      </c>
      <c r="I292" t="s">
        <v>81</v>
      </c>
      <c r="J292">
        <v>0.1</v>
      </c>
      <c r="K292">
        <v>169.3</v>
      </c>
      <c r="L292">
        <v>1693</v>
      </c>
      <c r="M292">
        <v>1523.7</v>
      </c>
      <c r="N292" t="s">
        <v>44</v>
      </c>
    </row>
    <row r="293" spans="1:14" x14ac:dyDescent="0.2">
      <c r="A293">
        <v>3292</v>
      </c>
      <c r="B293" t="s">
        <v>535</v>
      </c>
      <c r="C293" t="s">
        <v>226</v>
      </c>
      <c r="D293">
        <v>1525</v>
      </c>
      <c r="E293" t="s">
        <v>76</v>
      </c>
      <c r="F293" s="1">
        <v>45613</v>
      </c>
      <c r="G293">
        <v>2</v>
      </c>
      <c r="H293" t="s">
        <v>71</v>
      </c>
      <c r="I293" t="s">
        <v>39</v>
      </c>
      <c r="J293">
        <v>0.25</v>
      </c>
      <c r="K293">
        <v>242.5</v>
      </c>
      <c r="L293">
        <v>970</v>
      </c>
      <c r="M293">
        <v>727.5</v>
      </c>
      <c r="N293" t="s">
        <v>54</v>
      </c>
    </row>
    <row r="294" spans="1:14" x14ac:dyDescent="0.2">
      <c r="A294">
        <v>3293</v>
      </c>
      <c r="B294" t="s">
        <v>154</v>
      </c>
      <c r="C294" t="s">
        <v>225</v>
      </c>
      <c r="D294">
        <v>1526</v>
      </c>
      <c r="E294" t="s">
        <v>51</v>
      </c>
      <c r="F294" s="1">
        <v>45556</v>
      </c>
      <c r="G294">
        <v>2</v>
      </c>
      <c r="H294" t="s">
        <v>32</v>
      </c>
      <c r="I294" t="s">
        <v>39</v>
      </c>
      <c r="J294">
        <v>0.2</v>
      </c>
      <c r="K294">
        <v>92.600000000000009</v>
      </c>
      <c r="L294">
        <v>463</v>
      </c>
      <c r="M294">
        <v>370.4</v>
      </c>
      <c r="N294" t="s">
        <v>34</v>
      </c>
    </row>
    <row r="295" spans="1:14" x14ac:dyDescent="0.2">
      <c r="A295">
        <v>3294</v>
      </c>
      <c r="B295" t="s">
        <v>536</v>
      </c>
      <c r="C295" t="s">
        <v>537</v>
      </c>
      <c r="D295">
        <v>1527</v>
      </c>
      <c r="E295" t="s">
        <v>92</v>
      </c>
      <c r="F295" s="1">
        <v>45326</v>
      </c>
      <c r="G295">
        <v>1</v>
      </c>
      <c r="H295" t="s">
        <v>32</v>
      </c>
      <c r="I295" t="s">
        <v>39</v>
      </c>
      <c r="J295">
        <v>0.3</v>
      </c>
      <c r="K295">
        <v>310.8</v>
      </c>
      <c r="L295">
        <v>1036</v>
      </c>
      <c r="M295">
        <v>725.2</v>
      </c>
      <c r="N295" t="s">
        <v>44</v>
      </c>
    </row>
    <row r="296" spans="1:14" x14ac:dyDescent="0.2">
      <c r="A296">
        <v>3295</v>
      </c>
      <c r="B296" t="s">
        <v>261</v>
      </c>
      <c r="C296" t="s">
        <v>177</v>
      </c>
      <c r="D296">
        <v>1528</v>
      </c>
      <c r="E296" t="s">
        <v>76</v>
      </c>
      <c r="F296" s="1">
        <v>45576</v>
      </c>
      <c r="G296">
        <v>1</v>
      </c>
      <c r="H296" t="s">
        <v>32</v>
      </c>
      <c r="I296" t="s">
        <v>53</v>
      </c>
      <c r="J296">
        <v>0.25</v>
      </c>
      <c r="K296">
        <v>152</v>
      </c>
      <c r="L296">
        <v>608</v>
      </c>
      <c r="M296">
        <v>456</v>
      </c>
      <c r="N296" t="s">
        <v>48</v>
      </c>
    </row>
    <row r="297" spans="1:14" x14ac:dyDescent="0.2">
      <c r="A297">
        <v>3296</v>
      </c>
      <c r="B297" t="s">
        <v>526</v>
      </c>
      <c r="C297" t="s">
        <v>203</v>
      </c>
      <c r="D297">
        <v>1529</v>
      </c>
      <c r="E297" t="s">
        <v>37</v>
      </c>
      <c r="F297" s="1">
        <v>45505</v>
      </c>
      <c r="G297">
        <v>1</v>
      </c>
      <c r="H297" t="s">
        <v>52</v>
      </c>
      <c r="I297" t="s">
        <v>81</v>
      </c>
      <c r="J297">
        <v>0.3</v>
      </c>
      <c r="K297">
        <v>450.59999999999997</v>
      </c>
      <c r="L297">
        <v>1502</v>
      </c>
      <c r="M297">
        <v>1051.4000000000001</v>
      </c>
      <c r="N297" t="s">
        <v>54</v>
      </c>
    </row>
    <row r="298" spans="1:14" x14ac:dyDescent="0.2">
      <c r="A298">
        <v>3297</v>
      </c>
      <c r="B298" t="s">
        <v>538</v>
      </c>
      <c r="C298" t="s">
        <v>539</v>
      </c>
      <c r="D298">
        <v>1530</v>
      </c>
      <c r="E298" t="s">
        <v>76</v>
      </c>
      <c r="F298" s="1">
        <v>45519</v>
      </c>
      <c r="G298">
        <v>1</v>
      </c>
      <c r="H298" t="s">
        <v>32</v>
      </c>
      <c r="I298" t="s">
        <v>39</v>
      </c>
      <c r="J298">
        <v>0.25</v>
      </c>
      <c r="K298">
        <v>377.5</v>
      </c>
      <c r="L298">
        <v>1510</v>
      </c>
      <c r="M298">
        <v>1132.5</v>
      </c>
      <c r="N298" t="s">
        <v>34</v>
      </c>
    </row>
    <row r="299" spans="1:14" x14ac:dyDescent="0.2">
      <c r="A299">
        <v>3298</v>
      </c>
      <c r="B299" t="s">
        <v>540</v>
      </c>
      <c r="C299" t="s">
        <v>541</v>
      </c>
      <c r="D299">
        <v>1531</v>
      </c>
      <c r="E299" t="s">
        <v>31</v>
      </c>
      <c r="F299" s="1">
        <v>45594</v>
      </c>
      <c r="G299">
        <v>1</v>
      </c>
      <c r="H299" t="s">
        <v>32</v>
      </c>
      <c r="I299" t="s">
        <v>81</v>
      </c>
      <c r="J299">
        <v>0.1</v>
      </c>
      <c r="K299">
        <v>121</v>
      </c>
      <c r="L299">
        <v>1210</v>
      </c>
      <c r="M299">
        <v>1089</v>
      </c>
      <c r="N299" t="s">
        <v>54</v>
      </c>
    </row>
    <row r="300" spans="1:14" x14ac:dyDescent="0.2">
      <c r="A300">
        <v>3299</v>
      </c>
      <c r="B300" t="s">
        <v>542</v>
      </c>
      <c r="C300" t="s">
        <v>201</v>
      </c>
      <c r="D300">
        <v>1532</v>
      </c>
      <c r="E300" t="s">
        <v>42</v>
      </c>
      <c r="F300" s="1">
        <v>45459</v>
      </c>
      <c r="G300">
        <v>1</v>
      </c>
      <c r="H300" t="s">
        <v>32</v>
      </c>
      <c r="I300" t="s">
        <v>47</v>
      </c>
      <c r="J300">
        <v>0.25</v>
      </c>
      <c r="K300">
        <v>163.5</v>
      </c>
      <c r="L300">
        <v>654</v>
      </c>
      <c r="M300">
        <v>490.5</v>
      </c>
      <c r="N300" t="s">
        <v>114</v>
      </c>
    </row>
    <row r="301" spans="1:14" x14ac:dyDescent="0.2">
      <c r="A301">
        <v>3300</v>
      </c>
      <c r="B301" t="s">
        <v>543</v>
      </c>
      <c r="C301" t="s">
        <v>544</v>
      </c>
      <c r="D301">
        <v>1533</v>
      </c>
      <c r="E301" t="s">
        <v>42</v>
      </c>
      <c r="F301" s="1">
        <v>45655</v>
      </c>
      <c r="G301">
        <v>1</v>
      </c>
      <c r="H301" t="s">
        <v>52</v>
      </c>
      <c r="I301" t="s">
        <v>53</v>
      </c>
      <c r="J301">
        <v>0.25</v>
      </c>
      <c r="K301">
        <v>120</v>
      </c>
      <c r="L301">
        <v>480</v>
      </c>
      <c r="M301">
        <v>360</v>
      </c>
      <c r="N301" t="s">
        <v>44</v>
      </c>
    </row>
    <row r="302" spans="1:14" x14ac:dyDescent="0.2">
      <c r="A302">
        <v>3301</v>
      </c>
      <c r="B302" t="s">
        <v>545</v>
      </c>
      <c r="C302" t="s">
        <v>546</v>
      </c>
      <c r="D302">
        <v>1534</v>
      </c>
      <c r="E302" t="s">
        <v>37</v>
      </c>
      <c r="F302" s="1">
        <v>45563</v>
      </c>
      <c r="G302">
        <v>3</v>
      </c>
      <c r="H302" t="s">
        <v>32</v>
      </c>
      <c r="I302" t="s">
        <v>53</v>
      </c>
      <c r="J302">
        <v>0.3</v>
      </c>
      <c r="K302">
        <v>451.2</v>
      </c>
      <c r="L302">
        <v>1504</v>
      </c>
      <c r="M302">
        <v>1052.8</v>
      </c>
      <c r="N302" t="s">
        <v>34</v>
      </c>
    </row>
    <row r="303" spans="1:14" x14ac:dyDescent="0.2">
      <c r="A303">
        <v>3302</v>
      </c>
      <c r="B303" t="s">
        <v>547</v>
      </c>
      <c r="C303" t="s">
        <v>56</v>
      </c>
      <c r="D303">
        <v>1535</v>
      </c>
      <c r="E303" t="s">
        <v>92</v>
      </c>
      <c r="F303" s="1">
        <v>45297</v>
      </c>
      <c r="G303">
        <v>1</v>
      </c>
      <c r="H303" t="s">
        <v>32</v>
      </c>
      <c r="I303" t="s">
        <v>47</v>
      </c>
      <c r="J303">
        <v>0.3</v>
      </c>
      <c r="K303">
        <v>500.09999999999997</v>
      </c>
      <c r="L303">
        <v>1667</v>
      </c>
      <c r="M303">
        <v>1166.9000000000001</v>
      </c>
      <c r="N303" t="s">
        <v>34</v>
      </c>
    </row>
    <row r="304" spans="1:14" x14ac:dyDescent="0.2">
      <c r="A304">
        <v>3303</v>
      </c>
      <c r="B304" t="s">
        <v>548</v>
      </c>
      <c r="C304" t="s">
        <v>194</v>
      </c>
      <c r="D304">
        <v>1536</v>
      </c>
      <c r="E304" t="s">
        <v>51</v>
      </c>
      <c r="F304" s="1">
        <v>45651</v>
      </c>
      <c r="G304">
        <v>1</v>
      </c>
      <c r="H304" t="s">
        <v>38</v>
      </c>
      <c r="I304" t="s">
        <v>53</v>
      </c>
      <c r="J304">
        <v>0.2</v>
      </c>
      <c r="K304">
        <v>84.600000000000009</v>
      </c>
      <c r="L304">
        <v>423</v>
      </c>
      <c r="M304">
        <v>338.4</v>
      </c>
      <c r="N304" t="s">
        <v>54</v>
      </c>
    </row>
    <row r="305" spans="1:14" x14ac:dyDescent="0.2">
      <c r="A305">
        <v>3304</v>
      </c>
      <c r="B305" t="s">
        <v>344</v>
      </c>
      <c r="C305" t="s">
        <v>128</v>
      </c>
      <c r="D305">
        <v>1537</v>
      </c>
      <c r="E305" t="s">
        <v>31</v>
      </c>
      <c r="F305" s="1">
        <v>45400</v>
      </c>
      <c r="G305">
        <v>1</v>
      </c>
      <c r="H305" t="s">
        <v>32</v>
      </c>
      <c r="I305" t="s">
        <v>47</v>
      </c>
      <c r="J305">
        <v>0.1</v>
      </c>
      <c r="K305">
        <v>142.5</v>
      </c>
      <c r="L305">
        <v>1425</v>
      </c>
      <c r="M305">
        <v>1282.5</v>
      </c>
      <c r="N305" t="s">
        <v>54</v>
      </c>
    </row>
    <row r="306" spans="1:14" x14ac:dyDescent="0.2">
      <c r="A306">
        <v>3305</v>
      </c>
      <c r="B306" t="s">
        <v>549</v>
      </c>
      <c r="C306" t="s">
        <v>546</v>
      </c>
      <c r="D306">
        <v>1538</v>
      </c>
      <c r="E306" t="s">
        <v>37</v>
      </c>
      <c r="F306" s="1">
        <v>45405</v>
      </c>
      <c r="G306">
        <v>2</v>
      </c>
      <c r="H306" t="s">
        <v>52</v>
      </c>
      <c r="I306" t="s">
        <v>33</v>
      </c>
      <c r="J306">
        <v>0.3</v>
      </c>
      <c r="K306">
        <v>51.9</v>
      </c>
      <c r="L306">
        <v>173</v>
      </c>
      <c r="M306">
        <v>121.1</v>
      </c>
      <c r="N306" t="s">
        <v>44</v>
      </c>
    </row>
    <row r="307" spans="1:14" x14ac:dyDescent="0.2">
      <c r="A307">
        <v>3306</v>
      </c>
      <c r="B307" t="s">
        <v>550</v>
      </c>
      <c r="C307" t="s">
        <v>551</v>
      </c>
      <c r="D307">
        <v>1539</v>
      </c>
      <c r="E307" t="s">
        <v>42</v>
      </c>
      <c r="F307" s="1">
        <v>45324</v>
      </c>
      <c r="G307">
        <v>3</v>
      </c>
      <c r="H307" t="s">
        <v>32</v>
      </c>
      <c r="I307" t="s">
        <v>39</v>
      </c>
      <c r="J307">
        <v>0.25</v>
      </c>
      <c r="K307">
        <v>400.75</v>
      </c>
      <c r="L307">
        <v>1603</v>
      </c>
      <c r="M307">
        <v>1202.25</v>
      </c>
      <c r="N307" t="s">
        <v>34</v>
      </c>
    </row>
    <row r="308" spans="1:14" x14ac:dyDescent="0.2">
      <c r="A308">
        <v>3307</v>
      </c>
      <c r="B308" t="s">
        <v>552</v>
      </c>
      <c r="C308" t="s">
        <v>553</v>
      </c>
      <c r="D308">
        <v>1540</v>
      </c>
      <c r="E308" t="s">
        <v>92</v>
      </c>
      <c r="F308" s="1">
        <v>45505</v>
      </c>
      <c r="G308">
        <v>3</v>
      </c>
      <c r="H308" t="s">
        <v>52</v>
      </c>
      <c r="I308" t="s">
        <v>57</v>
      </c>
      <c r="J308">
        <v>0.3</v>
      </c>
      <c r="K308">
        <v>75</v>
      </c>
      <c r="L308">
        <v>250</v>
      </c>
      <c r="M308">
        <v>175</v>
      </c>
      <c r="N308" t="s">
        <v>114</v>
      </c>
    </row>
    <row r="309" spans="1:14" x14ac:dyDescent="0.2">
      <c r="A309">
        <v>3308</v>
      </c>
      <c r="B309" t="s">
        <v>361</v>
      </c>
      <c r="C309" t="s">
        <v>295</v>
      </c>
      <c r="D309">
        <v>1541</v>
      </c>
      <c r="E309" t="s">
        <v>42</v>
      </c>
      <c r="F309" s="1">
        <v>45560</v>
      </c>
      <c r="G309">
        <v>2</v>
      </c>
      <c r="H309" t="s">
        <v>32</v>
      </c>
      <c r="I309" t="s">
        <v>81</v>
      </c>
      <c r="J309">
        <v>0.25</v>
      </c>
      <c r="K309">
        <v>257.75</v>
      </c>
      <c r="L309">
        <v>1031</v>
      </c>
      <c r="M309">
        <v>773.25</v>
      </c>
      <c r="N309" t="s">
        <v>48</v>
      </c>
    </row>
    <row r="310" spans="1:14" x14ac:dyDescent="0.2">
      <c r="A310">
        <v>3309</v>
      </c>
      <c r="B310" t="s">
        <v>554</v>
      </c>
      <c r="C310" t="s">
        <v>555</v>
      </c>
      <c r="D310">
        <v>1542</v>
      </c>
      <c r="E310" t="s">
        <v>37</v>
      </c>
      <c r="F310" s="1">
        <v>45535</v>
      </c>
      <c r="G310">
        <v>1</v>
      </c>
      <c r="H310" t="s">
        <v>32</v>
      </c>
      <c r="I310" t="s">
        <v>81</v>
      </c>
      <c r="J310">
        <v>0.3</v>
      </c>
      <c r="K310">
        <v>536.1</v>
      </c>
      <c r="L310">
        <v>1787</v>
      </c>
      <c r="M310">
        <v>1250.9000000000001</v>
      </c>
      <c r="N310" t="s">
        <v>114</v>
      </c>
    </row>
    <row r="311" spans="1:14" x14ac:dyDescent="0.2">
      <c r="A311">
        <v>3310</v>
      </c>
      <c r="B311" t="s">
        <v>556</v>
      </c>
      <c r="C311" t="s">
        <v>66</v>
      </c>
      <c r="D311">
        <v>1543</v>
      </c>
      <c r="E311" t="s">
        <v>51</v>
      </c>
      <c r="F311" s="1">
        <v>45428</v>
      </c>
      <c r="G311">
        <v>3</v>
      </c>
      <c r="H311" t="s">
        <v>71</v>
      </c>
      <c r="I311" t="s">
        <v>47</v>
      </c>
      <c r="J311">
        <v>0.2</v>
      </c>
      <c r="K311">
        <v>205.4</v>
      </c>
      <c r="L311">
        <v>1027</v>
      </c>
      <c r="M311">
        <v>821.6</v>
      </c>
      <c r="N311" t="s">
        <v>34</v>
      </c>
    </row>
    <row r="312" spans="1:14" x14ac:dyDescent="0.2">
      <c r="A312">
        <v>3311</v>
      </c>
      <c r="B312" t="s">
        <v>115</v>
      </c>
      <c r="C312" t="s">
        <v>557</v>
      </c>
      <c r="D312">
        <v>1544</v>
      </c>
      <c r="E312" t="s">
        <v>92</v>
      </c>
      <c r="F312" s="1">
        <v>45562</v>
      </c>
      <c r="G312">
        <v>2</v>
      </c>
      <c r="H312" t="s">
        <v>52</v>
      </c>
      <c r="I312" t="s">
        <v>43</v>
      </c>
      <c r="J312">
        <v>0.3</v>
      </c>
      <c r="K312">
        <v>504.59999999999997</v>
      </c>
      <c r="L312">
        <v>1682</v>
      </c>
      <c r="M312">
        <v>1177.4000000000001</v>
      </c>
      <c r="N312" t="s">
        <v>44</v>
      </c>
    </row>
    <row r="313" spans="1:14" x14ac:dyDescent="0.2">
      <c r="A313">
        <v>3312</v>
      </c>
      <c r="B313" t="s">
        <v>558</v>
      </c>
      <c r="C313" t="s">
        <v>329</v>
      </c>
      <c r="D313">
        <v>1545</v>
      </c>
      <c r="E313" t="s">
        <v>31</v>
      </c>
      <c r="F313" s="1">
        <v>45401</v>
      </c>
      <c r="G313">
        <v>2</v>
      </c>
      <c r="H313" t="s">
        <v>52</v>
      </c>
      <c r="I313" t="s">
        <v>64</v>
      </c>
      <c r="J313">
        <v>0.1</v>
      </c>
      <c r="K313">
        <v>159.5</v>
      </c>
      <c r="L313">
        <v>1595</v>
      </c>
      <c r="M313">
        <v>1435.5</v>
      </c>
      <c r="N313" t="s">
        <v>44</v>
      </c>
    </row>
    <row r="314" spans="1:14" x14ac:dyDescent="0.2">
      <c r="A314">
        <v>3313</v>
      </c>
      <c r="B314" t="s">
        <v>34</v>
      </c>
      <c r="C314" t="s">
        <v>559</v>
      </c>
      <c r="D314">
        <v>1546</v>
      </c>
      <c r="E314" t="s">
        <v>76</v>
      </c>
      <c r="F314" s="1">
        <v>45525</v>
      </c>
      <c r="G314">
        <v>1</v>
      </c>
      <c r="H314" t="s">
        <v>52</v>
      </c>
      <c r="I314" t="s">
        <v>64</v>
      </c>
      <c r="J314">
        <v>0.25</v>
      </c>
      <c r="K314">
        <v>385</v>
      </c>
      <c r="L314">
        <v>1540</v>
      </c>
      <c r="M314">
        <v>1155</v>
      </c>
      <c r="N314" t="s">
        <v>44</v>
      </c>
    </row>
    <row r="315" spans="1:14" x14ac:dyDescent="0.2">
      <c r="A315">
        <v>3314</v>
      </c>
      <c r="B315" t="s">
        <v>560</v>
      </c>
      <c r="C315" t="s">
        <v>561</v>
      </c>
      <c r="D315">
        <v>1547</v>
      </c>
      <c r="E315" t="s">
        <v>76</v>
      </c>
      <c r="F315" s="1">
        <v>45423</v>
      </c>
      <c r="G315">
        <v>2</v>
      </c>
      <c r="H315" t="s">
        <v>38</v>
      </c>
      <c r="I315" t="s">
        <v>47</v>
      </c>
      <c r="J315">
        <v>0.25</v>
      </c>
      <c r="K315">
        <v>436.75</v>
      </c>
      <c r="L315">
        <v>1747</v>
      </c>
      <c r="M315">
        <v>1310.25</v>
      </c>
      <c r="N315" t="s">
        <v>114</v>
      </c>
    </row>
    <row r="316" spans="1:14" x14ac:dyDescent="0.2">
      <c r="A316">
        <v>3315</v>
      </c>
      <c r="B316" t="s">
        <v>562</v>
      </c>
      <c r="C316" t="s">
        <v>56</v>
      </c>
      <c r="D316">
        <v>1548</v>
      </c>
      <c r="E316" t="s">
        <v>92</v>
      </c>
      <c r="F316" s="1">
        <v>45421</v>
      </c>
      <c r="G316">
        <v>2</v>
      </c>
      <c r="H316" t="s">
        <v>52</v>
      </c>
      <c r="I316" t="s">
        <v>33</v>
      </c>
      <c r="J316">
        <v>0.3</v>
      </c>
      <c r="K316">
        <v>210.9</v>
      </c>
      <c r="L316">
        <v>703</v>
      </c>
      <c r="M316">
        <v>492.1</v>
      </c>
      <c r="N316" t="s">
        <v>54</v>
      </c>
    </row>
    <row r="317" spans="1:14" x14ac:dyDescent="0.2">
      <c r="A317">
        <v>3316</v>
      </c>
      <c r="B317" t="s">
        <v>355</v>
      </c>
      <c r="C317" t="s">
        <v>563</v>
      </c>
      <c r="D317">
        <v>1549</v>
      </c>
      <c r="E317" t="s">
        <v>51</v>
      </c>
      <c r="F317" s="1">
        <v>45614</v>
      </c>
      <c r="G317">
        <v>3</v>
      </c>
      <c r="H317" t="s">
        <v>71</v>
      </c>
      <c r="I317" t="s">
        <v>47</v>
      </c>
      <c r="J317">
        <v>0.2</v>
      </c>
      <c r="K317">
        <v>22.8</v>
      </c>
      <c r="L317">
        <v>114</v>
      </c>
      <c r="M317">
        <v>91.2</v>
      </c>
      <c r="N317" t="s">
        <v>54</v>
      </c>
    </row>
    <row r="318" spans="1:14" x14ac:dyDescent="0.2">
      <c r="A318">
        <v>3317</v>
      </c>
      <c r="B318" t="s">
        <v>564</v>
      </c>
      <c r="C318" t="s">
        <v>565</v>
      </c>
      <c r="D318">
        <v>1550</v>
      </c>
      <c r="E318" t="s">
        <v>76</v>
      </c>
      <c r="F318" s="1">
        <v>45373</v>
      </c>
      <c r="G318">
        <v>2</v>
      </c>
      <c r="H318" t="s">
        <v>38</v>
      </c>
      <c r="I318" t="s">
        <v>57</v>
      </c>
      <c r="J318">
        <v>0.25</v>
      </c>
      <c r="K318">
        <v>239.25</v>
      </c>
      <c r="L318">
        <v>957</v>
      </c>
      <c r="M318">
        <v>717.75</v>
      </c>
      <c r="N318" t="s">
        <v>44</v>
      </c>
    </row>
    <row r="319" spans="1:14" x14ac:dyDescent="0.2">
      <c r="A319">
        <v>3318</v>
      </c>
      <c r="B319" t="s">
        <v>566</v>
      </c>
      <c r="C319" t="s">
        <v>567</v>
      </c>
      <c r="D319">
        <v>1551</v>
      </c>
      <c r="E319" t="s">
        <v>31</v>
      </c>
      <c r="F319" s="1">
        <v>45484</v>
      </c>
      <c r="G319">
        <v>3</v>
      </c>
      <c r="H319" t="s">
        <v>32</v>
      </c>
      <c r="I319" t="s">
        <v>43</v>
      </c>
      <c r="J319">
        <v>0.1</v>
      </c>
      <c r="K319">
        <v>90</v>
      </c>
      <c r="L319">
        <v>900</v>
      </c>
      <c r="M319">
        <v>810</v>
      </c>
      <c r="N319" t="s">
        <v>48</v>
      </c>
    </row>
    <row r="320" spans="1:14" x14ac:dyDescent="0.2">
      <c r="A320">
        <v>3319</v>
      </c>
      <c r="B320" t="s">
        <v>568</v>
      </c>
      <c r="C320" t="s">
        <v>569</v>
      </c>
      <c r="D320">
        <v>1552</v>
      </c>
      <c r="E320" t="s">
        <v>51</v>
      </c>
      <c r="F320" s="1">
        <v>45324</v>
      </c>
      <c r="G320">
        <v>1</v>
      </c>
      <c r="H320" t="s">
        <v>52</v>
      </c>
      <c r="I320" t="s">
        <v>47</v>
      </c>
      <c r="J320">
        <v>0.2</v>
      </c>
      <c r="K320">
        <v>170.60000000000002</v>
      </c>
      <c r="L320">
        <v>853</v>
      </c>
      <c r="M320">
        <v>682.4</v>
      </c>
      <c r="N320" t="s">
        <v>34</v>
      </c>
    </row>
    <row r="321" spans="1:14" x14ac:dyDescent="0.2">
      <c r="A321">
        <v>3320</v>
      </c>
      <c r="B321" t="s">
        <v>428</v>
      </c>
      <c r="C321" t="s">
        <v>375</v>
      </c>
      <c r="D321">
        <v>1553</v>
      </c>
      <c r="E321" t="s">
        <v>76</v>
      </c>
      <c r="F321" s="1">
        <v>45648</v>
      </c>
      <c r="G321">
        <v>2</v>
      </c>
      <c r="H321" t="s">
        <v>32</v>
      </c>
      <c r="I321" t="s">
        <v>57</v>
      </c>
      <c r="J321">
        <v>0.25</v>
      </c>
      <c r="K321">
        <v>363</v>
      </c>
      <c r="L321">
        <v>1452</v>
      </c>
      <c r="M321">
        <v>1089</v>
      </c>
      <c r="N321" t="s">
        <v>44</v>
      </c>
    </row>
    <row r="322" spans="1:14" x14ac:dyDescent="0.2">
      <c r="A322">
        <v>3321</v>
      </c>
      <c r="B322" t="s">
        <v>241</v>
      </c>
      <c r="C322" t="s">
        <v>570</v>
      </c>
      <c r="D322">
        <v>1554</v>
      </c>
      <c r="E322" t="s">
        <v>51</v>
      </c>
      <c r="F322" s="1">
        <v>45301</v>
      </c>
      <c r="G322">
        <v>3</v>
      </c>
      <c r="H322" t="s">
        <v>32</v>
      </c>
      <c r="I322" t="s">
        <v>53</v>
      </c>
      <c r="J322">
        <v>0.2</v>
      </c>
      <c r="K322">
        <v>42.400000000000006</v>
      </c>
      <c r="L322">
        <v>212</v>
      </c>
      <c r="M322">
        <v>169.6</v>
      </c>
      <c r="N322" t="s">
        <v>34</v>
      </c>
    </row>
    <row r="323" spans="1:14" x14ac:dyDescent="0.2">
      <c r="A323">
        <v>3322</v>
      </c>
      <c r="B323" t="s">
        <v>571</v>
      </c>
      <c r="C323" t="s">
        <v>572</v>
      </c>
      <c r="D323">
        <v>1555</v>
      </c>
      <c r="E323" t="s">
        <v>37</v>
      </c>
      <c r="F323" s="1">
        <v>45428</v>
      </c>
      <c r="G323">
        <v>2</v>
      </c>
      <c r="H323" t="s">
        <v>52</v>
      </c>
      <c r="I323" t="s">
        <v>57</v>
      </c>
      <c r="J323">
        <v>0.3</v>
      </c>
      <c r="K323">
        <v>33.9</v>
      </c>
      <c r="L323">
        <v>113</v>
      </c>
      <c r="M323">
        <v>79.099999999999994</v>
      </c>
      <c r="N323" t="s">
        <v>114</v>
      </c>
    </row>
    <row r="324" spans="1:14" x14ac:dyDescent="0.2">
      <c r="A324">
        <v>3323</v>
      </c>
      <c r="B324" t="s">
        <v>573</v>
      </c>
      <c r="C324" t="s">
        <v>574</v>
      </c>
      <c r="D324">
        <v>1556</v>
      </c>
      <c r="E324" t="s">
        <v>37</v>
      </c>
      <c r="F324" s="1">
        <v>45331</v>
      </c>
      <c r="G324">
        <v>3</v>
      </c>
      <c r="H324" t="s">
        <v>52</v>
      </c>
      <c r="I324" t="s">
        <v>33</v>
      </c>
      <c r="J324">
        <v>0.3</v>
      </c>
      <c r="K324">
        <v>385.2</v>
      </c>
      <c r="L324">
        <v>1284</v>
      </c>
      <c r="M324">
        <v>898.8</v>
      </c>
      <c r="N324" t="s">
        <v>54</v>
      </c>
    </row>
    <row r="325" spans="1:14" x14ac:dyDescent="0.2">
      <c r="A325">
        <v>3324</v>
      </c>
      <c r="B325" t="s">
        <v>575</v>
      </c>
      <c r="C325" t="s">
        <v>576</v>
      </c>
      <c r="D325">
        <v>1557</v>
      </c>
      <c r="E325" t="s">
        <v>76</v>
      </c>
      <c r="F325" s="1">
        <v>45306</v>
      </c>
      <c r="G325">
        <v>1</v>
      </c>
      <c r="H325" t="s">
        <v>38</v>
      </c>
      <c r="I325" t="s">
        <v>57</v>
      </c>
      <c r="J325">
        <v>0.25</v>
      </c>
      <c r="K325">
        <v>107.75</v>
      </c>
      <c r="L325">
        <v>431</v>
      </c>
      <c r="M325">
        <v>323.25</v>
      </c>
      <c r="N325" t="s">
        <v>48</v>
      </c>
    </row>
    <row r="326" spans="1:14" x14ac:dyDescent="0.2">
      <c r="A326">
        <v>3325</v>
      </c>
      <c r="B326" t="s">
        <v>577</v>
      </c>
      <c r="C326" t="s">
        <v>75</v>
      </c>
      <c r="D326">
        <v>1558</v>
      </c>
      <c r="E326" t="s">
        <v>76</v>
      </c>
      <c r="F326" s="1">
        <v>45386</v>
      </c>
      <c r="G326">
        <v>2</v>
      </c>
      <c r="H326" t="s">
        <v>52</v>
      </c>
      <c r="I326" t="s">
        <v>64</v>
      </c>
      <c r="J326">
        <v>0.25</v>
      </c>
      <c r="K326">
        <v>224.25</v>
      </c>
      <c r="L326">
        <v>897</v>
      </c>
      <c r="M326">
        <v>672.75</v>
      </c>
      <c r="N326" t="s">
        <v>114</v>
      </c>
    </row>
    <row r="327" spans="1:14" x14ac:dyDescent="0.2">
      <c r="A327">
        <v>3326</v>
      </c>
      <c r="B327" t="s">
        <v>578</v>
      </c>
      <c r="C327" t="s">
        <v>579</v>
      </c>
      <c r="D327">
        <v>1559</v>
      </c>
      <c r="E327" t="s">
        <v>92</v>
      </c>
      <c r="F327" s="1">
        <v>45456</v>
      </c>
      <c r="G327">
        <v>2</v>
      </c>
      <c r="H327" t="s">
        <v>32</v>
      </c>
      <c r="I327" t="s">
        <v>43</v>
      </c>
      <c r="J327">
        <v>0.3</v>
      </c>
      <c r="K327">
        <v>503.09999999999997</v>
      </c>
      <c r="L327">
        <v>1677</v>
      </c>
      <c r="M327">
        <v>1173.9000000000001</v>
      </c>
      <c r="N327" t="s">
        <v>114</v>
      </c>
    </row>
    <row r="328" spans="1:14" x14ac:dyDescent="0.2">
      <c r="A328">
        <v>3327</v>
      </c>
      <c r="B328" t="s">
        <v>372</v>
      </c>
      <c r="C328" t="s">
        <v>580</v>
      </c>
      <c r="D328">
        <v>1560</v>
      </c>
      <c r="E328" t="s">
        <v>31</v>
      </c>
      <c r="F328" s="1">
        <v>45442</v>
      </c>
      <c r="G328">
        <v>1</v>
      </c>
      <c r="H328" t="s">
        <v>71</v>
      </c>
      <c r="I328" t="s">
        <v>33</v>
      </c>
      <c r="J328">
        <v>0.1</v>
      </c>
      <c r="K328">
        <v>146.30000000000001</v>
      </c>
      <c r="L328">
        <v>1463</v>
      </c>
      <c r="M328">
        <v>1316.7</v>
      </c>
      <c r="N328" t="s">
        <v>44</v>
      </c>
    </row>
    <row r="329" spans="1:14" x14ac:dyDescent="0.2">
      <c r="A329">
        <v>3328</v>
      </c>
      <c r="B329" t="s">
        <v>581</v>
      </c>
      <c r="C329" t="s">
        <v>582</v>
      </c>
      <c r="D329">
        <v>1561</v>
      </c>
      <c r="E329" t="s">
        <v>37</v>
      </c>
      <c r="F329" s="1">
        <v>45372</v>
      </c>
      <c r="G329">
        <v>1</v>
      </c>
      <c r="H329" t="s">
        <v>32</v>
      </c>
      <c r="I329" t="s">
        <v>39</v>
      </c>
      <c r="J329">
        <v>0.3</v>
      </c>
      <c r="K329">
        <v>454.2</v>
      </c>
      <c r="L329">
        <v>1514</v>
      </c>
      <c r="M329">
        <v>1059.8</v>
      </c>
      <c r="N329" t="s">
        <v>114</v>
      </c>
    </row>
    <row r="330" spans="1:14" x14ac:dyDescent="0.2">
      <c r="A330">
        <v>3329</v>
      </c>
      <c r="B330" t="s">
        <v>583</v>
      </c>
      <c r="C330" t="s">
        <v>584</v>
      </c>
      <c r="D330">
        <v>1562</v>
      </c>
      <c r="E330" t="s">
        <v>51</v>
      </c>
      <c r="F330" s="1">
        <v>45504</v>
      </c>
      <c r="G330">
        <v>1</v>
      </c>
      <c r="H330" t="s">
        <v>38</v>
      </c>
      <c r="I330" t="s">
        <v>43</v>
      </c>
      <c r="J330">
        <v>0.2</v>
      </c>
      <c r="K330">
        <v>270.60000000000002</v>
      </c>
      <c r="L330">
        <v>1353</v>
      </c>
      <c r="M330">
        <v>1082.4000000000001</v>
      </c>
      <c r="N330" t="s">
        <v>34</v>
      </c>
    </row>
    <row r="331" spans="1:14" x14ac:dyDescent="0.2">
      <c r="A331">
        <v>3330</v>
      </c>
      <c r="B331" t="s">
        <v>585</v>
      </c>
      <c r="C331" t="s">
        <v>124</v>
      </c>
      <c r="D331">
        <v>1563</v>
      </c>
      <c r="E331" t="s">
        <v>37</v>
      </c>
      <c r="F331" s="1">
        <v>45648</v>
      </c>
      <c r="G331">
        <v>3</v>
      </c>
      <c r="H331" t="s">
        <v>32</v>
      </c>
      <c r="I331" t="s">
        <v>81</v>
      </c>
      <c r="J331">
        <v>0.3</v>
      </c>
      <c r="K331">
        <v>443.7</v>
      </c>
      <c r="L331">
        <v>1479</v>
      </c>
      <c r="M331">
        <v>1035.3</v>
      </c>
      <c r="N331" t="s">
        <v>54</v>
      </c>
    </row>
    <row r="332" spans="1:14" x14ac:dyDescent="0.2">
      <c r="A332">
        <v>3331</v>
      </c>
      <c r="B332" t="s">
        <v>586</v>
      </c>
      <c r="C332" t="s">
        <v>271</v>
      </c>
      <c r="D332">
        <v>1564</v>
      </c>
      <c r="E332" t="s">
        <v>92</v>
      </c>
      <c r="F332" s="1">
        <v>45628</v>
      </c>
      <c r="G332">
        <v>1</v>
      </c>
      <c r="H332" t="s">
        <v>32</v>
      </c>
      <c r="I332" t="s">
        <v>33</v>
      </c>
      <c r="J332">
        <v>0.3</v>
      </c>
      <c r="K332">
        <v>58.5</v>
      </c>
      <c r="L332">
        <v>195</v>
      </c>
      <c r="M332">
        <v>136.5</v>
      </c>
      <c r="N332" t="s">
        <v>44</v>
      </c>
    </row>
    <row r="333" spans="1:14" x14ac:dyDescent="0.2">
      <c r="A333">
        <v>3332</v>
      </c>
      <c r="B333" t="s">
        <v>587</v>
      </c>
      <c r="C333" t="s">
        <v>588</v>
      </c>
      <c r="D333">
        <v>1565</v>
      </c>
      <c r="E333" t="s">
        <v>37</v>
      </c>
      <c r="F333" s="1">
        <v>45642</v>
      </c>
      <c r="G333">
        <v>3</v>
      </c>
      <c r="H333" t="s">
        <v>32</v>
      </c>
      <c r="I333" t="s">
        <v>57</v>
      </c>
      <c r="J333">
        <v>0.3</v>
      </c>
      <c r="K333">
        <v>109.8</v>
      </c>
      <c r="L333">
        <v>366</v>
      </c>
      <c r="M333">
        <v>256.2</v>
      </c>
      <c r="N333" t="s">
        <v>54</v>
      </c>
    </row>
    <row r="334" spans="1:14" x14ac:dyDescent="0.2">
      <c r="A334">
        <v>3333</v>
      </c>
      <c r="B334" t="s">
        <v>589</v>
      </c>
      <c r="C334" t="s">
        <v>590</v>
      </c>
      <c r="D334">
        <v>1566</v>
      </c>
      <c r="E334" t="s">
        <v>42</v>
      </c>
      <c r="F334" s="1">
        <v>45611</v>
      </c>
      <c r="G334">
        <v>1</v>
      </c>
      <c r="H334" t="s">
        <v>32</v>
      </c>
      <c r="I334" t="s">
        <v>47</v>
      </c>
      <c r="J334">
        <v>0.25</v>
      </c>
      <c r="K334">
        <v>398.25</v>
      </c>
      <c r="L334">
        <v>1593</v>
      </c>
      <c r="M334">
        <v>1194.75</v>
      </c>
      <c r="N334" t="s">
        <v>48</v>
      </c>
    </row>
    <row r="335" spans="1:14" x14ac:dyDescent="0.2">
      <c r="A335">
        <v>3334</v>
      </c>
      <c r="B335" t="s">
        <v>591</v>
      </c>
      <c r="C335" t="s">
        <v>592</v>
      </c>
      <c r="D335">
        <v>1567</v>
      </c>
      <c r="E335" t="s">
        <v>51</v>
      </c>
      <c r="F335" s="1">
        <v>45568</v>
      </c>
      <c r="G335">
        <v>1</v>
      </c>
      <c r="H335" t="s">
        <v>38</v>
      </c>
      <c r="I335" t="s">
        <v>81</v>
      </c>
      <c r="J335">
        <v>0.2</v>
      </c>
      <c r="K335">
        <v>134.80000000000001</v>
      </c>
      <c r="L335">
        <v>674</v>
      </c>
      <c r="M335">
        <v>539.20000000000005</v>
      </c>
      <c r="N335" t="s">
        <v>34</v>
      </c>
    </row>
    <row r="336" spans="1:14" x14ac:dyDescent="0.2">
      <c r="A336">
        <v>3335</v>
      </c>
      <c r="B336" t="s">
        <v>593</v>
      </c>
      <c r="C336" t="s">
        <v>427</v>
      </c>
      <c r="D336">
        <v>1568</v>
      </c>
      <c r="E336" t="s">
        <v>37</v>
      </c>
      <c r="F336" s="1">
        <v>45391</v>
      </c>
      <c r="G336">
        <v>2</v>
      </c>
      <c r="H336" t="s">
        <v>32</v>
      </c>
      <c r="I336" t="s">
        <v>43</v>
      </c>
      <c r="J336">
        <v>0.3</v>
      </c>
      <c r="K336">
        <v>323.09999999999997</v>
      </c>
      <c r="L336">
        <v>1077</v>
      </c>
      <c r="M336">
        <v>753.90000000000009</v>
      </c>
      <c r="N336" t="s">
        <v>34</v>
      </c>
    </row>
    <row r="337" spans="1:14" x14ac:dyDescent="0.2">
      <c r="A337">
        <v>3336</v>
      </c>
      <c r="B337" t="s">
        <v>594</v>
      </c>
      <c r="C337" t="s">
        <v>595</v>
      </c>
      <c r="D337">
        <v>1569</v>
      </c>
      <c r="E337" t="s">
        <v>31</v>
      </c>
      <c r="F337" s="1">
        <v>45613</v>
      </c>
      <c r="G337">
        <v>3</v>
      </c>
      <c r="H337" t="s">
        <v>52</v>
      </c>
      <c r="I337" t="s">
        <v>39</v>
      </c>
      <c r="J337">
        <v>0.1</v>
      </c>
      <c r="K337">
        <v>174.20000000000002</v>
      </c>
      <c r="L337">
        <v>1742</v>
      </c>
      <c r="M337">
        <v>1567.8</v>
      </c>
      <c r="N337" t="s">
        <v>54</v>
      </c>
    </row>
    <row r="338" spans="1:14" x14ac:dyDescent="0.2">
      <c r="A338">
        <v>3337</v>
      </c>
      <c r="B338" t="s">
        <v>596</v>
      </c>
      <c r="C338" t="s">
        <v>390</v>
      </c>
      <c r="D338">
        <v>1570</v>
      </c>
      <c r="E338" t="s">
        <v>92</v>
      </c>
      <c r="F338" s="1">
        <v>45649</v>
      </c>
      <c r="G338">
        <v>3</v>
      </c>
      <c r="H338" t="s">
        <v>52</v>
      </c>
      <c r="I338" t="s">
        <v>33</v>
      </c>
      <c r="J338">
        <v>0.3</v>
      </c>
      <c r="K338">
        <v>364.8</v>
      </c>
      <c r="L338">
        <v>1216</v>
      </c>
      <c r="M338">
        <v>851.2</v>
      </c>
      <c r="N338" t="s">
        <v>44</v>
      </c>
    </row>
    <row r="339" spans="1:14" x14ac:dyDescent="0.2">
      <c r="A339">
        <v>3338</v>
      </c>
      <c r="B339" t="s">
        <v>169</v>
      </c>
      <c r="C339" t="s">
        <v>597</v>
      </c>
      <c r="D339">
        <v>1571</v>
      </c>
      <c r="E339" t="s">
        <v>76</v>
      </c>
      <c r="F339" s="1">
        <v>45529</v>
      </c>
      <c r="G339">
        <v>1</v>
      </c>
      <c r="H339" t="s">
        <v>52</v>
      </c>
      <c r="I339" t="s">
        <v>39</v>
      </c>
      <c r="J339">
        <v>0.25</v>
      </c>
      <c r="K339">
        <v>77.25</v>
      </c>
      <c r="L339">
        <v>309</v>
      </c>
      <c r="M339">
        <v>231.75</v>
      </c>
      <c r="N339" t="s">
        <v>114</v>
      </c>
    </row>
    <row r="340" spans="1:14" x14ac:dyDescent="0.2">
      <c r="A340">
        <v>3339</v>
      </c>
      <c r="B340" t="s">
        <v>598</v>
      </c>
      <c r="C340" t="s">
        <v>185</v>
      </c>
      <c r="D340">
        <v>1572</v>
      </c>
      <c r="E340" t="s">
        <v>37</v>
      </c>
      <c r="F340" s="1">
        <v>45411</v>
      </c>
      <c r="G340">
        <v>1</v>
      </c>
      <c r="H340" t="s">
        <v>52</v>
      </c>
      <c r="I340" t="s">
        <v>64</v>
      </c>
      <c r="J340">
        <v>0.3</v>
      </c>
      <c r="K340">
        <v>28.2</v>
      </c>
      <c r="L340">
        <v>94</v>
      </c>
      <c r="M340">
        <v>65.8</v>
      </c>
      <c r="N340" t="s">
        <v>34</v>
      </c>
    </row>
    <row r="341" spans="1:14" x14ac:dyDescent="0.2">
      <c r="A341">
        <v>3340</v>
      </c>
      <c r="B341" t="s">
        <v>200</v>
      </c>
      <c r="C341" t="s">
        <v>449</v>
      </c>
      <c r="D341">
        <v>1573</v>
      </c>
      <c r="E341" t="s">
        <v>31</v>
      </c>
      <c r="F341" s="1">
        <v>45385</v>
      </c>
      <c r="G341">
        <v>3</v>
      </c>
      <c r="H341" t="s">
        <v>32</v>
      </c>
      <c r="I341" t="s">
        <v>53</v>
      </c>
      <c r="J341">
        <v>0.1</v>
      </c>
      <c r="K341">
        <v>138.9</v>
      </c>
      <c r="L341">
        <v>1389</v>
      </c>
      <c r="M341">
        <v>1250.0999999999999</v>
      </c>
      <c r="N341" t="s">
        <v>34</v>
      </c>
    </row>
    <row r="342" spans="1:14" x14ac:dyDescent="0.2">
      <c r="A342">
        <v>3341</v>
      </c>
      <c r="B342" t="s">
        <v>258</v>
      </c>
      <c r="C342" t="s">
        <v>599</v>
      </c>
      <c r="D342">
        <v>1574</v>
      </c>
      <c r="E342" t="s">
        <v>92</v>
      </c>
      <c r="F342" s="1">
        <v>45656</v>
      </c>
      <c r="G342">
        <v>3</v>
      </c>
      <c r="H342" t="s">
        <v>38</v>
      </c>
      <c r="I342" t="s">
        <v>64</v>
      </c>
      <c r="J342">
        <v>0.3</v>
      </c>
      <c r="K342">
        <v>299.09999999999997</v>
      </c>
      <c r="L342">
        <v>997</v>
      </c>
      <c r="M342">
        <v>697.90000000000009</v>
      </c>
      <c r="N342" t="s">
        <v>54</v>
      </c>
    </row>
    <row r="343" spans="1:14" x14ac:dyDescent="0.2">
      <c r="A343">
        <v>3342</v>
      </c>
      <c r="B343" t="s">
        <v>448</v>
      </c>
      <c r="C343" t="s">
        <v>600</v>
      </c>
      <c r="D343">
        <v>1575</v>
      </c>
      <c r="E343" t="s">
        <v>37</v>
      </c>
      <c r="F343" s="1">
        <v>45464</v>
      </c>
      <c r="G343">
        <v>1</v>
      </c>
      <c r="H343" t="s">
        <v>32</v>
      </c>
      <c r="I343" t="s">
        <v>39</v>
      </c>
      <c r="J343">
        <v>0.3</v>
      </c>
      <c r="K343">
        <v>168.9</v>
      </c>
      <c r="L343">
        <v>563</v>
      </c>
      <c r="M343">
        <v>394.1</v>
      </c>
      <c r="N343" t="s">
        <v>54</v>
      </c>
    </row>
    <row r="344" spans="1:14" x14ac:dyDescent="0.2">
      <c r="A344">
        <v>3343</v>
      </c>
      <c r="B344" t="s">
        <v>601</v>
      </c>
      <c r="C344" t="s">
        <v>602</v>
      </c>
      <c r="D344">
        <v>1576</v>
      </c>
      <c r="E344" t="s">
        <v>51</v>
      </c>
      <c r="F344" s="1">
        <v>45346</v>
      </c>
      <c r="G344">
        <v>3</v>
      </c>
      <c r="H344" t="s">
        <v>32</v>
      </c>
      <c r="I344" t="s">
        <v>81</v>
      </c>
      <c r="J344">
        <v>0.2</v>
      </c>
      <c r="K344">
        <v>178</v>
      </c>
      <c r="L344">
        <v>890</v>
      </c>
      <c r="M344">
        <v>712</v>
      </c>
      <c r="N344" t="s">
        <v>114</v>
      </c>
    </row>
    <row r="345" spans="1:14" x14ac:dyDescent="0.2">
      <c r="A345">
        <v>3344</v>
      </c>
      <c r="B345" t="s">
        <v>603</v>
      </c>
      <c r="C345" t="s">
        <v>604</v>
      </c>
      <c r="D345">
        <v>1577</v>
      </c>
      <c r="E345" t="s">
        <v>76</v>
      </c>
      <c r="F345" s="1">
        <v>45535</v>
      </c>
      <c r="G345">
        <v>2</v>
      </c>
      <c r="H345" t="s">
        <v>52</v>
      </c>
      <c r="I345" t="s">
        <v>47</v>
      </c>
      <c r="J345">
        <v>0.25</v>
      </c>
      <c r="K345">
        <v>400.5</v>
      </c>
      <c r="L345">
        <v>1602</v>
      </c>
      <c r="M345">
        <v>1201.5</v>
      </c>
      <c r="N345" t="s">
        <v>34</v>
      </c>
    </row>
    <row r="346" spans="1:14" x14ac:dyDescent="0.2">
      <c r="A346">
        <v>3345</v>
      </c>
      <c r="B346" t="s">
        <v>381</v>
      </c>
      <c r="C346" t="s">
        <v>605</v>
      </c>
      <c r="D346">
        <v>1578</v>
      </c>
      <c r="E346" t="s">
        <v>37</v>
      </c>
      <c r="F346" s="1">
        <v>45460</v>
      </c>
      <c r="G346">
        <v>1</v>
      </c>
      <c r="H346" t="s">
        <v>71</v>
      </c>
      <c r="I346" t="s">
        <v>57</v>
      </c>
      <c r="J346">
        <v>0.3</v>
      </c>
      <c r="K346">
        <v>30.9</v>
      </c>
      <c r="L346">
        <v>103</v>
      </c>
      <c r="M346">
        <v>72.099999999999994</v>
      </c>
      <c r="N346" t="s">
        <v>54</v>
      </c>
    </row>
    <row r="347" spans="1:14" x14ac:dyDescent="0.2">
      <c r="A347">
        <v>3346</v>
      </c>
      <c r="B347" t="s">
        <v>197</v>
      </c>
      <c r="C347" t="s">
        <v>606</v>
      </c>
      <c r="D347">
        <v>1579</v>
      </c>
      <c r="E347" t="s">
        <v>76</v>
      </c>
      <c r="F347" s="1">
        <v>45359</v>
      </c>
      <c r="G347">
        <v>2</v>
      </c>
      <c r="H347" t="s">
        <v>38</v>
      </c>
      <c r="I347" t="s">
        <v>57</v>
      </c>
      <c r="J347">
        <v>0.25</v>
      </c>
      <c r="K347">
        <v>103.75</v>
      </c>
      <c r="L347">
        <v>415</v>
      </c>
      <c r="M347">
        <v>311.25</v>
      </c>
      <c r="N347" t="s">
        <v>54</v>
      </c>
    </row>
    <row r="348" spans="1:14" x14ac:dyDescent="0.2">
      <c r="A348">
        <v>3347</v>
      </c>
      <c r="B348" t="s">
        <v>235</v>
      </c>
      <c r="C348" t="s">
        <v>607</v>
      </c>
      <c r="D348">
        <v>1580</v>
      </c>
      <c r="E348" t="s">
        <v>42</v>
      </c>
      <c r="F348" s="1">
        <v>45379</v>
      </c>
      <c r="G348">
        <v>3</v>
      </c>
      <c r="H348" t="s">
        <v>32</v>
      </c>
      <c r="I348" t="s">
        <v>81</v>
      </c>
      <c r="J348">
        <v>0.25</v>
      </c>
      <c r="K348">
        <v>229.5</v>
      </c>
      <c r="L348">
        <v>918</v>
      </c>
      <c r="M348">
        <v>688.5</v>
      </c>
      <c r="N348" t="s">
        <v>34</v>
      </c>
    </row>
    <row r="349" spans="1:14" x14ac:dyDescent="0.2">
      <c r="A349">
        <v>3348</v>
      </c>
      <c r="B349" t="s">
        <v>608</v>
      </c>
      <c r="C349" t="s">
        <v>454</v>
      </c>
      <c r="D349">
        <v>1581</v>
      </c>
      <c r="E349" t="s">
        <v>92</v>
      </c>
      <c r="F349" s="1">
        <v>45604</v>
      </c>
      <c r="G349">
        <v>2</v>
      </c>
      <c r="H349" t="s">
        <v>52</v>
      </c>
      <c r="I349" t="s">
        <v>81</v>
      </c>
      <c r="J349">
        <v>0.3</v>
      </c>
      <c r="K349">
        <v>122.1</v>
      </c>
      <c r="L349">
        <v>407</v>
      </c>
      <c r="M349">
        <v>284.89999999999998</v>
      </c>
      <c r="N349" t="s">
        <v>44</v>
      </c>
    </row>
    <row r="350" spans="1:14" x14ac:dyDescent="0.2">
      <c r="A350">
        <v>3349</v>
      </c>
      <c r="B350" t="s">
        <v>144</v>
      </c>
      <c r="C350" t="s">
        <v>609</v>
      </c>
      <c r="D350">
        <v>1582</v>
      </c>
      <c r="E350" t="s">
        <v>76</v>
      </c>
      <c r="F350" s="1">
        <v>45564</v>
      </c>
      <c r="G350">
        <v>1</v>
      </c>
      <c r="H350" t="s">
        <v>52</v>
      </c>
      <c r="I350" t="s">
        <v>64</v>
      </c>
      <c r="J350">
        <v>0.25</v>
      </c>
      <c r="K350">
        <v>176</v>
      </c>
      <c r="L350">
        <v>704</v>
      </c>
      <c r="M350">
        <v>528</v>
      </c>
      <c r="N350" t="s">
        <v>48</v>
      </c>
    </row>
    <row r="351" spans="1:14" x14ac:dyDescent="0.2">
      <c r="A351">
        <v>3350</v>
      </c>
      <c r="B351" t="s">
        <v>610</v>
      </c>
      <c r="C351" t="s">
        <v>611</v>
      </c>
      <c r="D351">
        <v>1583</v>
      </c>
      <c r="E351" t="s">
        <v>92</v>
      </c>
      <c r="F351" s="1">
        <v>45590</v>
      </c>
      <c r="G351">
        <v>2</v>
      </c>
      <c r="H351" t="s">
        <v>52</v>
      </c>
      <c r="I351" t="s">
        <v>57</v>
      </c>
      <c r="J351">
        <v>0.3</v>
      </c>
      <c r="K351">
        <v>176.4</v>
      </c>
      <c r="L351">
        <v>588</v>
      </c>
      <c r="M351">
        <v>411.6</v>
      </c>
      <c r="N351" t="s">
        <v>48</v>
      </c>
    </row>
    <row r="352" spans="1:14" x14ac:dyDescent="0.2">
      <c r="A352">
        <v>3351</v>
      </c>
      <c r="B352" t="s">
        <v>203</v>
      </c>
      <c r="C352" t="s">
        <v>612</v>
      </c>
      <c r="D352">
        <v>1584</v>
      </c>
      <c r="E352" t="s">
        <v>42</v>
      </c>
      <c r="F352" s="1">
        <v>45588</v>
      </c>
      <c r="G352">
        <v>3</v>
      </c>
      <c r="H352" t="s">
        <v>32</v>
      </c>
      <c r="I352" t="s">
        <v>57</v>
      </c>
      <c r="J352">
        <v>0.25</v>
      </c>
      <c r="K352">
        <v>264.5</v>
      </c>
      <c r="L352">
        <v>1058</v>
      </c>
      <c r="M352">
        <v>793.5</v>
      </c>
      <c r="N352" t="s">
        <v>114</v>
      </c>
    </row>
    <row r="353" spans="1:14" x14ac:dyDescent="0.2">
      <c r="A353">
        <v>3352</v>
      </c>
      <c r="B353" t="s">
        <v>613</v>
      </c>
      <c r="C353" t="s">
        <v>374</v>
      </c>
      <c r="D353">
        <v>1585</v>
      </c>
      <c r="E353" t="s">
        <v>76</v>
      </c>
      <c r="F353" s="1">
        <v>45411</v>
      </c>
      <c r="G353">
        <v>2</v>
      </c>
      <c r="H353" t="s">
        <v>71</v>
      </c>
      <c r="I353" t="s">
        <v>33</v>
      </c>
      <c r="J353">
        <v>0.25</v>
      </c>
      <c r="K353">
        <v>173</v>
      </c>
      <c r="L353">
        <v>692</v>
      </c>
      <c r="M353">
        <v>519</v>
      </c>
      <c r="N353" t="s">
        <v>44</v>
      </c>
    </row>
    <row r="354" spans="1:14" x14ac:dyDescent="0.2">
      <c r="A354">
        <v>3353</v>
      </c>
      <c r="B354" t="s">
        <v>426</v>
      </c>
      <c r="C354" t="s">
        <v>124</v>
      </c>
      <c r="D354">
        <v>1586</v>
      </c>
      <c r="E354" t="s">
        <v>37</v>
      </c>
      <c r="F354" s="1">
        <v>45460</v>
      </c>
      <c r="G354">
        <v>3</v>
      </c>
      <c r="H354" t="s">
        <v>71</v>
      </c>
      <c r="I354" t="s">
        <v>39</v>
      </c>
      <c r="J354">
        <v>0.3</v>
      </c>
      <c r="K354">
        <v>491.7</v>
      </c>
      <c r="L354">
        <v>1639</v>
      </c>
      <c r="M354">
        <v>1147.3</v>
      </c>
      <c r="N354" t="s">
        <v>54</v>
      </c>
    </row>
    <row r="355" spans="1:14" x14ac:dyDescent="0.2">
      <c r="A355">
        <v>3354</v>
      </c>
      <c r="B355" t="s">
        <v>240</v>
      </c>
      <c r="C355" t="s">
        <v>614</v>
      </c>
      <c r="D355">
        <v>1587</v>
      </c>
      <c r="E355" t="s">
        <v>76</v>
      </c>
      <c r="F355" s="1">
        <v>45396</v>
      </c>
      <c r="G355">
        <v>1</v>
      </c>
      <c r="H355" t="s">
        <v>32</v>
      </c>
      <c r="I355" t="s">
        <v>43</v>
      </c>
      <c r="J355">
        <v>0.25</v>
      </c>
      <c r="K355">
        <v>295.25</v>
      </c>
      <c r="L355">
        <v>1181</v>
      </c>
      <c r="M355">
        <v>885.75</v>
      </c>
      <c r="N355" t="s">
        <v>114</v>
      </c>
    </row>
    <row r="356" spans="1:14" x14ac:dyDescent="0.2">
      <c r="A356">
        <v>3355</v>
      </c>
      <c r="B356" t="s">
        <v>615</v>
      </c>
      <c r="C356" t="s">
        <v>616</v>
      </c>
      <c r="D356">
        <v>1588</v>
      </c>
      <c r="E356" t="s">
        <v>92</v>
      </c>
      <c r="F356" s="1">
        <v>45552</v>
      </c>
      <c r="G356">
        <v>2</v>
      </c>
      <c r="H356" t="s">
        <v>32</v>
      </c>
      <c r="I356" t="s">
        <v>39</v>
      </c>
      <c r="J356">
        <v>0.3</v>
      </c>
      <c r="K356">
        <v>98.7</v>
      </c>
      <c r="L356">
        <v>329</v>
      </c>
      <c r="M356">
        <v>230.3</v>
      </c>
      <c r="N356" t="s">
        <v>44</v>
      </c>
    </row>
    <row r="357" spans="1:14" x14ac:dyDescent="0.2">
      <c r="A357">
        <v>3356</v>
      </c>
      <c r="B357" t="s">
        <v>411</v>
      </c>
      <c r="C357" t="s">
        <v>617</v>
      </c>
      <c r="D357">
        <v>1589</v>
      </c>
      <c r="E357" t="s">
        <v>51</v>
      </c>
      <c r="F357" s="1">
        <v>45483</v>
      </c>
      <c r="G357">
        <v>2</v>
      </c>
      <c r="H357" t="s">
        <v>38</v>
      </c>
      <c r="I357" t="s">
        <v>39</v>
      </c>
      <c r="J357">
        <v>0.2</v>
      </c>
      <c r="K357">
        <v>239.8</v>
      </c>
      <c r="L357">
        <v>1199</v>
      </c>
      <c r="M357">
        <v>959.2</v>
      </c>
      <c r="N357" t="s">
        <v>114</v>
      </c>
    </row>
    <row r="358" spans="1:14" x14ac:dyDescent="0.2">
      <c r="A358">
        <v>3357</v>
      </c>
      <c r="B358" t="s">
        <v>286</v>
      </c>
      <c r="C358" t="s">
        <v>618</v>
      </c>
      <c r="D358">
        <v>1590</v>
      </c>
      <c r="E358" t="s">
        <v>51</v>
      </c>
      <c r="F358" s="1">
        <v>45507</v>
      </c>
      <c r="G358">
        <v>2</v>
      </c>
      <c r="H358" t="s">
        <v>52</v>
      </c>
      <c r="I358" t="s">
        <v>53</v>
      </c>
      <c r="J358">
        <v>0.2</v>
      </c>
      <c r="K358">
        <v>97.800000000000011</v>
      </c>
      <c r="L358">
        <v>489</v>
      </c>
      <c r="M358">
        <v>391.2</v>
      </c>
      <c r="N358" t="s">
        <v>34</v>
      </c>
    </row>
    <row r="359" spans="1:14" x14ac:dyDescent="0.2">
      <c r="A359">
        <v>3358</v>
      </c>
      <c r="B359" t="s">
        <v>138</v>
      </c>
      <c r="C359" t="s">
        <v>218</v>
      </c>
      <c r="D359">
        <v>1591</v>
      </c>
      <c r="E359" t="s">
        <v>42</v>
      </c>
      <c r="F359" s="1">
        <v>45618</v>
      </c>
      <c r="G359">
        <v>1</v>
      </c>
      <c r="H359" t="s">
        <v>32</v>
      </c>
      <c r="I359" t="s">
        <v>39</v>
      </c>
      <c r="J359">
        <v>0.25</v>
      </c>
      <c r="K359">
        <v>97.75</v>
      </c>
      <c r="L359">
        <v>391</v>
      </c>
      <c r="M359">
        <v>293.25</v>
      </c>
      <c r="N359" t="s">
        <v>44</v>
      </c>
    </row>
    <row r="360" spans="1:14" x14ac:dyDescent="0.2">
      <c r="A360">
        <v>3359</v>
      </c>
      <c r="B360" t="s">
        <v>619</v>
      </c>
      <c r="C360" t="s">
        <v>620</v>
      </c>
      <c r="D360">
        <v>1592</v>
      </c>
      <c r="E360" t="s">
        <v>31</v>
      </c>
      <c r="F360" s="1">
        <v>45446</v>
      </c>
      <c r="G360">
        <v>1</v>
      </c>
      <c r="H360" t="s">
        <v>71</v>
      </c>
      <c r="I360" t="s">
        <v>81</v>
      </c>
      <c r="J360">
        <v>0.1</v>
      </c>
      <c r="K360">
        <v>18.7</v>
      </c>
      <c r="L360">
        <v>187</v>
      </c>
      <c r="M360">
        <v>168.3</v>
      </c>
      <c r="N360" t="s">
        <v>114</v>
      </c>
    </row>
    <row r="361" spans="1:14" x14ac:dyDescent="0.2">
      <c r="A361">
        <v>3360</v>
      </c>
      <c r="B361" t="s">
        <v>275</v>
      </c>
      <c r="C361" t="s">
        <v>621</v>
      </c>
      <c r="D361">
        <v>1593</v>
      </c>
      <c r="E361" t="s">
        <v>76</v>
      </c>
      <c r="F361" s="1">
        <v>45506</v>
      </c>
      <c r="G361">
        <v>2</v>
      </c>
      <c r="H361" t="s">
        <v>32</v>
      </c>
      <c r="I361" t="s">
        <v>81</v>
      </c>
      <c r="J361">
        <v>0.25</v>
      </c>
      <c r="K361">
        <v>275</v>
      </c>
      <c r="L361">
        <v>1100</v>
      </c>
      <c r="M361">
        <v>825</v>
      </c>
      <c r="N361" t="s">
        <v>44</v>
      </c>
    </row>
    <row r="362" spans="1:14" x14ac:dyDescent="0.2">
      <c r="A362">
        <v>3361</v>
      </c>
      <c r="B362" t="s">
        <v>622</v>
      </c>
      <c r="C362" t="s">
        <v>242</v>
      </c>
      <c r="D362">
        <v>1594</v>
      </c>
      <c r="E362" t="s">
        <v>76</v>
      </c>
      <c r="F362" s="1">
        <v>45576</v>
      </c>
      <c r="G362">
        <v>1</v>
      </c>
      <c r="H362" t="s">
        <v>52</v>
      </c>
      <c r="I362" t="s">
        <v>33</v>
      </c>
      <c r="J362">
        <v>0.25</v>
      </c>
      <c r="K362">
        <v>359.25</v>
      </c>
      <c r="L362">
        <v>1437</v>
      </c>
      <c r="M362">
        <v>1077.75</v>
      </c>
      <c r="N362" t="s">
        <v>48</v>
      </c>
    </row>
    <row r="363" spans="1:14" x14ac:dyDescent="0.2">
      <c r="A363">
        <v>3362</v>
      </c>
      <c r="B363" t="s">
        <v>623</v>
      </c>
      <c r="C363" t="s">
        <v>624</v>
      </c>
      <c r="D363">
        <v>1595</v>
      </c>
      <c r="E363" t="s">
        <v>76</v>
      </c>
      <c r="F363" s="1">
        <v>45441</v>
      </c>
      <c r="G363">
        <v>1</v>
      </c>
      <c r="H363" t="s">
        <v>52</v>
      </c>
      <c r="I363" t="s">
        <v>43</v>
      </c>
      <c r="J363">
        <v>0.25</v>
      </c>
      <c r="K363">
        <v>97.25</v>
      </c>
      <c r="L363">
        <v>389</v>
      </c>
      <c r="M363">
        <v>291.75</v>
      </c>
      <c r="N363" t="s">
        <v>114</v>
      </c>
    </row>
    <row r="364" spans="1:14" x14ac:dyDescent="0.2">
      <c r="A364">
        <v>3363</v>
      </c>
      <c r="B364" t="s">
        <v>351</v>
      </c>
      <c r="C364" t="s">
        <v>531</v>
      </c>
      <c r="D364">
        <v>1596</v>
      </c>
      <c r="E364" t="s">
        <v>92</v>
      </c>
      <c r="F364" s="1">
        <v>45464</v>
      </c>
      <c r="G364">
        <v>2</v>
      </c>
      <c r="H364" t="s">
        <v>71</v>
      </c>
      <c r="I364" t="s">
        <v>81</v>
      </c>
      <c r="J364">
        <v>0.3</v>
      </c>
      <c r="K364">
        <v>208.79999999999998</v>
      </c>
      <c r="L364">
        <v>696</v>
      </c>
      <c r="M364">
        <v>487.20000000000005</v>
      </c>
      <c r="N364" t="s">
        <v>54</v>
      </c>
    </row>
    <row r="365" spans="1:14" x14ac:dyDescent="0.2">
      <c r="A365">
        <v>3364</v>
      </c>
      <c r="B365" t="s">
        <v>411</v>
      </c>
      <c r="C365" t="s">
        <v>625</v>
      </c>
      <c r="D365">
        <v>1597</v>
      </c>
      <c r="E365" t="s">
        <v>31</v>
      </c>
      <c r="F365" s="1">
        <v>45348</v>
      </c>
      <c r="G365">
        <v>2</v>
      </c>
      <c r="H365" t="s">
        <v>52</v>
      </c>
      <c r="I365" t="s">
        <v>33</v>
      </c>
      <c r="J365">
        <v>0.1</v>
      </c>
      <c r="K365">
        <v>79.400000000000006</v>
      </c>
      <c r="L365">
        <v>794</v>
      </c>
      <c r="M365">
        <v>714.6</v>
      </c>
      <c r="N365" t="s">
        <v>114</v>
      </c>
    </row>
    <row r="366" spans="1:14" x14ac:dyDescent="0.2">
      <c r="A366">
        <v>3365</v>
      </c>
      <c r="B366" t="s">
        <v>626</v>
      </c>
      <c r="C366" t="s">
        <v>399</v>
      </c>
      <c r="D366">
        <v>1598</v>
      </c>
      <c r="E366" t="s">
        <v>76</v>
      </c>
      <c r="F366" s="1">
        <v>45582</v>
      </c>
      <c r="G366">
        <v>3</v>
      </c>
      <c r="H366" t="s">
        <v>52</v>
      </c>
      <c r="I366" t="s">
        <v>57</v>
      </c>
      <c r="J366">
        <v>0.25</v>
      </c>
      <c r="K366">
        <v>199.5</v>
      </c>
      <c r="L366">
        <v>798</v>
      </c>
      <c r="M366">
        <v>598.5</v>
      </c>
      <c r="N366" t="s">
        <v>54</v>
      </c>
    </row>
    <row r="367" spans="1:14" x14ac:dyDescent="0.2">
      <c r="A367">
        <v>3366</v>
      </c>
      <c r="B367" t="s">
        <v>627</v>
      </c>
      <c r="C367" t="s">
        <v>206</v>
      </c>
      <c r="D367">
        <v>1599</v>
      </c>
      <c r="E367" t="s">
        <v>31</v>
      </c>
      <c r="F367" s="1">
        <v>45563</v>
      </c>
      <c r="G367">
        <v>1</v>
      </c>
      <c r="H367" t="s">
        <v>32</v>
      </c>
      <c r="I367" t="s">
        <v>33</v>
      </c>
      <c r="J367">
        <v>0.1</v>
      </c>
      <c r="K367">
        <v>100.9</v>
      </c>
      <c r="L367">
        <v>1009</v>
      </c>
      <c r="M367">
        <v>908.1</v>
      </c>
      <c r="N367" t="s">
        <v>44</v>
      </c>
    </row>
    <row r="368" spans="1:14" x14ac:dyDescent="0.2">
      <c r="A368">
        <v>3367</v>
      </c>
      <c r="B368" t="s">
        <v>105</v>
      </c>
      <c r="C368" t="s">
        <v>190</v>
      </c>
      <c r="D368">
        <v>1600</v>
      </c>
      <c r="E368" t="s">
        <v>92</v>
      </c>
      <c r="F368" s="1">
        <v>45349</v>
      </c>
      <c r="G368">
        <v>2</v>
      </c>
      <c r="H368" t="s">
        <v>38</v>
      </c>
      <c r="I368" t="s">
        <v>43</v>
      </c>
      <c r="J368">
        <v>0.3</v>
      </c>
      <c r="K368">
        <v>364.5</v>
      </c>
      <c r="L368">
        <v>1215</v>
      </c>
      <c r="M368">
        <v>850.5</v>
      </c>
      <c r="N368" t="s">
        <v>54</v>
      </c>
    </row>
    <row r="369" spans="1:14" x14ac:dyDescent="0.2">
      <c r="A369">
        <v>3368</v>
      </c>
      <c r="B369" t="s">
        <v>628</v>
      </c>
      <c r="C369" t="s">
        <v>629</v>
      </c>
      <c r="D369">
        <v>1601</v>
      </c>
      <c r="E369" t="s">
        <v>37</v>
      </c>
      <c r="F369" s="1">
        <v>45631</v>
      </c>
      <c r="G369">
        <v>3</v>
      </c>
      <c r="H369" t="s">
        <v>52</v>
      </c>
      <c r="I369" t="s">
        <v>53</v>
      </c>
      <c r="J369">
        <v>0.3</v>
      </c>
      <c r="K369">
        <v>499.5</v>
      </c>
      <c r="L369">
        <v>1665</v>
      </c>
      <c r="M369">
        <v>1165.5</v>
      </c>
      <c r="N369" t="s">
        <v>34</v>
      </c>
    </row>
    <row r="370" spans="1:14" x14ac:dyDescent="0.2">
      <c r="A370">
        <v>3369</v>
      </c>
      <c r="B370" t="s">
        <v>209</v>
      </c>
      <c r="C370" t="s">
        <v>630</v>
      </c>
      <c r="D370">
        <v>1602</v>
      </c>
      <c r="E370" t="s">
        <v>42</v>
      </c>
      <c r="F370" s="1">
        <v>45337</v>
      </c>
      <c r="G370">
        <v>3</v>
      </c>
      <c r="H370" t="s">
        <v>32</v>
      </c>
      <c r="I370" t="s">
        <v>33</v>
      </c>
      <c r="J370">
        <v>0.25</v>
      </c>
      <c r="K370">
        <v>166.75</v>
      </c>
      <c r="L370">
        <v>667</v>
      </c>
      <c r="M370">
        <v>500.25</v>
      </c>
      <c r="N370" t="s">
        <v>54</v>
      </c>
    </row>
    <row r="371" spans="1:14" x14ac:dyDescent="0.2">
      <c r="A371">
        <v>3370</v>
      </c>
      <c r="B371" t="s">
        <v>631</v>
      </c>
      <c r="C371" t="s">
        <v>632</v>
      </c>
      <c r="D371">
        <v>1603</v>
      </c>
      <c r="E371" t="s">
        <v>92</v>
      </c>
      <c r="F371" s="1">
        <v>45576</v>
      </c>
      <c r="G371">
        <v>2</v>
      </c>
      <c r="H371" t="s">
        <v>32</v>
      </c>
      <c r="I371" t="s">
        <v>64</v>
      </c>
      <c r="J371">
        <v>0.3</v>
      </c>
      <c r="K371">
        <v>354</v>
      </c>
      <c r="L371">
        <v>1180</v>
      </c>
      <c r="M371">
        <v>826</v>
      </c>
      <c r="N371" t="s">
        <v>48</v>
      </c>
    </row>
    <row r="372" spans="1:14" x14ac:dyDescent="0.2">
      <c r="A372">
        <v>3371</v>
      </c>
      <c r="B372" t="s">
        <v>633</v>
      </c>
      <c r="C372" t="s">
        <v>607</v>
      </c>
      <c r="D372">
        <v>1604</v>
      </c>
      <c r="E372" t="s">
        <v>76</v>
      </c>
      <c r="F372" s="1">
        <v>45628</v>
      </c>
      <c r="G372">
        <v>2</v>
      </c>
      <c r="H372" t="s">
        <v>52</v>
      </c>
      <c r="I372" t="s">
        <v>33</v>
      </c>
      <c r="J372">
        <v>0.25</v>
      </c>
      <c r="K372">
        <v>121.25</v>
      </c>
      <c r="L372">
        <v>485</v>
      </c>
      <c r="M372">
        <v>363.75</v>
      </c>
      <c r="N372" t="s">
        <v>54</v>
      </c>
    </row>
    <row r="373" spans="1:14" x14ac:dyDescent="0.2">
      <c r="A373">
        <v>3372</v>
      </c>
      <c r="B373" t="s">
        <v>634</v>
      </c>
      <c r="C373" t="s">
        <v>635</v>
      </c>
      <c r="D373">
        <v>1605</v>
      </c>
      <c r="E373" t="s">
        <v>76</v>
      </c>
      <c r="F373" s="1">
        <v>45353</v>
      </c>
      <c r="G373">
        <v>3</v>
      </c>
      <c r="H373" t="s">
        <v>52</v>
      </c>
      <c r="I373" t="s">
        <v>47</v>
      </c>
      <c r="J373">
        <v>0.25</v>
      </c>
      <c r="K373">
        <v>75.25</v>
      </c>
      <c r="L373">
        <v>301</v>
      </c>
      <c r="M373">
        <v>225.75</v>
      </c>
      <c r="N373" t="s">
        <v>44</v>
      </c>
    </row>
    <row r="374" spans="1:14" x14ac:dyDescent="0.2">
      <c r="A374">
        <v>3373</v>
      </c>
      <c r="B374" t="s">
        <v>636</v>
      </c>
      <c r="C374" t="s">
        <v>372</v>
      </c>
      <c r="D374">
        <v>1606</v>
      </c>
      <c r="E374" t="s">
        <v>92</v>
      </c>
      <c r="F374" s="1">
        <v>45370</v>
      </c>
      <c r="G374">
        <v>3</v>
      </c>
      <c r="H374" t="s">
        <v>52</v>
      </c>
      <c r="I374" t="s">
        <v>64</v>
      </c>
      <c r="J374">
        <v>0.3</v>
      </c>
      <c r="K374">
        <v>365.4</v>
      </c>
      <c r="L374">
        <v>1218</v>
      </c>
      <c r="M374">
        <v>852.6</v>
      </c>
      <c r="N374" t="s">
        <v>34</v>
      </c>
    </row>
    <row r="375" spans="1:14" x14ac:dyDescent="0.2">
      <c r="A375">
        <v>3374</v>
      </c>
      <c r="B375" t="s">
        <v>637</v>
      </c>
      <c r="C375" t="s">
        <v>501</v>
      </c>
      <c r="D375">
        <v>1607</v>
      </c>
      <c r="E375" t="s">
        <v>37</v>
      </c>
      <c r="F375" s="1">
        <v>45501</v>
      </c>
      <c r="G375">
        <v>3</v>
      </c>
      <c r="H375" t="s">
        <v>32</v>
      </c>
      <c r="I375" t="s">
        <v>53</v>
      </c>
      <c r="J375">
        <v>0.3</v>
      </c>
      <c r="K375">
        <v>36.299999999999997</v>
      </c>
      <c r="L375">
        <v>121</v>
      </c>
      <c r="M375">
        <v>84.7</v>
      </c>
      <c r="N375" t="s">
        <v>44</v>
      </c>
    </row>
    <row r="376" spans="1:14" x14ac:dyDescent="0.2">
      <c r="A376">
        <v>3375</v>
      </c>
      <c r="B376" t="s">
        <v>568</v>
      </c>
      <c r="C376" t="s">
        <v>396</v>
      </c>
      <c r="D376">
        <v>1608</v>
      </c>
      <c r="E376" t="s">
        <v>31</v>
      </c>
      <c r="F376" s="1">
        <v>45377</v>
      </c>
      <c r="G376">
        <v>1</v>
      </c>
      <c r="H376" t="s">
        <v>52</v>
      </c>
      <c r="I376" t="s">
        <v>33</v>
      </c>
      <c r="J376">
        <v>0.1</v>
      </c>
      <c r="K376">
        <v>68</v>
      </c>
      <c r="L376">
        <v>680</v>
      </c>
      <c r="M376">
        <v>612</v>
      </c>
      <c r="N376" t="s">
        <v>114</v>
      </c>
    </row>
    <row r="377" spans="1:14" x14ac:dyDescent="0.2">
      <c r="A377">
        <v>3376</v>
      </c>
      <c r="B377" t="s">
        <v>638</v>
      </c>
      <c r="C377" t="s">
        <v>639</v>
      </c>
      <c r="D377">
        <v>1609</v>
      </c>
      <c r="E377" t="s">
        <v>92</v>
      </c>
      <c r="F377" s="1">
        <v>45526</v>
      </c>
      <c r="G377">
        <v>2</v>
      </c>
      <c r="H377" t="s">
        <v>38</v>
      </c>
      <c r="I377" t="s">
        <v>64</v>
      </c>
      <c r="J377">
        <v>0.3</v>
      </c>
      <c r="K377">
        <v>165</v>
      </c>
      <c r="L377">
        <v>550</v>
      </c>
      <c r="M377">
        <v>385</v>
      </c>
      <c r="N377" t="s">
        <v>114</v>
      </c>
    </row>
    <row r="378" spans="1:14" x14ac:dyDescent="0.2">
      <c r="A378">
        <v>3377</v>
      </c>
      <c r="B378" t="s">
        <v>640</v>
      </c>
      <c r="C378" t="s">
        <v>567</v>
      </c>
      <c r="D378">
        <v>1610</v>
      </c>
      <c r="E378" t="s">
        <v>42</v>
      </c>
      <c r="F378" s="1">
        <v>45566</v>
      </c>
      <c r="G378">
        <v>1</v>
      </c>
      <c r="H378" t="s">
        <v>38</v>
      </c>
      <c r="I378" t="s">
        <v>57</v>
      </c>
      <c r="J378">
        <v>0.25</v>
      </c>
      <c r="K378">
        <v>266.25</v>
      </c>
      <c r="L378">
        <v>1065</v>
      </c>
      <c r="M378">
        <v>798.75</v>
      </c>
      <c r="N378" t="s">
        <v>54</v>
      </c>
    </row>
    <row r="379" spans="1:14" x14ac:dyDescent="0.2">
      <c r="A379">
        <v>3378</v>
      </c>
      <c r="B379" t="s">
        <v>219</v>
      </c>
      <c r="C379" t="s">
        <v>641</v>
      </c>
      <c r="D379">
        <v>1611</v>
      </c>
      <c r="E379" t="s">
        <v>76</v>
      </c>
      <c r="F379" s="1">
        <v>45515</v>
      </c>
      <c r="G379">
        <v>2</v>
      </c>
      <c r="H379" t="s">
        <v>71</v>
      </c>
      <c r="I379" t="s">
        <v>39</v>
      </c>
      <c r="J379">
        <v>0.25</v>
      </c>
      <c r="K379">
        <v>96.75</v>
      </c>
      <c r="L379">
        <v>387</v>
      </c>
      <c r="M379">
        <v>290.25</v>
      </c>
      <c r="N379" t="s">
        <v>54</v>
      </c>
    </row>
    <row r="380" spans="1:14" x14ac:dyDescent="0.2">
      <c r="A380">
        <v>3379</v>
      </c>
      <c r="B380" t="s">
        <v>642</v>
      </c>
      <c r="C380" t="s">
        <v>643</v>
      </c>
      <c r="D380">
        <v>1612</v>
      </c>
      <c r="E380" t="s">
        <v>76</v>
      </c>
      <c r="F380" s="1">
        <v>45570</v>
      </c>
      <c r="G380">
        <v>3</v>
      </c>
      <c r="H380" t="s">
        <v>32</v>
      </c>
      <c r="I380" t="s">
        <v>57</v>
      </c>
      <c r="J380">
        <v>0.25</v>
      </c>
      <c r="K380">
        <v>79.25</v>
      </c>
      <c r="L380">
        <v>317</v>
      </c>
      <c r="M380">
        <v>237.75</v>
      </c>
      <c r="N380" t="s">
        <v>44</v>
      </c>
    </row>
    <row r="381" spans="1:14" x14ac:dyDescent="0.2">
      <c r="A381">
        <v>3380</v>
      </c>
      <c r="B381" t="s">
        <v>603</v>
      </c>
      <c r="C381" t="s">
        <v>346</v>
      </c>
      <c r="D381">
        <v>1613</v>
      </c>
      <c r="E381" t="s">
        <v>31</v>
      </c>
      <c r="F381" s="1">
        <v>45471</v>
      </c>
      <c r="G381">
        <v>1</v>
      </c>
      <c r="H381" t="s">
        <v>52</v>
      </c>
      <c r="I381" t="s">
        <v>64</v>
      </c>
      <c r="J381">
        <v>0.1</v>
      </c>
      <c r="K381">
        <v>80.2</v>
      </c>
      <c r="L381">
        <v>802</v>
      </c>
      <c r="M381">
        <v>721.8</v>
      </c>
      <c r="N381" t="s">
        <v>44</v>
      </c>
    </row>
    <row r="382" spans="1:14" x14ac:dyDescent="0.2">
      <c r="A382">
        <v>3381</v>
      </c>
      <c r="B382" t="s">
        <v>644</v>
      </c>
      <c r="C382" t="s">
        <v>569</v>
      </c>
      <c r="D382">
        <v>1614</v>
      </c>
      <c r="E382" t="s">
        <v>31</v>
      </c>
      <c r="F382" s="1">
        <v>45501</v>
      </c>
      <c r="G382">
        <v>2</v>
      </c>
      <c r="H382" t="s">
        <v>71</v>
      </c>
      <c r="I382" t="s">
        <v>57</v>
      </c>
      <c r="J382">
        <v>0.1</v>
      </c>
      <c r="K382">
        <v>32.200000000000003</v>
      </c>
      <c r="L382">
        <v>322</v>
      </c>
      <c r="M382">
        <v>289.8</v>
      </c>
      <c r="N382" t="s">
        <v>114</v>
      </c>
    </row>
    <row r="383" spans="1:14" x14ac:dyDescent="0.2">
      <c r="A383">
        <v>3382</v>
      </c>
      <c r="B383" t="s">
        <v>306</v>
      </c>
      <c r="C383" t="s">
        <v>307</v>
      </c>
      <c r="D383">
        <v>1373</v>
      </c>
      <c r="E383" t="s">
        <v>76</v>
      </c>
      <c r="F383" s="1">
        <v>45405</v>
      </c>
      <c r="G383">
        <v>2</v>
      </c>
      <c r="H383" t="s">
        <v>52</v>
      </c>
      <c r="I383" t="s">
        <v>81</v>
      </c>
      <c r="J383">
        <v>0.25</v>
      </c>
      <c r="K383">
        <v>144.75</v>
      </c>
      <c r="L383">
        <v>579</v>
      </c>
      <c r="M383">
        <v>434.25</v>
      </c>
      <c r="N383" t="s">
        <v>114</v>
      </c>
    </row>
    <row r="384" spans="1:14" x14ac:dyDescent="0.2">
      <c r="A384">
        <v>3383</v>
      </c>
      <c r="B384" t="s">
        <v>645</v>
      </c>
      <c r="C384" t="s">
        <v>646</v>
      </c>
      <c r="D384">
        <v>1615</v>
      </c>
      <c r="E384" t="s">
        <v>37</v>
      </c>
      <c r="F384" s="1">
        <v>45378</v>
      </c>
      <c r="G384">
        <v>1</v>
      </c>
      <c r="H384" t="s">
        <v>52</v>
      </c>
      <c r="I384" t="s">
        <v>64</v>
      </c>
      <c r="J384">
        <v>0.3</v>
      </c>
      <c r="K384">
        <v>141.29999999999998</v>
      </c>
      <c r="L384">
        <v>471</v>
      </c>
      <c r="M384">
        <v>329.70000000000005</v>
      </c>
      <c r="N384" t="s">
        <v>34</v>
      </c>
    </row>
    <row r="385" spans="1:14" x14ac:dyDescent="0.2">
      <c r="A385">
        <v>3384</v>
      </c>
      <c r="B385" t="s">
        <v>647</v>
      </c>
      <c r="C385" t="s">
        <v>179</v>
      </c>
      <c r="D385">
        <v>1616</v>
      </c>
      <c r="E385" t="s">
        <v>76</v>
      </c>
      <c r="F385" s="1">
        <v>45439</v>
      </c>
      <c r="G385">
        <v>3</v>
      </c>
      <c r="H385" t="s">
        <v>38</v>
      </c>
      <c r="I385" t="s">
        <v>53</v>
      </c>
      <c r="J385">
        <v>0.25</v>
      </c>
      <c r="K385">
        <v>131.75</v>
      </c>
      <c r="L385">
        <v>527</v>
      </c>
      <c r="M385">
        <v>395.25</v>
      </c>
      <c r="N385" t="s">
        <v>114</v>
      </c>
    </row>
    <row r="386" spans="1:14" x14ac:dyDescent="0.2">
      <c r="A386">
        <v>3385</v>
      </c>
      <c r="B386" t="s">
        <v>648</v>
      </c>
      <c r="C386" t="s">
        <v>649</v>
      </c>
      <c r="D386">
        <v>1617</v>
      </c>
      <c r="E386" t="s">
        <v>76</v>
      </c>
      <c r="F386" s="1">
        <v>45605</v>
      </c>
      <c r="G386">
        <v>2</v>
      </c>
      <c r="H386" t="s">
        <v>52</v>
      </c>
      <c r="I386" t="s">
        <v>64</v>
      </c>
      <c r="J386">
        <v>0.25</v>
      </c>
      <c r="K386">
        <v>38.5</v>
      </c>
      <c r="L386">
        <v>154</v>
      </c>
      <c r="M386">
        <v>115.5</v>
      </c>
      <c r="N386" t="s">
        <v>34</v>
      </c>
    </row>
    <row r="387" spans="1:14" x14ac:dyDescent="0.2">
      <c r="A387">
        <v>3386</v>
      </c>
      <c r="B387" t="s">
        <v>511</v>
      </c>
      <c r="C387" t="s">
        <v>650</v>
      </c>
      <c r="D387">
        <v>1618</v>
      </c>
      <c r="E387" t="s">
        <v>42</v>
      </c>
      <c r="F387" s="1">
        <v>45415</v>
      </c>
      <c r="G387">
        <v>1</v>
      </c>
      <c r="H387" t="s">
        <v>32</v>
      </c>
      <c r="I387" t="s">
        <v>39</v>
      </c>
      <c r="J387">
        <v>0.25</v>
      </c>
      <c r="K387">
        <v>386.5</v>
      </c>
      <c r="L387">
        <v>1546</v>
      </c>
      <c r="M387">
        <v>1159.5</v>
      </c>
      <c r="N387" t="s">
        <v>44</v>
      </c>
    </row>
    <row r="388" spans="1:14" x14ac:dyDescent="0.2">
      <c r="A388">
        <v>3387</v>
      </c>
      <c r="B388" t="s">
        <v>651</v>
      </c>
      <c r="C388" t="s">
        <v>481</v>
      </c>
      <c r="D388">
        <v>1619</v>
      </c>
      <c r="E388" t="s">
        <v>76</v>
      </c>
      <c r="F388" s="1">
        <v>45573</v>
      </c>
      <c r="G388">
        <v>1</v>
      </c>
      <c r="H388" t="s">
        <v>32</v>
      </c>
      <c r="I388" t="s">
        <v>53</v>
      </c>
      <c r="J388">
        <v>0.25</v>
      </c>
      <c r="K388">
        <v>385.5</v>
      </c>
      <c r="L388">
        <v>1542</v>
      </c>
      <c r="M388">
        <v>1156.5</v>
      </c>
      <c r="N388" t="s">
        <v>48</v>
      </c>
    </row>
    <row r="389" spans="1:14" x14ac:dyDescent="0.2">
      <c r="A389">
        <v>3388</v>
      </c>
      <c r="B389" t="s">
        <v>152</v>
      </c>
      <c r="C389" t="s">
        <v>652</v>
      </c>
      <c r="D389">
        <v>1620</v>
      </c>
      <c r="E389" t="s">
        <v>92</v>
      </c>
      <c r="F389" s="1">
        <v>45491</v>
      </c>
      <c r="G389">
        <v>1</v>
      </c>
      <c r="H389" t="s">
        <v>71</v>
      </c>
      <c r="I389" t="s">
        <v>57</v>
      </c>
      <c r="J389">
        <v>0.3</v>
      </c>
      <c r="K389">
        <v>95.7</v>
      </c>
      <c r="L389">
        <v>319</v>
      </c>
      <c r="M389">
        <v>223.3</v>
      </c>
      <c r="N389" t="s">
        <v>44</v>
      </c>
    </row>
    <row r="390" spans="1:14" x14ac:dyDescent="0.2">
      <c r="A390">
        <v>3389</v>
      </c>
      <c r="B390" t="s">
        <v>653</v>
      </c>
      <c r="C390" t="s">
        <v>654</v>
      </c>
      <c r="D390">
        <v>1621</v>
      </c>
      <c r="E390" t="s">
        <v>76</v>
      </c>
      <c r="F390" s="1">
        <v>45608</v>
      </c>
      <c r="G390">
        <v>2</v>
      </c>
      <c r="H390" t="s">
        <v>71</v>
      </c>
      <c r="I390" t="s">
        <v>43</v>
      </c>
      <c r="J390">
        <v>0.25</v>
      </c>
      <c r="K390">
        <v>24.75</v>
      </c>
      <c r="L390">
        <v>99</v>
      </c>
      <c r="M390">
        <v>74.25</v>
      </c>
      <c r="N390" t="s">
        <v>54</v>
      </c>
    </row>
    <row r="391" spans="1:14" x14ac:dyDescent="0.2">
      <c r="A391">
        <v>3390</v>
      </c>
      <c r="B391" t="s">
        <v>655</v>
      </c>
      <c r="C391" t="s">
        <v>160</v>
      </c>
      <c r="D391">
        <v>1622</v>
      </c>
      <c r="E391" t="s">
        <v>92</v>
      </c>
      <c r="F391" s="1">
        <v>45536</v>
      </c>
      <c r="G391">
        <v>1</v>
      </c>
      <c r="H391" t="s">
        <v>52</v>
      </c>
      <c r="I391" t="s">
        <v>57</v>
      </c>
      <c r="J391">
        <v>0.3</v>
      </c>
      <c r="K391">
        <v>279.3</v>
      </c>
      <c r="L391">
        <v>931</v>
      </c>
      <c r="M391">
        <v>651.70000000000005</v>
      </c>
      <c r="N391" t="s">
        <v>54</v>
      </c>
    </row>
    <row r="392" spans="1:14" x14ac:dyDescent="0.2">
      <c r="A392">
        <v>3391</v>
      </c>
      <c r="B392" t="s">
        <v>322</v>
      </c>
      <c r="C392" t="s">
        <v>167</v>
      </c>
      <c r="D392">
        <v>1623</v>
      </c>
      <c r="E392" t="s">
        <v>51</v>
      </c>
      <c r="F392" s="1">
        <v>45514</v>
      </c>
      <c r="G392">
        <v>2</v>
      </c>
      <c r="H392" t="s">
        <v>32</v>
      </c>
      <c r="I392" t="s">
        <v>64</v>
      </c>
      <c r="J392">
        <v>0.2</v>
      </c>
      <c r="K392">
        <v>319.20000000000005</v>
      </c>
      <c r="L392">
        <v>1596</v>
      </c>
      <c r="M392">
        <v>1276.8</v>
      </c>
      <c r="N392" t="s">
        <v>54</v>
      </c>
    </row>
    <row r="393" spans="1:14" x14ac:dyDescent="0.2">
      <c r="A393">
        <v>3392</v>
      </c>
      <c r="B393" t="s">
        <v>656</v>
      </c>
      <c r="C393" t="s">
        <v>657</v>
      </c>
      <c r="D393">
        <v>1624</v>
      </c>
      <c r="E393" t="s">
        <v>92</v>
      </c>
      <c r="F393" s="1">
        <v>45517</v>
      </c>
      <c r="G393">
        <v>3</v>
      </c>
      <c r="H393" t="s">
        <v>52</v>
      </c>
      <c r="I393" t="s">
        <v>43</v>
      </c>
      <c r="J393">
        <v>0.3</v>
      </c>
      <c r="K393">
        <v>133.5</v>
      </c>
      <c r="L393">
        <v>445</v>
      </c>
      <c r="M393">
        <v>311.5</v>
      </c>
      <c r="N393" t="s">
        <v>44</v>
      </c>
    </row>
    <row r="394" spans="1:14" x14ac:dyDescent="0.2">
      <c r="A394">
        <v>3393</v>
      </c>
      <c r="B394" t="s">
        <v>648</v>
      </c>
      <c r="C394" t="s">
        <v>123</v>
      </c>
      <c r="D394">
        <v>1625</v>
      </c>
      <c r="E394" t="s">
        <v>51</v>
      </c>
      <c r="F394" s="1">
        <v>45443</v>
      </c>
      <c r="G394">
        <v>3</v>
      </c>
      <c r="H394" t="s">
        <v>71</v>
      </c>
      <c r="I394" t="s">
        <v>47</v>
      </c>
      <c r="J394">
        <v>0.2</v>
      </c>
      <c r="K394">
        <v>102.80000000000001</v>
      </c>
      <c r="L394">
        <v>514</v>
      </c>
      <c r="M394">
        <v>411.2</v>
      </c>
      <c r="N394" t="s">
        <v>54</v>
      </c>
    </row>
    <row r="395" spans="1:14" x14ac:dyDescent="0.2">
      <c r="A395">
        <v>3394</v>
      </c>
      <c r="B395" t="s">
        <v>658</v>
      </c>
      <c r="C395" t="s">
        <v>659</v>
      </c>
      <c r="D395">
        <v>1626</v>
      </c>
      <c r="E395" t="s">
        <v>92</v>
      </c>
      <c r="F395" s="1">
        <v>45611</v>
      </c>
      <c r="G395">
        <v>1</v>
      </c>
      <c r="H395" t="s">
        <v>52</v>
      </c>
      <c r="I395" t="s">
        <v>33</v>
      </c>
      <c r="J395">
        <v>0.3</v>
      </c>
      <c r="K395">
        <v>240.89999999999998</v>
      </c>
      <c r="L395">
        <v>803</v>
      </c>
      <c r="M395">
        <v>562.1</v>
      </c>
      <c r="N395" t="s">
        <v>48</v>
      </c>
    </row>
    <row r="396" spans="1:14" x14ac:dyDescent="0.2">
      <c r="A396">
        <v>3395</v>
      </c>
      <c r="B396" t="s">
        <v>660</v>
      </c>
      <c r="C396" t="s">
        <v>661</v>
      </c>
      <c r="D396">
        <v>1627</v>
      </c>
      <c r="E396" t="s">
        <v>76</v>
      </c>
      <c r="F396" s="1">
        <v>45602</v>
      </c>
      <c r="G396">
        <v>1</v>
      </c>
      <c r="H396" t="s">
        <v>32</v>
      </c>
      <c r="I396" t="s">
        <v>81</v>
      </c>
      <c r="J396">
        <v>0.25</v>
      </c>
      <c r="K396">
        <v>10.25</v>
      </c>
      <c r="L396">
        <v>41</v>
      </c>
      <c r="M396">
        <v>30.75</v>
      </c>
      <c r="N396" t="s">
        <v>54</v>
      </c>
    </row>
    <row r="397" spans="1:14" x14ac:dyDescent="0.2">
      <c r="A397">
        <v>3396</v>
      </c>
      <c r="B397" t="s">
        <v>662</v>
      </c>
      <c r="C397" t="s">
        <v>663</v>
      </c>
      <c r="D397">
        <v>1628</v>
      </c>
      <c r="E397" t="s">
        <v>37</v>
      </c>
      <c r="F397" s="1">
        <v>45591</v>
      </c>
      <c r="G397">
        <v>1</v>
      </c>
      <c r="H397" t="s">
        <v>52</v>
      </c>
      <c r="I397" t="s">
        <v>47</v>
      </c>
      <c r="J397">
        <v>0.3</v>
      </c>
      <c r="K397">
        <v>269.09999999999997</v>
      </c>
      <c r="L397">
        <v>897</v>
      </c>
      <c r="M397">
        <v>627.90000000000009</v>
      </c>
      <c r="N397" t="s">
        <v>114</v>
      </c>
    </row>
    <row r="398" spans="1:14" x14ac:dyDescent="0.2">
      <c r="A398">
        <v>3397</v>
      </c>
      <c r="B398" t="s">
        <v>172</v>
      </c>
      <c r="C398" t="s">
        <v>327</v>
      </c>
      <c r="D398">
        <v>1629</v>
      </c>
      <c r="E398" t="s">
        <v>76</v>
      </c>
      <c r="F398" s="1">
        <v>45341</v>
      </c>
      <c r="G398">
        <v>2</v>
      </c>
      <c r="H398" t="s">
        <v>52</v>
      </c>
      <c r="I398" t="s">
        <v>81</v>
      </c>
      <c r="J398">
        <v>0.25</v>
      </c>
      <c r="K398">
        <v>289.75</v>
      </c>
      <c r="L398">
        <v>1159</v>
      </c>
      <c r="M398">
        <v>869.25</v>
      </c>
      <c r="N398" t="s">
        <v>34</v>
      </c>
    </row>
    <row r="399" spans="1:14" x14ac:dyDescent="0.2">
      <c r="A399">
        <v>3398</v>
      </c>
      <c r="B399" t="s">
        <v>543</v>
      </c>
      <c r="C399" t="s">
        <v>664</v>
      </c>
      <c r="D399">
        <v>1630</v>
      </c>
      <c r="E399" t="s">
        <v>92</v>
      </c>
      <c r="F399" s="1">
        <v>45538</v>
      </c>
      <c r="G399">
        <v>3</v>
      </c>
      <c r="H399" t="s">
        <v>52</v>
      </c>
      <c r="I399" t="s">
        <v>33</v>
      </c>
      <c r="J399">
        <v>0.3</v>
      </c>
      <c r="K399">
        <v>414</v>
      </c>
      <c r="L399">
        <v>1380</v>
      </c>
      <c r="M399">
        <v>966</v>
      </c>
      <c r="N399" t="s">
        <v>114</v>
      </c>
    </row>
    <row r="400" spans="1:14" x14ac:dyDescent="0.2">
      <c r="A400">
        <v>3399</v>
      </c>
      <c r="B400" t="s">
        <v>611</v>
      </c>
      <c r="C400" t="s">
        <v>203</v>
      </c>
      <c r="D400">
        <v>1631</v>
      </c>
      <c r="E400" t="s">
        <v>42</v>
      </c>
      <c r="F400" s="1">
        <v>45375</v>
      </c>
      <c r="G400">
        <v>2</v>
      </c>
      <c r="H400" t="s">
        <v>32</v>
      </c>
      <c r="I400" t="s">
        <v>64</v>
      </c>
      <c r="J400">
        <v>0.25</v>
      </c>
      <c r="K400">
        <v>198.5</v>
      </c>
      <c r="L400">
        <v>794</v>
      </c>
      <c r="M400">
        <v>595.5</v>
      </c>
      <c r="N400" t="s">
        <v>34</v>
      </c>
    </row>
    <row r="401" spans="1:14" x14ac:dyDescent="0.2">
      <c r="A401">
        <v>3400</v>
      </c>
      <c r="B401" t="s">
        <v>665</v>
      </c>
      <c r="C401" t="s">
        <v>459</v>
      </c>
      <c r="D401">
        <v>1632</v>
      </c>
      <c r="E401" t="s">
        <v>92</v>
      </c>
      <c r="F401" s="1">
        <v>45352</v>
      </c>
      <c r="G401">
        <v>2</v>
      </c>
      <c r="H401" t="s">
        <v>32</v>
      </c>
      <c r="I401" t="s">
        <v>47</v>
      </c>
      <c r="J401">
        <v>0.3</v>
      </c>
      <c r="K401">
        <v>94.2</v>
      </c>
      <c r="L401">
        <v>314</v>
      </c>
      <c r="M401">
        <v>219.8</v>
      </c>
      <c r="N401" t="s">
        <v>114</v>
      </c>
    </row>
    <row r="402" spans="1:14" x14ac:dyDescent="0.2">
      <c r="A402">
        <v>3401</v>
      </c>
      <c r="B402" t="s">
        <v>88</v>
      </c>
      <c r="C402" t="s">
        <v>666</v>
      </c>
      <c r="D402">
        <v>1633</v>
      </c>
      <c r="E402" t="s">
        <v>76</v>
      </c>
      <c r="F402" s="1">
        <v>45607</v>
      </c>
      <c r="G402">
        <v>1</v>
      </c>
      <c r="H402" t="s">
        <v>52</v>
      </c>
      <c r="I402" t="s">
        <v>39</v>
      </c>
      <c r="J402">
        <v>0.25</v>
      </c>
      <c r="K402">
        <v>363.5</v>
      </c>
      <c r="L402">
        <v>1454</v>
      </c>
      <c r="M402">
        <v>1090.5</v>
      </c>
      <c r="N402" t="s">
        <v>54</v>
      </c>
    </row>
    <row r="403" spans="1:14" x14ac:dyDescent="0.2">
      <c r="A403">
        <v>3402</v>
      </c>
      <c r="B403" t="s">
        <v>667</v>
      </c>
      <c r="C403" t="s">
        <v>668</v>
      </c>
      <c r="D403">
        <v>1634</v>
      </c>
      <c r="E403" t="s">
        <v>37</v>
      </c>
      <c r="F403" s="1">
        <v>45419</v>
      </c>
      <c r="G403">
        <v>1</v>
      </c>
      <c r="H403" t="s">
        <v>52</v>
      </c>
      <c r="I403" t="s">
        <v>81</v>
      </c>
      <c r="J403">
        <v>0.3</v>
      </c>
      <c r="K403">
        <v>318.89999999999998</v>
      </c>
      <c r="L403">
        <v>1063</v>
      </c>
      <c r="M403">
        <v>744.1</v>
      </c>
      <c r="N403" t="s">
        <v>54</v>
      </c>
    </row>
    <row r="404" spans="1:14" x14ac:dyDescent="0.2">
      <c r="A404">
        <v>3403</v>
      </c>
      <c r="B404" t="s">
        <v>669</v>
      </c>
      <c r="C404" t="s">
        <v>270</v>
      </c>
      <c r="D404">
        <v>1635</v>
      </c>
      <c r="E404" t="s">
        <v>76</v>
      </c>
      <c r="F404" s="1">
        <v>45529</v>
      </c>
      <c r="G404">
        <v>3</v>
      </c>
      <c r="H404" t="s">
        <v>32</v>
      </c>
      <c r="I404" t="s">
        <v>47</v>
      </c>
      <c r="J404">
        <v>0.25</v>
      </c>
      <c r="K404">
        <v>141.5</v>
      </c>
      <c r="L404">
        <v>566</v>
      </c>
      <c r="M404">
        <v>424.5</v>
      </c>
      <c r="N404" t="s">
        <v>34</v>
      </c>
    </row>
    <row r="405" spans="1:14" x14ac:dyDescent="0.2">
      <c r="A405">
        <v>3404</v>
      </c>
      <c r="B405" t="s">
        <v>65</v>
      </c>
      <c r="C405" t="s">
        <v>670</v>
      </c>
      <c r="D405">
        <v>1636</v>
      </c>
      <c r="E405" t="s">
        <v>31</v>
      </c>
      <c r="F405" s="1">
        <v>45503</v>
      </c>
      <c r="G405">
        <v>3</v>
      </c>
      <c r="H405" t="s">
        <v>71</v>
      </c>
      <c r="I405" t="s">
        <v>47</v>
      </c>
      <c r="J405">
        <v>0.1</v>
      </c>
      <c r="K405">
        <v>39.1</v>
      </c>
      <c r="L405">
        <v>391</v>
      </c>
      <c r="M405">
        <v>351.9</v>
      </c>
      <c r="N405" t="s">
        <v>34</v>
      </c>
    </row>
    <row r="406" spans="1:14" x14ac:dyDescent="0.2">
      <c r="A406">
        <v>3405</v>
      </c>
      <c r="B406" t="s">
        <v>671</v>
      </c>
      <c r="C406" t="s">
        <v>672</v>
      </c>
      <c r="D406">
        <v>1637</v>
      </c>
      <c r="E406" t="s">
        <v>42</v>
      </c>
      <c r="F406" s="1">
        <v>45656</v>
      </c>
      <c r="G406">
        <v>1</v>
      </c>
      <c r="H406" t="s">
        <v>52</v>
      </c>
      <c r="I406" t="s">
        <v>33</v>
      </c>
      <c r="J406">
        <v>0.25</v>
      </c>
      <c r="K406">
        <v>261.5</v>
      </c>
      <c r="L406">
        <v>1046</v>
      </c>
      <c r="M406">
        <v>784.5</v>
      </c>
      <c r="N406" t="s">
        <v>54</v>
      </c>
    </row>
    <row r="407" spans="1:14" x14ac:dyDescent="0.2">
      <c r="A407">
        <v>3406</v>
      </c>
      <c r="B407" t="s">
        <v>673</v>
      </c>
      <c r="C407" t="s">
        <v>529</v>
      </c>
      <c r="D407">
        <v>1638</v>
      </c>
      <c r="E407" t="s">
        <v>37</v>
      </c>
      <c r="F407" s="1">
        <v>45339</v>
      </c>
      <c r="G407">
        <v>3</v>
      </c>
      <c r="H407" t="s">
        <v>38</v>
      </c>
      <c r="I407" t="s">
        <v>39</v>
      </c>
      <c r="J407">
        <v>0.3</v>
      </c>
      <c r="K407">
        <v>319.5</v>
      </c>
      <c r="L407">
        <v>1065</v>
      </c>
      <c r="M407">
        <v>745.5</v>
      </c>
      <c r="N407" t="s">
        <v>34</v>
      </c>
    </row>
    <row r="408" spans="1:14" x14ac:dyDescent="0.2">
      <c r="A408">
        <v>3407</v>
      </c>
      <c r="B408" t="s">
        <v>674</v>
      </c>
      <c r="C408" t="s">
        <v>451</v>
      </c>
      <c r="D408">
        <v>1639</v>
      </c>
      <c r="E408" t="s">
        <v>51</v>
      </c>
      <c r="F408" s="1">
        <v>45337</v>
      </c>
      <c r="G408">
        <v>2</v>
      </c>
      <c r="H408" t="s">
        <v>71</v>
      </c>
      <c r="I408" t="s">
        <v>47</v>
      </c>
      <c r="J408">
        <v>0.2</v>
      </c>
      <c r="K408">
        <v>253.60000000000002</v>
      </c>
      <c r="L408">
        <v>1268</v>
      </c>
      <c r="M408">
        <v>1014.4</v>
      </c>
      <c r="N408" t="s">
        <v>34</v>
      </c>
    </row>
    <row r="409" spans="1:14" x14ac:dyDescent="0.2">
      <c r="A409">
        <v>3408</v>
      </c>
      <c r="B409" t="s">
        <v>675</v>
      </c>
      <c r="C409" t="s">
        <v>676</v>
      </c>
      <c r="D409">
        <v>1640</v>
      </c>
      <c r="E409" t="s">
        <v>51</v>
      </c>
      <c r="F409" s="1">
        <v>45597</v>
      </c>
      <c r="G409">
        <v>3</v>
      </c>
      <c r="H409" t="s">
        <v>52</v>
      </c>
      <c r="I409" t="s">
        <v>64</v>
      </c>
      <c r="J409">
        <v>0.2</v>
      </c>
      <c r="K409">
        <v>295</v>
      </c>
      <c r="L409">
        <v>1475</v>
      </c>
      <c r="M409">
        <v>1180</v>
      </c>
      <c r="N409" t="s">
        <v>44</v>
      </c>
    </row>
    <row r="410" spans="1:14" x14ac:dyDescent="0.2">
      <c r="A410">
        <v>3409</v>
      </c>
      <c r="B410" t="s">
        <v>677</v>
      </c>
      <c r="C410" t="s">
        <v>678</v>
      </c>
      <c r="D410">
        <v>1641</v>
      </c>
      <c r="E410" t="s">
        <v>92</v>
      </c>
      <c r="F410" s="1">
        <v>45321</v>
      </c>
      <c r="G410">
        <v>2</v>
      </c>
      <c r="H410" t="s">
        <v>52</v>
      </c>
      <c r="I410" t="s">
        <v>39</v>
      </c>
      <c r="J410">
        <v>0.3</v>
      </c>
      <c r="K410">
        <v>371.09999999999997</v>
      </c>
      <c r="L410">
        <v>1237</v>
      </c>
      <c r="M410">
        <v>865.90000000000009</v>
      </c>
      <c r="N410" t="s">
        <v>34</v>
      </c>
    </row>
    <row r="411" spans="1:14" x14ac:dyDescent="0.2">
      <c r="A411">
        <v>3410</v>
      </c>
      <c r="B411" t="s">
        <v>679</v>
      </c>
      <c r="C411" t="s">
        <v>680</v>
      </c>
      <c r="D411">
        <v>1642</v>
      </c>
      <c r="E411" t="s">
        <v>42</v>
      </c>
      <c r="F411" s="1">
        <v>45414</v>
      </c>
      <c r="G411">
        <v>3</v>
      </c>
      <c r="H411" t="s">
        <v>38</v>
      </c>
      <c r="I411" t="s">
        <v>53</v>
      </c>
      <c r="J411">
        <v>0.25</v>
      </c>
      <c r="K411">
        <v>280</v>
      </c>
      <c r="L411">
        <v>1120</v>
      </c>
      <c r="M411">
        <v>840</v>
      </c>
      <c r="N411" t="s">
        <v>34</v>
      </c>
    </row>
    <row r="412" spans="1:14" x14ac:dyDescent="0.2">
      <c r="A412">
        <v>3411</v>
      </c>
      <c r="B412" t="s">
        <v>665</v>
      </c>
      <c r="C412" t="s">
        <v>681</v>
      </c>
      <c r="D412">
        <v>1643</v>
      </c>
      <c r="E412" t="s">
        <v>31</v>
      </c>
      <c r="F412" s="1">
        <v>45511</v>
      </c>
      <c r="G412">
        <v>3</v>
      </c>
      <c r="H412" t="s">
        <v>38</v>
      </c>
      <c r="I412" t="s">
        <v>47</v>
      </c>
      <c r="J412">
        <v>0.1</v>
      </c>
      <c r="K412">
        <v>70.400000000000006</v>
      </c>
      <c r="L412">
        <v>704</v>
      </c>
      <c r="M412">
        <v>633.6</v>
      </c>
      <c r="N412" t="s">
        <v>34</v>
      </c>
    </row>
    <row r="413" spans="1:14" x14ac:dyDescent="0.2">
      <c r="A413">
        <v>3412</v>
      </c>
      <c r="B413" t="s">
        <v>561</v>
      </c>
      <c r="C413" t="s">
        <v>118</v>
      </c>
      <c r="D413">
        <v>1644</v>
      </c>
      <c r="E413" t="s">
        <v>92</v>
      </c>
      <c r="F413" s="1">
        <v>45541</v>
      </c>
      <c r="G413">
        <v>2</v>
      </c>
      <c r="H413" t="s">
        <v>52</v>
      </c>
      <c r="I413" t="s">
        <v>43</v>
      </c>
      <c r="J413">
        <v>0.3</v>
      </c>
      <c r="K413">
        <v>340.2</v>
      </c>
      <c r="L413">
        <v>1134</v>
      </c>
      <c r="M413">
        <v>793.8</v>
      </c>
      <c r="N413" t="s">
        <v>34</v>
      </c>
    </row>
    <row r="414" spans="1:14" x14ac:dyDescent="0.2">
      <c r="A414">
        <v>3413</v>
      </c>
      <c r="B414" t="s">
        <v>682</v>
      </c>
      <c r="C414" t="s">
        <v>683</v>
      </c>
      <c r="D414">
        <v>1645</v>
      </c>
      <c r="E414" t="s">
        <v>76</v>
      </c>
      <c r="F414" s="1">
        <v>45339</v>
      </c>
      <c r="G414">
        <v>3</v>
      </c>
      <c r="H414" t="s">
        <v>32</v>
      </c>
      <c r="I414" t="s">
        <v>64</v>
      </c>
      <c r="J414">
        <v>0.25</v>
      </c>
      <c r="K414">
        <v>380.75</v>
      </c>
      <c r="L414">
        <v>1523</v>
      </c>
      <c r="M414">
        <v>1142.25</v>
      </c>
      <c r="N414" t="s">
        <v>34</v>
      </c>
    </row>
    <row r="415" spans="1:14" x14ac:dyDescent="0.2">
      <c r="A415">
        <v>3414</v>
      </c>
      <c r="B415" t="s">
        <v>84</v>
      </c>
      <c r="C415" t="s">
        <v>684</v>
      </c>
      <c r="D415">
        <v>1646</v>
      </c>
      <c r="E415" t="s">
        <v>92</v>
      </c>
      <c r="F415" s="1">
        <v>45328</v>
      </c>
      <c r="G415">
        <v>1</v>
      </c>
      <c r="H415" t="s">
        <v>38</v>
      </c>
      <c r="I415" t="s">
        <v>39</v>
      </c>
      <c r="J415">
        <v>0.3</v>
      </c>
      <c r="K415">
        <v>117</v>
      </c>
      <c r="L415">
        <v>390</v>
      </c>
      <c r="M415">
        <v>273</v>
      </c>
      <c r="N415" t="s">
        <v>44</v>
      </c>
    </row>
    <row r="416" spans="1:14" x14ac:dyDescent="0.2">
      <c r="A416">
        <v>3415</v>
      </c>
      <c r="B416" t="s">
        <v>685</v>
      </c>
      <c r="C416" t="s">
        <v>225</v>
      </c>
      <c r="D416">
        <v>1647</v>
      </c>
      <c r="E416" t="s">
        <v>31</v>
      </c>
      <c r="F416" s="1">
        <v>45518</v>
      </c>
      <c r="G416">
        <v>3</v>
      </c>
      <c r="H416" t="s">
        <v>32</v>
      </c>
      <c r="I416" t="s">
        <v>57</v>
      </c>
      <c r="J416">
        <v>0.1</v>
      </c>
      <c r="K416">
        <v>92.100000000000009</v>
      </c>
      <c r="L416">
        <v>921</v>
      </c>
      <c r="M416">
        <v>828.9</v>
      </c>
      <c r="N416" t="s">
        <v>34</v>
      </c>
    </row>
    <row r="417" spans="1:14" x14ac:dyDescent="0.2">
      <c r="A417">
        <v>3416</v>
      </c>
      <c r="B417" t="s">
        <v>686</v>
      </c>
      <c r="C417" t="s">
        <v>687</v>
      </c>
      <c r="D417">
        <v>1648</v>
      </c>
      <c r="E417" t="s">
        <v>51</v>
      </c>
      <c r="F417" s="1">
        <v>45447</v>
      </c>
      <c r="G417">
        <v>2</v>
      </c>
      <c r="H417" t="s">
        <v>32</v>
      </c>
      <c r="I417" t="s">
        <v>47</v>
      </c>
      <c r="J417">
        <v>0.2</v>
      </c>
      <c r="K417">
        <v>221.20000000000002</v>
      </c>
      <c r="L417">
        <v>1106</v>
      </c>
      <c r="M417">
        <v>884.8</v>
      </c>
      <c r="N417" t="s">
        <v>44</v>
      </c>
    </row>
    <row r="418" spans="1:14" x14ac:dyDescent="0.2">
      <c r="A418">
        <v>3417</v>
      </c>
      <c r="B418" t="s">
        <v>688</v>
      </c>
      <c r="C418" t="s">
        <v>689</v>
      </c>
      <c r="D418">
        <v>1649</v>
      </c>
      <c r="E418" t="s">
        <v>31</v>
      </c>
      <c r="F418" s="1">
        <v>45521</v>
      </c>
      <c r="G418">
        <v>1</v>
      </c>
      <c r="H418" t="s">
        <v>52</v>
      </c>
      <c r="I418" t="s">
        <v>53</v>
      </c>
      <c r="J418">
        <v>0.1</v>
      </c>
      <c r="K418">
        <v>98</v>
      </c>
      <c r="L418">
        <v>980</v>
      </c>
      <c r="M418">
        <v>882</v>
      </c>
      <c r="N418" t="s">
        <v>34</v>
      </c>
    </row>
    <row r="419" spans="1:14" x14ac:dyDescent="0.2">
      <c r="A419">
        <v>3418</v>
      </c>
      <c r="B419" t="s">
        <v>690</v>
      </c>
      <c r="C419" t="s">
        <v>691</v>
      </c>
      <c r="D419">
        <v>1650</v>
      </c>
      <c r="E419" t="s">
        <v>37</v>
      </c>
      <c r="F419" s="1">
        <v>45657</v>
      </c>
      <c r="G419">
        <v>1</v>
      </c>
      <c r="H419" t="s">
        <v>52</v>
      </c>
      <c r="I419" t="s">
        <v>57</v>
      </c>
      <c r="J419">
        <v>0.3</v>
      </c>
      <c r="K419">
        <v>347.7</v>
      </c>
      <c r="L419">
        <v>1159</v>
      </c>
      <c r="M419">
        <v>811.3</v>
      </c>
      <c r="N419" t="s">
        <v>34</v>
      </c>
    </row>
    <row r="420" spans="1:14" x14ac:dyDescent="0.2">
      <c r="A420">
        <v>3419</v>
      </c>
      <c r="B420" t="s">
        <v>692</v>
      </c>
      <c r="C420" t="s">
        <v>693</v>
      </c>
      <c r="D420">
        <v>1651</v>
      </c>
      <c r="E420" t="s">
        <v>51</v>
      </c>
      <c r="F420" s="1">
        <v>45456</v>
      </c>
      <c r="G420">
        <v>1</v>
      </c>
      <c r="H420" t="s">
        <v>71</v>
      </c>
      <c r="I420" t="s">
        <v>64</v>
      </c>
      <c r="J420">
        <v>0.2</v>
      </c>
      <c r="K420">
        <v>31</v>
      </c>
      <c r="L420">
        <v>155</v>
      </c>
      <c r="M420">
        <v>124</v>
      </c>
      <c r="N420" t="s">
        <v>48</v>
      </c>
    </row>
    <row r="421" spans="1:14" x14ac:dyDescent="0.2">
      <c r="A421">
        <v>3420</v>
      </c>
      <c r="B421" t="s">
        <v>154</v>
      </c>
      <c r="C421" t="s">
        <v>610</v>
      </c>
      <c r="D421">
        <v>1652</v>
      </c>
      <c r="E421" t="s">
        <v>76</v>
      </c>
      <c r="F421" s="1">
        <v>45528</v>
      </c>
      <c r="G421">
        <v>3</v>
      </c>
      <c r="H421" t="s">
        <v>32</v>
      </c>
      <c r="I421" t="s">
        <v>43</v>
      </c>
      <c r="J421">
        <v>0.25</v>
      </c>
      <c r="K421">
        <v>192.5</v>
      </c>
      <c r="L421">
        <v>770</v>
      </c>
      <c r="M421">
        <v>577.5</v>
      </c>
      <c r="N421" t="s">
        <v>34</v>
      </c>
    </row>
    <row r="422" spans="1:14" x14ac:dyDescent="0.2">
      <c r="A422">
        <v>3421</v>
      </c>
      <c r="B422" t="s">
        <v>306</v>
      </c>
      <c r="C422" t="s">
        <v>56</v>
      </c>
      <c r="D422">
        <v>1653</v>
      </c>
      <c r="E422" t="s">
        <v>37</v>
      </c>
      <c r="F422" s="1">
        <v>45591</v>
      </c>
      <c r="G422">
        <v>2</v>
      </c>
      <c r="H422" t="s">
        <v>38</v>
      </c>
      <c r="I422" t="s">
        <v>33</v>
      </c>
      <c r="J422">
        <v>0.3</v>
      </c>
      <c r="K422">
        <v>514.19999999999993</v>
      </c>
      <c r="L422">
        <v>1714</v>
      </c>
      <c r="M422">
        <v>1199.8000000000002</v>
      </c>
      <c r="N422" t="s">
        <v>44</v>
      </c>
    </row>
    <row r="423" spans="1:14" x14ac:dyDescent="0.2">
      <c r="A423">
        <v>3422</v>
      </c>
      <c r="B423" t="s">
        <v>694</v>
      </c>
      <c r="C423" t="s">
        <v>695</v>
      </c>
      <c r="D423">
        <v>1654</v>
      </c>
      <c r="E423" t="s">
        <v>76</v>
      </c>
      <c r="F423" s="1">
        <v>45422</v>
      </c>
      <c r="G423">
        <v>3</v>
      </c>
      <c r="H423" t="s">
        <v>32</v>
      </c>
      <c r="I423" t="s">
        <v>33</v>
      </c>
      <c r="J423">
        <v>0.25</v>
      </c>
      <c r="K423">
        <v>32.25</v>
      </c>
      <c r="L423">
        <v>129</v>
      </c>
      <c r="M423">
        <v>96.75</v>
      </c>
      <c r="N423" t="s">
        <v>34</v>
      </c>
    </row>
    <row r="424" spans="1:14" x14ac:dyDescent="0.2">
      <c r="A424">
        <v>3423</v>
      </c>
      <c r="B424" t="s">
        <v>696</v>
      </c>
      <c r="C424" t="s">
        <v>376</v>
      </c>
      <c r="D424">
        <v>1655</v>
      </c>
      <c r="E424" t="s">
        <v>37</v>
      </c>
      <c r="F424" s="1">
        <v>45609</v>
      </c>
      <c r="G424">
        <v>3</v>
      </c>
      <c r="H424" t="s">
        <v>32</v>
      </c>
      <c r="I424" t="s">
        <v>81</v>
      </c>
      <c r="J424">
        <v>0.3</v>
      </c>
      <c r="K424">
        <v>63.599999999999994</v>
      </c>
      <c r="L424">
        <v>212</v>
      </c>
      <c r="M424">
        <v>148.4</v>
      </c>
      <c r="N424" t="s">
        <v>48</v>
      </c>
    </row>
    <row r="425" spans="1:14" x14ac:dyDescent="0.2">
      <c r="A425">
        <v>3424</v>
      </c>
      <c r="B425" t="s">
        <v>454</v>
      </c>
      <c r="C425" t="s">
        <v>307</v>
      </c>
      <c r="D425">
        <v>1656</v>
      </c>
      <c r="E425" t="s">
        <v>51</v>
      </c>
      <c r="F425" s="1">
        <v>45379</v>
      </c>
      <c r="G425">
        <v>2</v>
      </c>
      <c r="H425" t="s">
        <v>52</v>
      </c>
      <c r="I425" t="s">
        <v>53</v>
      </c>
      <c r="J425">
        <v>0.2</v>
      </c>
      <c r="K425">
        <v>83.4</v>
      </c>
      <c r="L425">
        <v>417</v>
      </c>
      <c r="M425">
        <v>333.6</v>
      </c>
      <c r="N425" t="s">
        <v>48</v>
      </c>
    </row>
    <row r="426" spans="1:14" x14ac:dyDescent="0.2">
      <c r="A426">
        <v>3425</v>
      </c>
      <c r="B426" t="s">
        <v>697</v>
      </c>
      <c r="C426" t="s">
        <v>698</v>
      </c>
      <c r="D426">
        <v>1657</v>
      </c>
      <c r="E426" t="s">
        <v>42</v>
      </c>
      <c r="F426" s="1">
        <v>45335</v>
      </c>
      <c r="G426">
        <v>2</v>
      </c>
      <c r="H426" t="s">
        <v>32</v>
      </c>
      <c r="I426" t="s">
        <v>33</v>
      </c>
      <c r="J426">
        <v>0.25</v>
      </c>
      <c r="K426">
        <v>268.75</v>
      </c>
      <c r="L426">
        <v>1075</v>
      </c>
      <c r="M426">
        <v>806.25</v>
      </c>
      <c r="N426" t="s">
        <v>44</v>
      </c>
    </row>
    <row r="427" spans="1:14" x14ac:dyDescent="0.2">
      <c r="A427">
        <v>3426</v>
      </c>
      <c r="B427" t="s">
        <v>125</v>
      </c>
      <c r="C427" t="s">
        <v>59</v>
      </c>
      <c r="D427">
        <v>1658</v>
      </c>
      <c r="E427" t="s">
        <v>37</v>
      </c>
      <c r="F427" s="1">
        <v>45550</v>
      </c>
      <c r="G427">
        <v>3</v>
      </c>
      <c r="H427" t="s">
        <v>71</v>
      </c>
      <c r="I427" t="s">
        <v>64</v>
      </c>
      <c r="J427">
        <v>0.3</v>
      </c>
      <c r="K427">
        <v>71.099999999999994</v>
      </c>
      <c r="L427">
        <v>237</v>
      </c>
      <c r="M427">
        <v>165.9</v>
      </c>
      <c r="N427" t="s">
        <v>34</v>
      </c>
    </row>
    <row r="428" spans="1:14" x14ac:dyDescent="0.2">
      <c r="A428">
        <v>3427</v>
      </c>
      <c r="B428" t="s">
        <v>699</v>
      </c>
      <c r="C428" t="s">
        <v>700</v>
      </c>
      <c r="D428">
        <v>1659</v>
      </c>
      <c r="E428" t="s">
        <v>31</v>
      </c>
      <c r="F428" s="1">
        <v>45457</v>
      </c>
      <c r="G428">
        <v>3</v>
      </c>
      <c r="H428" t="s">
        <v>52</v>
      </c>
      <c r="I428" t="s">
        <v>81</v>
      </c>
      <c r="J428">
        <v>0.1</v>
      </c>
      <c r="K428">
        <v>16.7</v>
      </c>
      <c r="L428">
        <v>167</v>
      </c>
      <c r="M428">
        <v>150.30000000000001</v>
      </c>
      <c r="N428" t="s">
        <v>34</v>
      </c>
    </row>
    <row r="429" spans="1:14" x14ac:dyDescent="0.2">
      <c r="A429">
        <v>3428</v>
      </c>
      <c r="B429" t="s">
        <v>701</v>
      </c>
      <c r="C429" t="s">
        <v>702</v>
      </c>
      <c r="D429">
        <v>1660</v>
      </c>
      <c r="E429" t="s">
        <v>42</v>
      </c>
      <c r="F429" s="1">
        <v>45627</v>
      </c>
      <c r="G429">
        <v>3</v>
      </c>
      <c r="H429" t="s">
        <v>52</v>
      </c>
      <c r="I429" t="s">
        <v>64</v>
      </c>
      <c r="J429">
        <v>0.25</v>
      </c>
      <c r="K429">
        <v>12</v>
      </c>
      <c r="L429">
        <v>48</v>
      </c>
      <c r="M429">
        <v>36</v>
      </c>
      <c r="N429" t="s">
        <v>34</v>
      </c>
    </row>
    <row r="430" spans="1:14" x14ac:dyDescent="0.2">
      <c r="A430">
        <v>3429</v>
      </c>
      <c r="B430" t="s">
        <v>448</v>
      </c>
      <c r="C430" t="s">
        <v>703</v>
      </c>
      <c r="D430">
        <v>1661</v>
      </c>
      <c r="E430" t="s">
        <v>51</v>
      </c>
      <c r="F430" s="1">
        <v>45657</v>
      </c>
      <c r="G430">
        <v>3</v>
      </c>
      <c r="H430" t="s">
        <v>38</v>
      </c>
      <c r="I430" t="s">
        <v>43</v>
      </c>
      <c r="J430">
        <v>0.2</v>
      </c>
      <c r="K430">
        <v>63.6</v>
      </c>
      <c r="L430">
        <v>318</v>
      </c>
      <c r="M430">
        <v>254.4</v>
      </c>
      <c r="N430" t="s">
        <v>34</v>
      </c>
    </row>
    <row r="431" spans="1:14" x14ac:dyDescent="0.2">
      <c r="A431">
        <v>3430</v>
      </c>
      <c r="B431" t="s">
        <v>219</v>
      </c>
      <c r="C431" t="s">
        <v>531</v>
      </c>
      <c r="D431">
        <v>1662</v>
      </c>
      <c r="E431" t="s">
        <v>92</v>
      </c>
      <c r="F431" s="1">
        <v>45441</v>
      </c>
      <c r="G431">
        <v>2</v>
      </c>
      <c r="H431" t="s">
        <v>32</v>
      </c>
      <c r="I431" t="s">
        <v>39</v>
      </c>
      <c r="J431">
        <v>0.3</v>
      </c>
      <c r="K431">
        <v>520.79999999999995</v>
      </c>
      <c r="L431">
        <v>1736</v>
      </c>
      <c r="M431">
        <v>1215.2</v>
      </c>
      <c r="N431" t="s">
        <v>44</v>
      </c>
    </row>
    <row r="432" spans="1:14" x14ac:dyDescent="0.2">
      <c r="A432">
        <v>3431</v>
      </c>
      <c r="B432" t="s">
        <v>704</v>
      </c>
      <c r="C432" t="s">
        <v>691</v>
      </c>
      <c r="D432">
        <v>1663</v>
      </c>
      <c r="E432" t="s">
        <v>51</v>
      </c>
      <c r="F432" s="1">
        <v>45362</v>
      </c>
      <c r="G432">
        <v>3</v>
      </c>
      <c r="H432" t="s">
        <v>38</v>
      </c>
      <c r="I432" t="s">
        <v>53</v>
      </c>
      <c r="J432">
        <v>0.2</v>
      </c>
      <c r="K432">
        <v>349.40000000000003</v>
      </c>
      <c r="L432">
        <v>1747</v>
      </c>
      <c r="M432">
        <v>1397.6</v>
      </c>
      <c r="N432" t="s">
        <v>114</v>
      </c>
    </row>
    <row r="433" spans="1:14" x14ac:dyDescent="0.2">
      <c r="A433">
        <v>3432</v>
      </c>
      <c r="B433" t="s">
        <v>528</v>
      </c>
      <c r="C433" t="s">
        <v>705</v>
      </c>
      <c r="D433">
        <v>1664</v>
      </c>
      <c r="E433" t="s">
        <v>42</v>
      </c>
      <c r="F433" s="1">
        <v>45626</v>
      </c>
      <c r="G433">
        <v>1</v>
      </c>
      <c r="H433" t="s">
        <v>32</v>
      </c>
      <c r="I433" t="s">
        <v>33</v>
      </c>
      <c r="J433">
        <v>0.25</v>
      </c>
      <c r="K433">
        <v>356.25</v>
      </c>
      <c r="L433">
        <v>1425</v>
      </c>
      <c r="M433">
        <v>1068.75</v>
      </c>
      <c r="N433" t="s">
        <v>44</v>
      </c>
    </row>
    <row r="434" spans="1:14" x14ac:dyDescent="0.2">
      <c r="A434">
        <v>3433</v>
      </c>
      <c r="B434" t="s">
        <v>706</v>
      </c>
      <c r="C434" t="s">
        <v>707</v>
      </c>
      <c r="D434">
        <v>1665</v>
      </c>
      <c r="E434" t="s">
        <v>42</v>
      </c>
      <c r="F434" s="1">
        <v>45351</v>
      </c>
      <c r="G434">
        <v>1</v>
      </c>
      <c r="H434" t="s">
        <v>32</v>
      </c>
      <c r="I434" t="s">
        <v>53</v>
      </c>
      <c r="J434">
        <v>0.25</v>
      </c>
      <c r="K434">
        <v>309.75</v>
      </c>
      <c r="L434">
        <v>1239</v>
      </c>
      <c r="M434">
        <v>929.25</v>
      </c>
      <c r="N434" t="s">
        <v>48</v>
      </c>
    </row>
    <row r="435" spans="1:14" x14ac:dyDescent="0.2">
      <c r="A435">
        <v>3434</v>
      </c>
      <c r="B435" t="s">
        <v>708</v>
      </c>
      <c r="C435" t="s">
        <v>709</v>
      </c>
      <c r="D435">
        <v>1666</v>
      </c>
      <c r="E435" t="s">
        <v>37</v>
      </c>
      <c r="F435" s="1">
        <v>45391</v>
      </c>
      <c r="G435">
        <v>2</v>
      </c>
      <c r="H435" t="s">
        <v>32</v>
      </c>
      <c r="I435" t="s">
        <v>81</v>
      </c>
      <c r="J435">
        <v>0.3</v>
      </c>
      <c r="K435">
        <v>108</v>
      </c>
      <c r="L435">
        <v>360</v>
      </c>
      <c r="M435">
        <v>252</v>
      </c>
      <c r="N435" t="s">
        <v>48</v>
      </c>
    </row>
    <row r="436" spans="1:14" x14ac:dyDescent="0.2">
      <c r="A436">
        <v>3435</v>
      </c>
      <c r="B436" t="s">
        <v>710</v>
      </c>
      <c r="C436" t="s">
        <v>711</v>
      </c>
      <c r="D436">
        <v>1667</v>
      </c>
      <c r="E436" t="s">
        <v>37</v>
      </c>
      <c r="F436" s="1">
        <v>45581</v>
      </c>
      <c r="G436">
        <v>1</v>
      </c>
      <c r="H436" t="s">
        <v>32</v>
      </c>
      <c r="I436" t="s">
        <v>43</v>
      </c>
      <c r="J436">
        <v>0.3</v>
      </c>
      <c r="K436">
        <v>54.9</v>
      </c>
      <c r="L436">
        <v>183</v>
      </c>
      <c r="M436">
        <v>128.1</v>
      </c>
      <c r="N436" t="s">
        <v>48</v>
      </c>
    </row>
    <row r="437" spans="1:14" x14ac:dyDescent="0.2">
      <c r="A437">
        <v>3436</v>
      </c>
      <c r="B437" t="s">
        <v>712</v>
      </c>
      <c r="C437" t="s">
        <v>492</v>
      </c>
      <c r="D437">
        <v>1668</v>
      </c>
      <c r="E437" t="s">
        <v>51</v>
      </c>
      <c r="F437" s="1">
        <v>45550</v>
      </c>
      <c r="G437">
        <v>3</v>
      </c>
      <c r="H437" t="s">
        <v>52</v>
      </c>
      <c r="I437" t="s">
        <v>33</v>
      </c>
      <c r="J437">
        <v>0.2</v>
      </c>
      <c r="K437">
        <v>293</v>
      </c>
      <c r="L437">
        <v>1465</v>
      </c>
      <c r="M437">
        <v>1172</v>
      </c>
      <c r="N437" t="s">
        <v>44</v>
      </c>
    </row>
    <row r="438" spans="1:14" x14ac:dyDescent="0.2">
      <c r="A438">
        <v>3437</v>
      </c>
      <c r="B438" t="s">
        <v>311</v>
      </c>
      <c r="C438" t="s">
        <v>185</v>
      </c>
      <c r="D438">
        <v>1669</v>
      </c>
      <c r="E438" t="s">
        <v>51</v>
      </c>
      <c r="F438" s="1">
        <v>45379</v>
      </c>
      <c r="G438">
        <v>1</v>
      </c>
      <c r="H438" t="s">
        <v>52</v>
      </c>
      <c r="I438" t="s">
        <v>53</v>
      </c>
      <c r="J438">
        <v>0.2</v>
      </c>
      <c r="K438">
        <v>133.20000000000002</v>
      </c>
      <c r="L438">
        <v>666</v>
      </c>
      <c r="M438">
        <v>532.79999999999995</v>
      </c>
      <c r="N438" t="s">
        <v>114</v>
      </c>
    </row>
    <row r="439" spans="1:14" x14ac:dyDescent="0.2">
      <c r="A439">
        <v>3438</v>
      </c>
      <c r="B439" t="s">
        <v>713</v>
      </c>
      <c r="C439" t="s">
        <v>394</v>
      </c>
      <c r="D439">
        <v>1670</v>
      </c>
      <c r="E439" t="s">
        <v>51</v>
      </c>
      <c r="F439" s="1">
        <v>45636</v>
      </c>
      <c r="G439">
        <v>1</v>
      </c>
      <c r="H439" t="s">
        <v>38</v>
      </c>
      <c r="I439" t="s">
        <v>33</v>
      </c>
      <c r="J439">
        <v>0.2</v>
      </c>
      <c r="K439">
        <v>230.60000000000002</v>
      </c>
      <c r="L439">
        <v>1153</v>
      </c>
      <c r="M439">
        <v>922.4</v>
      </c>
      <c r="N439" t="s">
        <v>48</v>
      </c>
    </row>
    <row r="440" spans="1:14" x14ac:dyDescent="0.2">
      <c r="A440">
        <v>3439</v>
      </c>
      <c r="B440" t="s">
        <v>714</v>
      </c>
      <c r="C440" t="s">
        <v>715</v>
      </c>
      <c r="D440">
        <v>1671</v>
      </c>
      <c r="E440" t="s">
        <v>31</v>
      </c>
      <c r="F440" s="1">
        <v>45296</v>
      </c>
      <c r="G440">
        <v>1</v>
      </c>
      <c r="H440" t="s">
        <v>52</v>
      </c>
      <c r="I440" t="s">
        <v>53</v>
      </c>
      <c r="J440">
        <v>0.1</v>
      </c>
      <c r="K440">
        <v>48.6</v>
      </c>
      <c r="L440">
        <v>486</v>
      </c>
      <c r="M440">
        <v>437.4</v>
      </c>
      <c r="N440" t="s">
        <v>48</v>
      </c>
    </row>
    <row r="441" spans="1:14" x14ac:dyDescent="0.2">
      <c r="A441">
        <v>3440</v>
      </c>
      <c r="B441" t="s">
        <v>112</v>
      </c>
      <c r="C441" t="s">
        <v>716</v>
      </c>
      <c r="D441">
        <v>1672</v>
      </c>
      <c r="E441" t="s">
        <v>42</v>
      </c>
      <c r="F441" s="1">
        <v>45561</v>
      </c>
      <c r="G441">
        <v>3</v>
      </c>
      <c r="H441" t="s">
        <v>52</v>
      </c>
      <c r="I441" t="s">
        <v>39</v>
      </c>
      <c r="J441">
        <v>0.25</v>
      </c>
      <c r="K441">
        <v>140.5</v>
      </c>
      <c r="L441">
        <v>562</v>
      </c>
      <c r="M441">
        <v>421.5</v>
      </c>
      <c r="N441" t="s">
        <v>114</v>
      </c>
    </row>
    <row r="442" spans="1:14" x14ac:dyDescent="0.2">
      <c r="A442">
        <v>3441</v>
      </c>
      <c r="B442" t="s">
        <v>717</v>
      </c>
      <c r="C442" t="s">
        <v>646</v>
      </c>
      <c r="D442">
        <v>1673</v>
      </c>
      <c r="E442" t="s">
        <v>76</v>
      </c>
      <c r="F442" s="1">
        <v>45525</v>
      </c>
      <c r="G442">
        <v>1</v>
      </c>
      <c r="H442" t="s">
        <v>32</v>
      </c>
      <c r="I442" t="s">
        <v>53</v>
      </c>
      <c r="J442">
        <v>0.25</v>
      </c>
      <c r="K442">
        <v>237.25</v>
      </c>
      <c r="L442">
        <v>949</v>
      </c>
      <c r="M442">
        <v>711.75</v>
      </c>
      <c r="N442" t="s">
        <v>114</v>
      </c>
    </row>
    <row r="443" spans="1:14" x14ac:dyDescent="0.2">
      <c r="A443">
        <v>3442</v>
      </c>
      <c r="B443" t="s">
        <v>718</v>
      </c>
      <c r="C443" t="s">
        <v>719</v>
      </c>
      <c r="D443">
        <v>1674</v>
      </c>
      <c r="E443" t="s">
        <v>31</v>
      </c>
      <c r="F443" s="1">
        <v>45468</v>
      </c>
      <c r="G443">
        <v>2</v>
      </c>
      <c r="H443" t="s">
        <v>52</v>
      </c>
      <c r="I443" t="s">
        <v>47</v>
      </c>
      <c r="J443">
        <v>0.1</v>
      </c>
      <c r="K443">
        <v>78.600000000000009</v>
      </c>
      <c r="L443">
        <v>786</v>
      </c>
      <c r="M443">
        <v>707.4</v>
      </c>
      <c r="N443" t="s">
        <v>114</v>
      </c>
    </row>
    <row r="444" spans="1:14" x14ac:dyDescent="0.2">
      <c r="A444">
        <v>3443</v>
      </c>
      <c r="B444" t="s">
        <v>720</v>
      </c>
      <c r="C444" t="s">
        <v>721</v>
      </c>
      <c r="D444">
        <v>1675</v>
      </c>
      <c r="E444" t="s">
        <v>76</v>
      </c>
      <c r="F444" s="1">
        <v>45611</v>
      </c>
      <c r="G444">
        <v>2</v>
      </c>
      <c r="H444" t="s">
        <v>32</v>
      </c>
      <c r="I444" t="s">
        <v>47</v>
      </c>
      <c r="J444">
        <v>0.25</v>
      </c>
      <c r="K444">
        <v>204</v>
      </c>
      <c r="L444">
        <v>816</v>
      </c>
      <c r="M444">
        <v>612</v>
      </c>
      <c r="N444" t="s">
        <v>114</v>
      </c>
    </row>
    <row r="445" spans="1:14" x14ac:dyDescent="0.2">
      <c r="A445">
        <v>3444</v>
      </c>
      <c r="B445" t="s">
        <v>722</v>
      </c>
      <c r="C445" t="s">
        <v>723</v>
      </c>
      <c r="D445">
        <v>1676</v>
      </c>
      <c r="E445" t="s">
        <v>37</v>
      </c>
      <c r="F445" s="1">
        <v>45469</v>
      </c>
      <c r="G445">
        <v>3</v>
      </c>
      <c r="H445" t="s">
        <v>52</v>
      </c>
      <c r="I445" t="s">
        <v>47</v>
      </c>
      <c r="J445">
        <v>0.3</v>
      </c>
      <c r="K445">
        <v>53.699999999999996</v>
      </c>
      <c r="L445">
        <v>179</v>
      </c>
      <c r="M445">
        <v>125.30000000000001</v>
      </c>
      <c r="N445" t="s">
        <v>48</v>
      </c>
    </row>
    <row r="446" spans="1:14" x14ac:dyDescent="0.2">
      <c r="A446">
        <v>3445</v>
      </c>
      <c r="B446" t="s">
        <v>724</v>
      </c>
      <c r="C446" t="s">
        <v>559</v>
      </c>
      <c r="D446">
        <v>1677</v>
      </c>
      <c r="E446" t="s">
        <v>76</v>
      </c>
      <c r="F446" s="1">
        <v>45488</v>
      </c>
      <c r="G446">
        <v>3</v>
      </c>
      <c r="H446" t="s">
        <v>52</v>
      </c>
      <c r="I446" t="s">
        <v>43</v>
      </c>
      <c r="J446">
        <v>0.25</v>
      </c>
      <c r="K446">
        <v>144.25</v>
      </c>
      <c r="L446">
        <v>577</v>
      </c>
      <c r="M446">
        <v>432.75</v>
      </c>
      <c r="N446" t="s">
        <v>48</v>
      </c>
    </row>
    <row r="447" spans="1:14" x14ac:dyDescent="0.2">
      <c r="A447">
        <v>3446</v>
      </c>
      <c r="B447" t="s">
        <v>487</v>
      </c>
      <c r="C447" t="s">
        <v>725</v>
      </c>
      <c r="D447">
        <v>1678</v>
      </c>
      <c r="E447" t="s">
        <v>31</v>
      </c>
      <c r="F447" s="1">
        <v>45558</v>
      </c>
      <c r="G447">
        <v>3</v>
      </c>
      <c r="H447" t="s">
        <v>52</v>
      </c>
      <c r="I447" t="s">
        <v>57</v>
      </c>
      <c r="J447">
        <v>0.1</v>
      </c>
      <c r="K447">
        <v>172.70000000000002</v>
      </c>
      <c r="L447">
        <v>1727</v>
      </c>
      <c r="M447">
        <v>1554.3</v>
      </c>
      <c r="N447" t="s">
        <v>48</v>
      </c>
    </row>
    <row r="448" spans="1:14" x14ac:dyDescent="0.2">
      <c r="A448">
        <v>3447</v>
      </c>
      <c r="B448" t="s">
        <v>726</v>
      </c>
      <c r="C448" t="s">
        <v>206</v>
      </c>
      <c r="D448">
        <v>1679</v>
      </c>
      <c r="E448" t="s">
        <v>92</v>
      </c>
      <c r="F448" s="1">
        <v>45530</v>
      </c>
      <c r="G448">
        <v>1</v>
      </c>
      <c r="H448" t="s">
        <v>32</v>
      </c>
      <c r="I448" t="s">
        <v>81</v>
      </c>
      <c r="J448">
        <v>0.3</v>
      </c>
      <c r="K448">
        <v>229.2</v>
      </c>
      <c r="L448">
        <v>764</v>
      </c>
      <c r="M448">
        <v>534.79999999999995</v>
      </c>
      <c r="N448" t="s">
        <v>48</v>
      </c>
    </row>
    <row r="449" spans="1:14" x14ac:dyDescent="0.2">
      <c r="A449">
        <v>3448</v>
      </c>
      <c r="B449" t="s">
        <v>180</v>
      </c>
      <c r="C449" t="s">
        <v>727</v>
      </c>
      <c r="D449">
        <v>1680</v>
      </c>
      <c r="E449" t="s">
        <v>31</v>
      </c>
      <c r="F449" s="1">
        <v>45330</v>
      </c>
      <c r="G449">
        <v>2</v>
      </c>
      <c r="H449" t="s">
        <v>38</v>
      </c>
      <c r="I449" t="s">
        <v>43</v>
      </c>
      <c r="J449">
        <v>0.1</v>
      </c>
      <c r="K449">
        <v>28.6</v>
      </c>
      <c r="L449">
        <v>286</v>
      </c>
      <c r="M449">
        <v>257.39999999999998</v>
      </c>
      <c r="N449" t="s">
        <v>44</v>
      </c>
    </row>
    <row r="450" spans="1:14" x14ac:dyDescent="0.2">
      <c r="A450">
        <v>3449</v>
      </c>
      <c r="B450" t="s">
        <v>728</v>
      </c>
      <c r="C450" t="s">
        <v>729</v>
      </c>
      <c r="D450">
        <v>1681</v>
      </c>
      <c r="E450" t="s">
        <v>42</v>
      </c>
      <c r="F450" s="1">
        <v>45468</v>
      </c>
      <c r="G450">
        <v>1</v>
      </c>
      <c r="H450" t="s">
        <v>71</v>
      </c>
      <c r="I450" t="s">
        <v>53</v>
      </c>
      <c r="J450">
        <v>0.25</v>
      </c>
      <c r="K450">
        <v>411.5</v>
      </c>
      <c r="L450">
        <v>1646</v>
      </c>
      <c r="M450">
        <v>1234.5</v>
      </c>
      <c r="N450" t="s">
        <v>48</v>
      </c>
    </row>
    <row r="451" spans="1:14" x14ac:dyDescent="0.2">
      <c r="A451">
        <v>3450</v>
      </c>
      <c r="B451" t="s">
        <v>128</v>
      </c>
      <c r="C451" t="s">
        <v>730</v>
      </c>
      <c r="D451">
        <v>1682</v>
      </c>
      <c r="E451" t="s">
        <v>37</v>
      </c>
      <c r="F451" s="1">
        <v>45458</v>
      </c>
      <c r="G451">
        <v>3</v>
      </c>
      <c r="H451" t="s">
        <v>71</v>
      </c>
      <c r="I451" t="s">
        <v>64</v>
      </c>
      <c r="J451">
        <v>0.3</v>
      </c>
      <c r="K451">
        <v>539.4</v>
      </c>
      <c r="L451">
        <v>1798</v>
      </c>
      <c r="M451">
        <v>1258.5999999999999</v>
      </c>
      <c r="N451" t="s">
        <v>34</v>
      </c>
    </row>
    <row r="452" spans="1:14" x14ac:dyDescent="0.2">
      <c r="A452">
        <v>3451</v>
      </c>
      <c r="B452" t="s">
        <v>731</v>
      </c>
      <c r="C452" t="s">
        <v>732</v>
      </c>
      <c r="D452">
        <v>1683</v>
      </c>
      <c r="E452" t="s">
        <v>51</v>
      </c>
      <c r="F452" s="1">
        <v>45334</v>
      </c>
      <c r="G452">
        <v>2</v>
      </c>
      <c r="H452" t="s">
        <v>32</v>
      </c>
      <c r="I452" t="s">
        <v>53</v>
      </c>
      <c r="J452">
        <v>0.2</v>
      </c>
      <c r="K452">
        <v>302.2</v>
      </c>
      <c r="L452">
        <v>1511</v>
      </c>
      <c r="M452">
        <v>1208.8</v>
      </c>
      <c r="N452" t="s">
        <v>34</v>
      </c>
    </row>
    <row r="453" spans="1:14" x14ac:dyDescent="0.2">
      <c r="A453">
        <v>3452</v>
      </c>
      <c r="B453" t="s">
        <v>733</v>
      </c>
      <c r="C453" t="s">
        <v>599</v>
      </c>
      <c r="D453">
        <v>1684</v>
      </c>
      <c r="E453" t="s">
        <v>31</v>
      </c>
      <c r="F453" s="1">
        <v>45322</v>
      </c>
      <c r="G453">
        <v>1</v>
      </c>
      <c r="H453" t="s">
        <v>38</v>
      </c>
      <c r="I453" t="s">
        <v>47</v>
      </c>
      <c r="J453">
        <v>0.1</v>
      </c>
      <c r="K453">
        <v>59.800000000000004</v>
      </c>
      <c r="L453">
        <v>598</v>
      </c>
      <c r="M453">
        <v>538.20000000000005</v>
      </c>
      <c r="N453" t="s">
        <v>114</v>
      </c>
    </row>
    <row r="454" spans="1:14" x14ac:dyDescent="0.2">
      <c r="A454">
        <v>3453</v>
      </c>
      <c r="B454" t="s">
        <v>734</v>
      </c>
      <c r="C454" t="s">
        <v>188</v>
      </c>
      <c r="D454">
        <v>1685</v>
      </c>
      <c r="E454" t="s">
        <v>31</v>
      </c>
      <c r="F454" s="1">
        <v>45375</v>
      </c>
      <c r="G454">
        <v>2</v>
      </c>
      <c r="H454" t="s">
        <v>32</v>
      </c>
      <c r="I454" t="s">
        <v>81</v>
      </c>
      <c r="J454">
        <v>0.1</v>
      </c>
      <c r="K454">
        <v>114.5</v>
      </c>
      <c r="L454">
        <v>1145</v>
      </c>
      <c r="M454">
        <v>1030.5</v>
      </c>
      <c r="N454" t="s">
        <v>48</v>
      </c>
    </row>
    <row r="455" spans="1:14" x14ac:dyDescent="0.2">
      <c r="A455">
        <v>3454</v>
      </c>
      <c r="B455" t="s">
        <v>217</v>
      </c>
      <c r="C455" t="s">
        <v>735</v>
      </c>
      <c r="D455">
        <v>1686</v>
      </c>
      <c r="E455" t="s">
        <v>76</v>
      </c>
      <c r="F455" s="1">
        <v>45591</v>
      </c>
      <c r="G455">
        <v>2</v>
      </c>
      <c r="H455" t="s">
        <v>32</v>
      </c>
      <c r="I455" t="s">
        <v>81</v>
      </c>
      <c r="J455">
        <v>0.25</v>
      </c>
      <c r="K455">
        <v>254.25</v>
      </c>
      <c r="L455">
        <v>1017</v>
      </c>
      <c r="M455">
        <v>762.75</v>
      </c>
      <c r="N455" t="s">
        <v>48</v>
      </c>
    </row>
    <row r="456" spans="1:14" x14ac:dyDescent="0.2">
      <c r="A456">
        <v>3455</v>
      </c>
      <c r="B456" t="s">
        <v>736</v>
      </c>
      <c r="C456" t="s">
        <v>527</v>
      </c>
      <c r="D456">
        <v>1687</v>
      </c>
      <c r="E456" t="s">
        <v>51</v>
      </c>
      <c r="F456" s="1">
        <v>45424</v>
      </c>
      <c r="G456">
        <v>1</v>
      </c>
      <c r="H456" t="s">
        <v>52</v>
      </c>
      <c r="I456" t="s">
        <v>53</v>
      </c>
      <c r="J456">
        <v>0.2</v>
      </c>
      <c r="K456">
        <v>170.8</v>
      </c>
      <c r="L456">
        <v>854</v>
      </c>
      <c r="M456">
        <v>683.2</v>
      </c>
      <c r="N456" t="s">
        <v>114</v>
      </c>
    </row>
    <row r="457" spans="1:14" x14ac:dyDescent="0.2">
      <c r="A457">
        <v>3456</v>
      </c>
      <c r="B457" t="s">
        <v>737</v>
      </c>
      <c r="C457" t="s">
        <v>405</v>
      </c>
      <c r="D457">
        <v>1688</v>
      </c>
      <c r="E457" t="s">
        <v>51</v>
      </c>
      <c r="F457" s="1">
        <v>45462</v>
      </c>
      <c r="G457">
        <v>2</v>
      </c>
      <c r="H457" t="s">
        <v>32</v>
      </c>
      <c r="I457" t="s">
        <v>81</v>
      </c>
      <c r="J457">
        <v>0.2</v>
      </c>
      <c r="K457">
        <v>152.80000000000001</v>
      </c>
      <c r="L457">
        <v>764</v>
      </c>
      <c r="M457">
        <v>611.20000000000005</v>
      </c>
      <c r="N457" t="s">
        <v>54</v>
      </c>
    </row>
    <row r="458" spans="1:14" x14ac:dyDescent="0.2">
      <c r="A458">
        <v>3457</v>
      </c>
      <c r="B458" t="s">
        <v>738</v>
      </c>
      <c r="C458" t="s">
        <v>739</v>
      </c>
      <c r="D458">
        <v>1689</v>
      </c>
      <c r="E458" t="s">
        <v>37</v>
      </c>
      <c r="F458" s="1">
        <v>45571</v>
      </c>
      <c r="G458">
        <v>3</v>
      </c>
      <c r="H458" t="s">
        <v>32</v>
      </c>
      <c r="I458" t="s">
        <v>64</v>
      </c>
      <c r="J458">
        <v>0.3</v>
      </c>
      <c r="K458">
        <v>204.29999999999998</v>
      </c>
      <c r="L458">
        <v>681</v>
      </c>
      <c r="M458">
        <v>476.70000000000005</v>
      </c>
      <c r="N458" t="s">
        <v>34</v>
      </c>
    </row>
    <row r="459" spans="1:14" x14ac:dyDescent="0.2">
      <c r="A459">
        <v>3458</v>
      </c>
      <c r="B459" t="s">
        <v>740</v>
      </c>
      <c r="C459" t="s">
        <v>741</v>
      </c>
      <c r="D459">
        <v>1690</v>
      </c>
      <c r="E459" t="s">
        <v>42</v>
      </c>
      <c r="F459" s="1">
        <v>45497</v>
      </c>
      <c r="G459">
        <v>3</v>
      </c>
      <c r="H459" t="s">
        <v>32</v>
      </c>
      <c r="I459" t="s">
        <v>81</v>
      </c>
      <c r="J459">
        <v>0.25</v>
      </c>
      <c r="K459">
        <v>125.25</v>
      </c>
      <c r="L459">
        <v>501</v>
      </c>
      <c r="M459">
        <v>375.75</v>
      </c>
      <c r="N459" t="s">
        <v>44</v>
      </c>
    </row>
    <row r="460" spans="1:14" x14ac:dyDescent="0.2">
      <c r="A460">
        <v>3459</v>
      </c>
      <c r="B460" t="s">
        <v>742</v>
      </c>
      <c r="C460" t="s">
        <v>743</v>
      </c>
      <c r="D460">
        <v>1691</v>
      </c>
      <c r="E460" t="s">
        <v>42</v>
      </c>
      <c r="F460" s="1">
        <v>45353</v>
      </c>
      <c r="G460">
        <v>1</v>
      </c>
      <c r="H460" t="s">
        <v>52</v>
      </c>
      <c r="I460" t="s">
        <v>81</v>
      </c>
      <c r="J460">
        <v>0.25</v>
      </c>
      <c r="K460">
        <v>403.75</v>
      </c>
      <c r="L460">
        <v>1615</v>
      </c>
      <c r="M460">
        <v>1211.25</v>
      </c>
      <c r="N460" t="s">
        <v>48</v>
      </c>
    </row>
    <row r="461" spans="1:14" x14ac:dyDescent="0.2">
      <c r="A461">
        <v>3460</v>
      </c>
      <c r="B461" t="s">
        <v>744</v>
      </c>
      <c r="C461" t="s">
        <v>745</v>
      </c>
      <c r="D461">
        <v>1692</v>
      </c>
      <c r="E461" t="s">
        <v>92</v>
      </c>
      <c r="F461" s="1">
        <v>45484</v>
      </c>
      <c r="G461">
        <v>3</v>
      </c>
      <c r="H461" t="s">
        <v>52</v>
      </c>
      <c r="I461" t="s">
        <v>57</v>
      </c>
      <c r="J461">
        <v>0.3</v>
      </c>
      <c r="K461">
        <v>247.5</v>
      </c>
      <c r="L461">
        <v>825</v>
      </c>
      <c r="M461">
        <v>577.5</v>
      </c>
      <c r="N461" t="s">
        <v>34</v>
      </c>
    </row>
    <row r="462" spans="1:14" x14ac:dyDescent="0.2">
      <c r="A462">
        <v>3461</v>
      </c>
      <c r="B462" t="s">
        <v>746</v>
      </c>
      <c r="C462" t="s">
        <v>228</v>
      </c>
      <c r="D462">
        <v>1693</v>
      </c>
      <c r="E462" t="s">
        <v>76</v>
      </c>
      <c r="F462" s="1">
        <v>45607</v>
      </c>
      <c r="G462">
        <v>3</v>
      </c>
      <c r="H462" t="s">
        <v>52</v>
      </c>
      <c r="I462" t="s">
        <v>57</v>
      </c>
      <c r="J462">
        <v>0.25</v>
      </c>
      <c r="K462">
        <v>184.25</v>
      </c>
      <c r="L462">
        <v>737</v>
      </c>
      <c r="M462">
        <v>552.75</v>
      </c>
      <c r="N462" t="s">
        <v>34</v>
      </c>
    </row>
    <row r="463" spans="1:14" x14ac:dyDescent="0.2">
      <c r="A463">
        <v>3462</v>
      </c>
      <c r="B463" t="s">
        <v>708</v>
      </c>
      <c r="C463" t="s">
        <v>454</v>
      </c>
      <c r="D463">
        <v>1694</v>
      </c>
      <c r="E463" t="s">
        <v>76</v>
      </c>
      <c r="F463" s="1">
        <v>45370</v>
      </c>
      <c r="G463">
        <v>3</v>
      </c>
      <c r="H463" t="s">
        <v>38</v>
      </c>
      <c r="I463" t="s">
        <v>64</v>
      </c>
      <c r="J463">
        <v>0.25</v>
      </c>
      <c r="K463">
        <v>316.75</v>
      </c>
      <c r="L463">
        <v>1267</v>
      </c>
      <c r="M463">
        <v>950.25</v>
      </c>
      <c r="N463" t="s">
        <v>114</v>
      </c>
    </row>
    <row r="464" spans="1:14" x14ac:dyDescent="0.2">
      <c r="A464">
        <v>3463</v>
      </c>
      <c r="B464" t="s">
        <v>502</v>
      </c>
      <c r="C464" t="s">
        <v>747</v>
      </c>
      <c r="D464">
        <v>1695</v>
      </c>
      <c r="E464" t="s">
        <v>42</v>
      </c>
      <c r="F464" s="1">
        <v>45402</v>
      </c>
      <c r="G464">
        <v>1</v>
      </c>
      <c r="H464" t="s">
        <v>32</v>
      </c>
      <c r="I464" t="s">
        <v>33</v>
      </c>
      <c r="J464">
        <v>0.25</v>
      </c>
      <c r="K464">
        <v>30</v>
      </c>
      <c r="L464">
        <v>120</v>
      </c>
      <c r="M464">
        <v>90</v>
      </c>
      <c r="N464" t="s">
        <v>44</v>
      </c>
    </row>
    <row r="465" spans="1:14" x14ac:dyDescent="0.2">
      <c r="A465">
        <v>3464</v>
      </c>
      <c r="B465" t="s">
        <v>748</v>
      </c>
      <c r="C465" t="s">
        <v>749</v>
      </c>
      <c r="D465">
        <v>1696</v>
      </c>
      <c r="E465" t="s">
        <v>37</v>
      </c>
      <c r="F465" s="1">
        <v>45316</v>
      </c>
      <c r="G465">
        <v>3</v>
      </c>
      <c r="H465" t="s">
        <v>52</v>
      </c>
      <c r="I465" t="s">
        <v>57</v>
      </c>
      <c r="J465">
        <v>0.3</v>
      </c>
      <c r="K465">
        <v>71.7</v>
      </c>
      <c r="L465">
        <v>239</v>
      </c>
      <c r="M465">
        <v>167.3</v>
      </c>
      <c r="N465" t="s">
        <v>54</v>
      </c>
    </row>
    <row r="466" spans="1:14" x14ac:dyDescent="0.2">
      <c r="A466">
        <v>3465</v>
      </c>
      <c r="B466" t="s">
        <v>720</v>
      </c>
      <c r="C466" t="s">
        <v>750</v>
      </c>
      <c r="D466">
        <v>1697</v>
      </c>
      <c r="E466" t="s">
        <v>51</v>
      </c>
      <c r="F466" s="1">
        <v>45344</v>
      </c>
      <c r="G466">
        <v>1</v>
      </c>
      <c r="H466" t="s">
        <v>52</v>
      </c>
      <c r="I466" t="s">
        <v>43</v>
      </c>
      <c r="J466">
        <v>0.2</v>
      </c>
      <c r="K466">
        <v>193</v>
      </c>
      <c r="L466">
        <v>965</v>
      </c>
      <c r="M466">
        <v>772</v>
      </c>
      <c r="N466" t="s">
        <v>114</v>
      </c>
    </row>
    <row r="467" spans="1:14" x14ac:dyDescent="0.2">
      <c r="A467">
        <v>3466</v>
      </c>
      <c r="B467" t="s">
        <v>751</v>
      </c>
      <c r="C467" t="s">
        <v>752</v>
      </c>
      <c r="D467">
        <v>1698</v>
      </c>
      <c r="E467" t="s">
        <v>51</v>
      </c>
      <c r="F467" s="1">
        <v>45369</v>
      </c>
      <c r="G467">
        <v>1</v>
      </c>
      <c r="H467" t="s">
        <v>52</v>
      </c>
      <c r="I467" t="s">
        <v>47</v>
      </c>
      <c r="J467">
        <v>0.2</v>
      </c>
      <c r="K467">
        <v>108</v>
      </c>
      <c r="L467">
        <v>540</v>
      </c>
      <c r="M467">
        <v>432</v>
      </c>
      <c r="N467" t="s">
        <v>34</v>
      </c>
    </row>
    <row r="468" spans="1:14" x14ac:dyDescent="0.2">
      <c r="A468">
        <v>3467</v>
      </c>
      <c r="B468" t="s">
        <v>753</v>
      </c>
      <c r="C468" t="s">
        <v>754</v>
      </c>
      <c r="D468">
        <v>1699</v>
      </c>
      <c r="E468" t="s">
        <v>42</v>
      </c>
      <c r="F468" s="1">
        <v>45298</v>
      </c>
      <c r="G468">
        <v>1</v>
      </c>
      <c r="H468" t="s">
        <v>32</v>
      </c>
      <c r="I468" t="s">
        <v>39</v>
      </c>
      <c r="J468">
        <v>0.25</v>
      </c>
      <c r="K468">
        <v>110.5</v>
      </c>
      <c r="L468">
        <v>442</v>
      </c>
      <c r="M468">
        <v>331.5</v>
      </c>
      <c r="N468" t="s">
        <v>48</v>
      </c>
    </row>
    <row r="469" spans="1:14" x14ac:dyDescent="0.2">
      <c r="A469">
        <v>3468</v>
      </c>
      <c r="B469" t="s">
        <v>547</v>
      </c>
      <c r="C469" t="s">
        <v>319</v>
      </c>
      <c r="D469">
        <v>1700</v>
      </c>
      <c r="E469" t="s">
        <v>51</v>
      </c>
      <c r="F469" s="1">
        <v>45425</v>
      </c>
      <c r="G469">
        <v>1</v>
      </c>
      <c r="H469" t="s">
        <v>52</v>
      </c>
      <c r="I469" t="s">
        <v>57</v>
      </c>
      <c r="J469">
        <v>0.2</v>
      </c>
      <c r="K469">
        <v>143.4</v>
      </c>
      <c r="L469">
        <v>717</v>
      </c>
      <c r="M469">
        <v>573.6</v>
      </c>
      <c r="N469" t="s">
        <v>44</v>
      </c>
    </row>
    <row r="470" spans="1:14" x14ac:dyDescent="0.2">
      <c r="A470">
        <v>3469</v>
      </c>
      <c r="B470" t="s">
        <v>755</v>
      </c>
      <c r="C470" t="s">
        <v>181</v>
      </c>
      <c r="D470">
        <v>1701</v>
      </c>
      <c r="E470" t="s">
        <v>51</v>
      </c>
      <c r="F470" s="1">
        <v>45504</v>
      </c>
      <c r="G470">
        <v>3</v>
      </c>
      <c r="H470" t="s">
        <v>38</v>
      </c>
      <c r="I470" t="s">
        <v>53</v>
      </c>
      <c r="J470">
        <v>0.2</v>
      </c>
      <c r="K470">
        <v>252</v>
      </c>
      <c r="L470">
        <v>1260</v>
      </c>
      <c r="M470">
        <v>1008</v>
      </c>
      <c r="N470" t="s">
        <v>44</v>
      </c>
    </row>
    <row r="471" spans="1:14" x14ac:dyDescent="0.2">
      <c r="A471">
        <v>3470</v>
      </c>
      <c r="B471" t="s">
        <v>756</v>
      </c>
      <c r="C471" t="s">
        <v>757</v>
      </c>
      <c r="D471">
        <v>1702</v>
      </c>
      <c r="E471" t="s">
        <v>37</v>
      </c>
      <c r="F471" s="1">
        <v>45515</v>
      </c>
      <c r="G471">
        <v>3</v>
      </c>
      <c r="H471" t="s">
        <v>32</v>
      </c>
      <c r="I471" t="s">
        <v>39</v>
      </c>
      <c r="J471">
        <v>0.3</v>
      </c>
      <c r="K471">
        <v>107.1</v>
      </c>
      <c r="L471">
        <v>357</v>
      </c>
      <c r="M471">
        <v>249.9</v>
      </c>
      <c r="N471" t="s">
        <v>114</v>
      </c>
    </row>
    <row r="472" spans="1:14" x14ac:dyDescent="0.2">
      <c r="A472">
        <v>3471</v>
      </c>
      <c r="B472" t="s">
        <v>758</v>
      </c>
      <c r="C472" t="s">
        <v>632</v>
      </c>
      <c r="D472">
        <v>1703</v>
      </c>
      <c r="E472" t="s">
        <v>42</v>
      </c>
      <c r="F472" s="1">
        <v>45604</v>
      </c>
      <c r="G472">
        <v>3</v>
      </c>
      <c r="H472" t="s">
        <v>52</v>
      </c>
      <c r="I472" t="s">
        <v>81</v>
      </c>
      <c r="J472">
        <v>0.25</v>
      </c>
      <c r="K472">
        <v>297</v>
      </c>
      <c r="L472">
        <v>1188</v>
      </c>
      <c r="M472">
        <v>891</v>
      </c>
      <c r="N472" t="s">
        <v>34</v>
      </c>
    </row>
    <row r="473" spans="1:14" x14ac:dyDescent="0.2">
      <c r="A473">
        <v>3472</v>
      </c>
      <c r="B473" t="s">
        <v>759</v>
      </c>
      <c r="C473" t="s">
        <v>745</v>
      </c>
      <c r="D473">
        <v>1704</v>
      </c>
      <c r="E473" t="s">
        <v>51</v>
      </c>
      <c r="F473" s="1">
        <v>45300</v>
      </c>
      <c r="G473">
        <v>3</v>
      </c>
      <c r="H473" t="s">
        <v>71</v>
      </c>
      <c r="I473" t="s">
        <v>43</v>
      </c>
      <c r="J473">
        <v>0.2</v>
      </c>
      <c r="K473">
        <v>154.60000000000002</v>
      </c>
      <c r="L473">
        <v>773</v>
      </c>
      <c r="M473">
        <v>618.4</v>
      </c>
      <c r="N473" t="s">
        <v>114</v>
      </c>
    </row>
    <row r="474" spans="1:14" x14ac:dyDescent="0.2">
      <c r="A474">
        <v>3473</v>
      </c>
      <c r="B474" t="s">
        <v>760</v>
      </c>
      <c r="C474" t="s">
        <v>270</v>
      </c>
      <c r="D474">
        <v>1705</v>
      </c>
      <c r="E474" t="s">
        <v>76</v>
      </c>
      <c r="F474" s="1">
        <v>45360</v>
      </c>
      <c r="G474">
        <v>1</v>
      </c>
      <c r="H474" t="s">
        <v>52</v>
      </c>
      <c r="I474" t="s">
        <v>43</v>
      </c>
      <c r="J474">
        <v>0.25</v>
      </c>
      <c r="K474">
        <v>83.5</v>
      </c>
      <c r="L474">
        <v>334</v>
      </c>
      <c r="M474">
        <v>250.5</v>
      </c>
      <c r="N474" t="s">
        <v>54</v>
      </c>
    </row>
    <row r="475" spans="1:14" x14ac:dyDescent="0.2">
      <c r="A475">
        <v>3474</v>
      </c>
      <c r="B475" t="s">
        <v>761</v>
      </c>
      <c r="C475" t="s">
        <v>762</v>
      </c>
      <c r="D475">
        <v>1706</v>
      </c>
      <c r="E475" t="s">
        <v>42</v>
      </c>
      <c r="F475" s="1">
        <v>45378</v>
      </c>
      <c r="G475">
        <v>1</v>
      </c>
      <c r="H475" t="s">
        <v>52</v>
      </c>
      <c r="I475" t="s">
        <v>39</v>
      </c>
      <c r="J475">
        <v>0.25</v>
      </c>
      <c r="K475">
        <v>419</v>
      </c>
      <c r="L475">
        <v>1676</v>
      </c>
      <c r="M475">
        <v>1257</v>
      </c>
      <c r="N475" t="s">
        <v>114</v>
      </c>
    </row>
    <row r="476" spans="1:14" x14ac:dyDescent="0.2">
      <c r="A476">
        <v>3475</v>
      </c>
      <c r="B476" t="s">
        <v>763</v>
      </c>
      <c r="C476" t="s">
        <v>764</v>
      </c>
      <c r="D476">
        <v>1707</v>
      </c>
      <c r="E476" t="s">
        <v>31</v>
      </c>
      <c r="F476" s="1">
        <v>45496</v>
      </c>
      <c r="G476">
        <v>1</v>
      </c>
      <c r="H476" t="s">
        <v>32</v>
      </c>
      <c r="I476" t="s">
        <v>81</v>
      </c>
      <c r="J476">
        <v>0.1</v>
      </c>
      <c r="K476">
        <v>176.3</v>
      </c>
      <c r="L476">
        <v>1763</v>
      </c>
      <c r="M476">
        <v>1586.7</v>
      </c>
      <c r="N476" t="s">
        <v>114</v>
      </c>
    </row>
    <row r="477" spans="1:14" x14ac:dyDescent="0.2">
      <c r="A477">
        <v>3476</v>
      </c>
      <c r="B477" t="s">
        <v>690</v>
      </c>
      <c r="C477" t="s">
        <v>243</v>
      </c>
      <c r="D477">
        <v>1708</v>
      </c>
      <c r="E477" t="s">
        <v>42</v>
      </c>
      <c r="F477" s="1">
        <v>45323</v>
      </c>
      <c r="G477">
        <v>2</v>
      </c>
      <c r="H477" t="s">
        <v>32</v>
      </c>
      <c r="I477" t="s">
        <v>43</v>
      </c>
      <c r="J477">
        <v>0.25</v>
      </c>
      <c r="K477">
        <v>168.75</v>
      </c>
      <c r="L477">
        <v>675</v>
      </c>
      <c r="M477">
        <v>506.25</v>
      </c>
      <c r="N477" t="s">
        <v>48</v>
      </c>
    </row>
    <row r="478" spans="1:14" x14ac:dyDescent="0.2">
      <c r="A478">
        <v>3477</v>
      </c>
      <c r="B478" t="s">
        <v>765</v>
      </c>
      <c r="C478" t="s">
        <v>201</v>
      </c>
      <c r="D478">
        <v>1709</v>
      </c>
      <c r="E478" t="s">
        <v>31</v>
      </c>
      <c r="F478" s="1">
        <v>45636</v>
      </c>
      <c r="G478">
        <v>1</v>
      </c>
      <c r="H478" t="s">
        <v>32</v>
      </c>
      <c r="I478" t="s">
        <v>53</v>
      </c>
      <c r="J478">
        <v>0.1</v>
      </c>
      <c r="K478">
        <v>184.5</v>
      </c>
      <c r="L478">
        <v>1845</v>
      </c>
      <c r="M478">
        <v>1660.5</v>
      </c>
      <c r="N478" t="s">
        <v>44</v>
      </c>
    </row>
    <row r="479" spans="1:14" x14ac:dyDescent="0.2">
      <c r="A479">
        <v>3478</v>
      </c>
      <c r="B479" t="s">
        <v>407</v>
      </c>
      <c r="C479" t="s">
        <v>729</v>
      </c>
      <c r="D479">
        <v>1710</v>
      </c>
      <c r="E479" t="s">
        <v>51</v>
      </c>
      <c r="F479" s="1">
        <v>45424</v>
      </c>
      <c r="G479">
        <v>2</v>
      </c>
      <c r="H479" t="s">
        <v>32</v>
      </c>
      <c r="I479" t="s">
        <v>47</v>
      </c>
      <c r="J479">
        <v>0.2</v>
      </c>
      <c r="K479">
        <v>120.4</v>
      </c>
      <c r="L479">
        <v>602</v>
      </c>
      <c r="M479">
        <v>481.6</v>
      </c>
      <c r="N479" t="s">
        <v>34</v>
      </c>
    </row>
    <row r="480" spans="1:14" x14ac:dyDescent="0.2">
      <c r="A480">
        <v>3479</v>
      </c>
      <c r="B480" t="s">
        <v>564</v>
      </c>
      <c r="C480" t="s">
        <v>766</v>
      </c>
      <c r="D480">
        <v>1711</v>
      </c>
      <c r="E480" t="s">
        <v>37</v>
      </c>
      <c r="F480" s="1">
        <v>45561</v>
      </c>
      <c r="G480">
        <v>1</v>
      </c>
      <c r="H480" t="s">
        <v>52</v>
      </c>
      <c r="I480" t="s">
        <v>53</v>
      </c>
      <c r="J480">
        <v>0.3</v>
      </c>
      <c r="K480">
        <v>46.199999999999996</v>
      </c>
      <c r="L480">
        <v>154</v>
      </c>
      <c r="M480">
        <v>107.80000000000001</v>
      </c>
      <c r="N480" t="s">
        <v>34</v>
      </c>
    </row>
    <row r="481" spans="1:14" x14ac:dyDescent="0.2">
      <c r="A481">
        <v>3480</v>
      </c>
      <c r="B481" t="s">
        <v>477</v>
      </c>
      <c r="C481" t="s">
        <v>522</v>
      </c>
      <c r="D481">
        <v>1712</v>
      </c>
      <c r="E481" t="s">
        <v>51</v>
      </c>
      <c r="F481" s="1">
        <v>45507</v>
      </c>
      <c r="G481">
        <v>3</v>
      </c>
      <c r="H481" t="s">
        <v>32</v>
      </c>
      <c r="I481" t="s">
        <v>39</v>
      </c>
      <c r="J481">
        <v>0.2</v>
      </c>
      <c r="K481">
        <v>307</v>
      </c>
      <c r="L481">
        <v>1535</v>
      </c>
      <c r="M481">
        <v>1228</v>
      </c>
      <c r="N481" t="s">
        <v>114</v>
      </c>
    </row>
    <row r="482" spans="1:14" x14ac:dyDescent="0.2">
      <c r="A482">
        <v>3481</v>
      </c>
      <c r="B482" t="s">
        <v>767</v>
      </c>
      <c r="C482" t="s">
        <v>768</v>
      </c>
      <c r="D482">
        <v>1713</v>
      </c>
      <c r="E482" t="s">
        <v>92</v>
      </c>
      <c r="F482" s="1">
        <v>45640</v>
      </c>
      <c r="G482">
        <v>2</v>
      </c>
      <c r="H482" t="s">
        <v>52</v>
      </c>
      <c r="I482" t="s">
        <v>57</v>
      </c>
      <c r="J482">
        <v>0.3</v>
      </c>
      <c r="K482">
        <v>393.3</v>
      </c>
      <c r="L482">
        <v>1311</v>
      </c>
      <c r="M482">
        <v>917.7</v>
      </c>
      <c r="N482" t="s">
        <v>48</v>
      </c>
    </row>
    <row r="483" spans="1:14" x14ac:dyDescent="0.2">
      <c r="A483">
        <v>3482</v>
      </c>
      <c r="B483" t="s">
        <v>769</v>
      </c>
      <c r="C483" t="s">
        <v>488</v>
      </c>
      <c r="D483">
        <v>1714</v>
      </c>
      <c r="E483" t="s">
        <v>51</v>
      </c>
      <c r="F483" s="1">
        <v>45500</v>
      </c>
      <c r="G483">
        <v>3</v>
      </c>
      <c r="H483" t="s">
        <v>52</v>
      </c>
      <c r="I483" t="s">
        <v>33</v>
      </c>
      <c r="J483">
        <v>0.2</v>
      </c>
      <c r="K483">
        <v>204.20000000000002</v>
      </c>
      <c r="L483">
        <v>1021</v>
      </c>
      <c r="M483">
        <v>816.8</v>
      </c>
      <c r="N483" t="s">
        <v>44</v>
      </c>
    </row>
    <row r="484" spans="1:14" x14ac:dyDescent="0.2">
      <c r="A484">
        <v>3483</v>
      </c>
      <c r="B484" t="s">
        <v>770</v>
      </c>
      <c r="C484" t="s">
        <v>771</v>
      </c>
      <c r="D484">
        <v>1715</v>
      </c>
      <c r="E484" t="s">
        <v>42</v>
      </c>
      <c r="F484" s="1">
        <v>45375</v>
      </c>
      <c r="G484">
        <v>3</v>
      </c>
      <c r="H484" t="s">
        <v>52</v>
      </c>
      <c r="I484" t="s">
        <v>33</v>
      </c>
      <c r="J484">
        <v>0.25</v>
      </c>
      <c r="K484">
        <v>369</v>
      </c>
      <c r="L484">
        <v>1476</v>
      </c>
      <c r="M484">
        <v>1107</v>
      </c>
      <c r="N484" t="s">
        <v>48</v>
      </c>
    </row>
    <row r="485" spans="1:14" x14ac:dyDescent="0.2">
      <c r="A485">
        <v>3484</v>
      </c>
      <c r="B485" t="s">
        <v>450</v>
      </c>
      <c r="C485" t="s">
        <v>295</v>
      </c>
      <c r="D485">
        <v>1716</v>
      </c>
      <c r="E485" t="s">
        <v>42</v>
      </c>
      <c r="F485" s="1">
        <v>45579</v>
      </c>
      <c r="G485">
        <v>2</v>
      </c>
      <c r="H485" t="s">
        <v>52</v>
      </c>
      <c r="I485" t="s">
        <v>53</v>
      </c>
      <c r="J485">
        <v>0.25</v>
      </c>
      <c r="K485">
        <v>141.75</v>
      </c>
      <c r="L485">
        <v>567</v>
      </c>
      <c r="M485">
        <v>425.25</v>
      </c>
      <c r="N485" t="s">
        <v>44</v>
      </c>
    </row>
    <row r="486" spans="1:14" x14ac:dyDescent="0.2">
      <c r="A486">
        <v>3485</v>
      </c>
      <c r="B486" t="s">
        <v>772</v>
      </c>
      <c r="C486" t="s">
        <v>661</v>
      </c>
      <c r="D486">
        <v>1717</v>
      </c>
      <c r="E486" t="s">
        <v>92</v>
      </c>
      <c r="F486" s="1">
        <v>45617</v>
      </c>
      <c r="G486">
        <v>3</v>
      </c>
      <c r="H486" t="s">
        <v>52</v>
      </c>
      <c r="I486" t="s">
        <v>81</v>
      </c>
      <c r="J486">
        <v>0.3</v>
      </c>
      <c r="K486">
        <v>357.3</v>
      </c>
      <c r="L486">
        <v>1191</v>
      </c>
      <c r="M486">
        <v>833.7</v>
      </c>
      <c r="N486" t="s">
        <v>114</v>
      </c>
    </row>
    <row r="487" spans="1:14" x14ac:dyDescent="0.2">
      <c r="A487">
        <v>3486</v>
      </c>
      <c r="B487" t="s">
        <v>724</v>
      </c>
      <c r="C487" t="s">
        <v>303</v>
      </c>
      <c r="D487">
        <v>1718</v>
      </c>
      <c r="E487" t="s">
        <v>31</v>
      </c>
      <c r="F487" s="1">
        <v>45612</v>
      </c>
      <c r="G487">
        <v>3</v>
      </c>
      <c r="H487" t="s">
        <v>52</v>
      </c>
      <c r="I487" t="s">
        <v>33</v>
      </c>
      <c r="J487">
        <v>0.1</v>
      </c>
      <c r="K487">
        <v>11.3</v>
      </c>
      <c r="L487">
        <v>113</v>
      </c>
      <c r="M487">
        <v>101.7</v>
      </c>
      <c r="N487" t="s">
        <v>44</v>
      </c>
    </row>
    <row r="488" spans="1:14" x14ac:dyDescent="0.2">
      <c r="A488">
        <v>3487</v>
      </c>
      <c r="B488" t="s">
        <v>773</v>
      </c>
      <c r="C488" t="s">
        <v>499</v>
      </c>
      <c r="D488">
        <v>1719</v>
      </c>
      <c r="E488" t="s">
        <v>31</v>
      </c>
      <c r="F488" s="1">
        <v>45593</v>
      </c>
      <c r="G488">
        <v>2</v>
      </c>
      <c r="H488" t="s">
        <v>52</v>
      </c>
      <c r="I488" t="s">
        <v>39</v>
      </c>
      <c r="J488">
        <v>0.1</v>
      </c>
      <c r="K488">
        <v>86.5</v>
      </c>
      <c r="L488">
        <v>865</v>
      </c>
      <c r="M488">
        <v>778.5</v>
      </c>
      <c r="N488" t="s">
        <v>34</v>
      </c>
    </row>
    <row r="489" spans="1:14" x14ac:dyDescent="0.2">
      <c r="A489">
        <v>3488</v>
      </c>
      <c r="B489" t="s">
        <v>381</v>
      </c>
      <c r="C489" t="s">
        <v>774</v>
      </c>
      <c r="D489">
        <v>1720</v>
      </c>
      <c r="E489" t="s">
        <v>42</v>
      </c>
      <c r="F489" s="1">
        <v>45569</v>
      </c>
      <c r="G489">
        <v>2</v>
      </c>
      <c r="H489" t="s">
        <v>32</v>
      </c>
      <c r="I489" t="s">
        <v>43</v>
      </c>
      <c r="J489">
        <v>0.25</v>
      </c>
      <c r="K489">
        <v>213</v>
      </c>
      <c r="L489">
        <v>852</v>
      </c>
      <c r="M489">
        <v>639</v>
      </c>
      <c r="N489" t="s">
        <v>48</v>
      </c>
    </row>
    <row r="490" spans="1:14" x14ac:dyDescent="0.2">
      <c r="A490">
        <v>3489</v>
      </c>
      <c r="B490" t="s">
        <v>347</v>
      </c>
      <c r="C490" t="s">
        <v>335</v>
      </c>
      <c r="D490">
        <v>1721</v>
      </c>
      <c r="E490" t="s">
        <v>51</v>
      </c>
      <c r="F490" s="1">
        <v>45499</v>
      </c>
      <c r="G490">
        <v>2</v>
      </c>
      <c r="H490" t="s">
        <v>32</v>
      </c>
      <c r="I490" t="s">
        <v>33</v>
      </c>
      <c r="J490">
        <v>0.2</v>
      </c>
      <c r="K490">
        <v>327.60000000000002</v>
      </c>
      <c r="L490">
        <v>1638</v>
      </c>
      <c r="M490">
        <v>1310.4000000000001</v>
      </c>
      <c r="N490" t="s">
        <v>54</v>
      </c>
    </row>
    <row r="491" spans="1:14" x14ac:dyDescent="0.2">
      <c r="A491">
        <v>3490</v>
      </c>
      <c r="B491" t="s">
        <v>775</v>
      </c>
      <c r="C491" t="s">
        <v>73</v>
      </c>
      <c r="D491">
        <v>1722</v>
      </c>
      <c r="E491" t="s">
        <v>76</v>
      </c>
      <c r="F491" s="1">
        <v>45549</v>
      </c>
      <c r="G491">
        <v>2</v>
      </c>
      <c r="H491" t="s">
        <v>52</v>
      </c>
      <c r="I491" t="s">
        <v>81</v>
      </c>
      <c r="J491">
        <v>0.25</v>
      </c>
      <c r="K491">
        <v>366.5</v>
      </c>
      <c r="L491">
        <v>1466</v>
      </c>
      <c r="M491">
        <v>1099.5</v>
      </c>
      <c r="N491" t="s">
        <v>114</v>
      </c>
    </row>
    <row r="492" spans="1:14" x14ac:dyDescent="0.2">
      <c r="A492">
        <v>3491</v>
      </c>
      <c r="B492" t="s">
        <v>776</v>
      </c>
      <c r="C492" t="s">
        <v>777</v>
      </c>
      <c r="D492">
        <v>1723</v>
      </c>
      <c r="E492" t="s">
        <v>42</v>
      </c>
      <c r="F492" s="1">
        <v>45499</v>
      </c>
      <c r="G492">
        <v>2</v>
      </c>
      <c r="H492" t="s">
        <v>32</v>
      </c>
      <c r="I492" t="s">
        <v>33</v>
      </c>
      <c r="J492">
        <v>0.25</v>
      </c>
      <c r="K492">
        <v>320.5</v>
      </c>
      <c r="L492">
        <v>1282</v>
      </c>
      <c r="M492">
        <v>961.5</v>
      </c>
      <c r="N492" t="s">
        <v>114</v>
      </c>
    </row>
    <row r="493" spans="1:14" x14ac:dyDescent="0.2">
      <c r="A493">
        <v>3492</v>
      </c>
      <c r="B493" t="s">
        <v>345</v>
      </c>
      <c r="C493" t="s">
        <v>778</v>
      </c>
      <c r="D493">
        <v>1724</v>
      </c>
      <c r="E493" t="s">
        <v>37</v>
      </c>
      <c r="F493" s="1">
        <v>45567</v>
      </c>
      <c r="G493">
        <v>2</v>
      </c>
      <c r="H493" t="s">
        <v>71</v>
      </c>
      <c r="I493" t="s">
        <v>57</v>
      </c>
      <c r="J493">
        <v>0.3</v>
      </c>
      <c r="K493">
        <v>512.4</v>
      </c>
      <c r="L493">
        <v>1708</v>
      </c>
      <c r="M493">
        <v>1195.5999999999999</v>
      </c>
      <c r="N493" t="s">
        <v>44</v>
      </c>
    </row>
    <row r="494" spans="1:14" x14ac:dyDescent="0.2">
      <c r="A494">
        <v>3493</v>
      </c>
      <c r="B494" t="s">
        <v>299</v>
      </c>
      <c r="C494" t="s">
        <v>779</v>
      </c>
      <c r="D494">
        <v>1725</v>
      </c>
      <c r="E494" t="s">
        <v>51</v>
      </c>
      <c r="F494" s="1">
        <v>45326</v>
      </c>
      <c r="G494">
        <v>1</v>
      </c>
      <c r="H494" t="s">
        <v>71</v>
      </c>
      <c r="I494" t="s">
        <v>33</v>
      </c>
      <c r="J494">
        <v>0.2</v>
      </c>
      <c r="K494">
        <v>233.60000000000002</v>
      </c>
      <c r="L494">
        <v>1168</v>
      </c>
      <c r="M494">
        <v>934.4</v>
      </c>
      <c r="N494" t="s">
        <v>48</v>
      </c>
    </row>
    <row r="495" spans="1:14" x14ac:dyDescent="0.2">
      <c r="A495">
        <v>3494</v>
      </c>
      <c r="B495" t="s">
        <v>780</v>
      </c>
      <c r="C495" t="s">
        <v>781</v>
      </c>
      <c r="D495">
        <v>1726</v>
      </c>
      <c r="E495" t="s">
        <v>37</v>
      </c>
      <c r="F495" s="1">
        <v>45557</v>
      </c>
      <c r="G495">
        <v>2</v>
      </c>
      <c r="H495" t="s">
        <v>71</v>
      </c>
      <c r="I495" t="s">
        <v>81</v>
      </c>
      <c r="J495">
        <v>0.3</v>
      </c>
      <c r="K495">
        <v>119.39999999999999</v>
      </c>
      <c r="L495">
        <v>398</v>
      </c>
      <c r="M495">
        <v>278.60000000000002</v>
      </c>
      <c r="N495" t="s">
        <v>48</v>
      </c>
    </row>
    <row r="496" spans="1:14" x14ac:dyDescent="0.2">
      <c r="A496">
        <v>3495</v>
      </c>
      <c r="B496" t="s">
        <v>782</v>
      </c>
      <c r="C496" t="s">
        <v>783</v>
      </c>
      <c r="D496">
        <v>1727</v>
      </c>
      <c r="E496" t="s">
        <v>92</v>
      </c>
      <c r="F496" s="1">
        <v>45612</v>
      </c>
      <c r="G496">
        <v>1</v>
      </c>
      <c r="H496" t="s">
        <v>52</v>
      </c>
      <c r="I496" t="s">
        <v>47</v>
      </c>
      <c r="J496">
        <v>0.3</v>
      </c>
      <c r="K496">
        <v>385.2</v>
      </c>
      <c r="L496">
        <v>1284</v>
      </c>
      <c r="M496">
        <v>898.8</v>
      </c>
      <c r="N496" t="s">
        <v>114</v>
      </c>
    </row>
    <row r="497" spans="1:14" x14ac:dyDescent="0.2">
      <c r="A497">
        <v>3496</v>
      </c>
      <c r="B497" t="s">
        <v>784</v>
      </c>
      <c r="C497" t="s">
        <v>785</v>
      </c>
      <c r="D497">
        <v>1728</v>
      </c>
      <c r="E497" t="s">
        <v>92</v>
      </c>
      <c r="F497" s="1">
        <v>45585</v>
      </c>
      <c r="G497">
        <v>1</v>
      </c>
      <c r="H497" t="s">
        <v>32</v>
      </c>
      <c r="I497" t="s">
        <v>47</v>
      </c>
      <c r="J497">
        <v>0.3</v>
      </c>
      <c r="K497">
        <v>530.69999999999993</v>
      </c>
      <c r="L497">
        <v>1769</v>
      </c>
      <c r="M497">
        <v>1238.3000000000002</v>
      </c>
      <c r="N497" t="s">
        <v>48</v>
      </c>
    </row>
    <row r="498" spans="1:14" x14ac:dyDescent="0.2">
      <c r="A498">
        <v>3497</v>
      </c>
      <c r="B498" t="s">
        <v>422</v>
      </c>
      <c r="C498" t="s">
        <v>725</v>
      </c>
      <c r="D498">
        <v>1729</v>
      </c>
      <c r="E498" t="s">
        <v>76</v>
      </c>
      <c r="F498" s="1">
        <v>45560</v>
      </c>
      <c r="G498">
        <v>2</v>
      </c>
      <c r="H498" t="s">
        <v>52</v>
      </c>
      <c r="I498" t="s">
        <v>39</v>
      </c>
      <c r="J498">
        <v>0.25</v>
      </c>
      <c r="K498">
        <v>94.5</v>
      </c>
      <c r="L498">
        <v>378</v>
      </c>
      <c r="M498">
        <v>283.5</v>
      </c>
      <c r="N498" t="s">
        <v>34</v>
      </c>
    </row>
    <row r="499" spans="1:14" x14ac:dyDescent="0.2">
      <c r="A499">
        <v>3498</v>
      </c>
      <c r="B499" t="s">
        <v>233</v>
      </c>
      <c r="C499" t="s">
        <v>786</v>
      </c>
      <c r="D499">
        <v>1730</v>
      </c>
      <c r="E499" t="s">
        <v>76</v>
      </c>
      <c r="F499" s="1">
        <v>45409</v>
      </c>
      <c r="G499">
        <v>3</v>
      </c>
      <c r="H499" t="s">
        <v>52</v>
      </c>
      <c r="I499" t="s">
        <v>47</v>
      </c>
      <c r="J499">
        <v>0.25</v>
      </c>
      <c r="K499">
        <v>337.75</v>
      </c>
      <c r="L499">
        <v>1351</v>
      </c>
      <c r="M499">
        <v>1013.25</v>
      </c>
      <c r="N499" t="s">
        <v>54</v>
      </c>
    </row>
    <row r="500" spans="1:14" x14ac:dyDescent="0.2">
      <c r="A500">
        <v>3499</v>
      </c>
      <c r="B500" t="s">
        <v>656</v>
      </c>
      <c r="C500" t="s">
        <v>787</v>
      </c>
      <c r="D500">
        <v>1731</v>
      </c>
      <c r="E500" t="s">
        <v>76</v>
      </c>
      <c r="F500" s="1">
        <v>45300</v>
      </c>
      <c r="G500">
        <v>2</v>
      </c>
      <c r="H500" t="s">
        <v>32</v>
      </c>
      <c r="I500" t="s">
        <v>64</v>
      </c>
      <c r="J500">
        <v>0.25</v>
      </c>
      <c r="K500">
        <v>345.25</v>
      </c>
      <c r="L500">
        <v>1381</v>
      </c>
      <c r="M500">
        <v>1035.75</v>
      </c>
      <c r="N500" t="s">
        <v>34</v>
      </c>
    </row>
    <row r="501" spans="1:14" x14ac:dyDescent="0.2">
      <c r="A501">
        <v>3500</v>
      </c>
      <c r="B501" t="s">
        <v>364</v>
      </c>
      <c r="C501" t="s">
        <v>788</v>
      </c>
      <c r="D501">
        <v>1732</v>
      </c>
      <c r="E501" t="s">
        <v>37</v>
      </c>
      <c r="F501" s="1">
        <v>45576</v>
      </c>
      <c r="G501">
        <v>2</v>
      </c>
      <c r="H501" t="s">
        <v>71</v>
      </c>
      <c r="I501" t="s">
        <v>33</v>
      </c>
      <c r="J501">
        <v>0.3</v>
      </c>
      <c r="K501">
        <v>414.9</v>
      </c>
      <c r="L501">
        <v>1383</v>
      </c>
      <c r="M501">
        <v>968.1</v>
      </c>
      <c r="N501" t="s">
        <v>44</v>
      </c>
    </row>
    <row r="502" spans="1:14" x14ac:dyDescent="0.2">
      <c r="A502">
        <v>3501</v>
      </c>
      <c r="B502" t="s">
        <v>789</v>
      </c>
      <c r="C502" t="s">
        <v>74</v>
      </c>
      <c r="D502">
        <v>1733</v>
      </c>
      <c r="E502" t="s">
        <v>92</v>
      </c>
      <c r="F502" s="1">
        <v>45368</v>
      </c>
      <c r="G502">
        <v>2</v>
      </c>
      <c r="H502" t="s">
        <v>32</v>
      </c>
      <c r="I502" t="s">
        <v>33</v>
      </c>
      <c r="J502">
        <v>0.3</v>
      </c>
      <c r="K502">
        <v>515.69999999999993</v>
      </c>
      <c r="L502">
        <v>1719</v>
      </c>
      <c r="M502">
        <v>1203.3000000000002</v>
      </c>
      <c r="N502" t="s">
        <v>48</v>
      </c>
    </row>
    <row r="503" spans="1:14" x14ac:dyDescent="0.2">
      <c r="A503">
        <v>3502</v>
      </c>
      <c r="B503" t="s">
        <v>790</v>
      </c>
      <c r="C503" t="s">
        <v>791</v>
      </c>
      <c r="D503">
        <v>1734</v>
      </c>
      <c r="E503" t="s">
        <v>37</v>
      </c>
      <c r="F503" s="1">
        <v>45633</v>
      </c>
      <c r="G503">
        <v>1</v>
      </c>
      <c r="H503" t="s">
        <v>38</v>
      </c>
      <c r="I503" t="s">
        <v>47</v>
      </c>
      <c r="J503">
        <v>0.3</v>
      </c>
      <c r="K503">
        <v>235.5</v>
      </c>
      <c r="L503">
        <v>785</v>
      </c>
      <c r="M503">
        <v>549.5</v>
      </c>
      <c r="N503" t="s">
        <v>44</v>
      </c>
    </row>
    <row r="504" spans="1:14" x14ac:dyDescent="0.2">
      <c r="A504">
        <v>3503</v>
      </c>
      <c r="B504" t="s">
        <v>279</v>
      </c>
      <c r="C504" t="s">
        <v>397</v>
      </c>
      <c r="D504">
        <v>1735</v>
      </c>
      <c r="E504" t="s">
        <v>42</v>
      </c>
      <c r="F504" s="1">
        <v>45548</v>
      </c>
      <c r="G504">
        <v>3</v>
      </c>
      <c r="H504" t="s">
        <v>52</v>
      </c>
      <c r="I504" t="s">
        <v>43</v>
      </c>
      <c r="J504">
        <v>0.25</v>
      </c>
      <c r="K504">
        <v>340.25</v>
      </c>
      <c r="L504">
        <v>1361</v>
      </c>
      <c r="M504">
        <v>1020.75</v>
      </c>
      <c r="N504" t="s">
        <v>34</v>
      </c>
    </row>
    <row r="505" spans="1:14" x14ac:dyDescent="0.2">
      <c r="A505">
        <v>3504</v>
      </c>
      <c r="B505" t="s">
        <v>193</v>
      </c>
      <c r="C505" t="s">
        <v>792</v>
      </c>
      <c r="D505">
        <v>1736</v>
      </c>
      <c r="E505" t="s">
        <v>42</v>
      </c>
      <c r="F505" s="1">
        <v>45455</v>
      </c>
      <c r="G505">
        <v>1</v>
      </c>
      <c r="H505" t="s">
        <v>71</v>
      </c>
      <c r="I505" t="s">
        <v>43</v>
      </c>
      <c r="J505">
        <v>0.25</v>
      </c>
      <c r="K505">
        <v>332</v>
      </c>
      <c r="L505">
        <v>1328</v>
      </c>
      <c r="M505">
        <v>996</v>
      </c>
      <c r="N505" t="s">
        <v>44</v>
      </c>
    </row>
    <row r="506" spans="1:14" x14ac:dyDescent="0.2">
      <c r="A506">
        <v>3505</v>
      </c>
      <c r="B506" t="s">
        <v>168</v>
      </c>
      <c r="C506" t="s">
        <v>793</v>
      </c>
      <c r="D506">
        <v>1737</v>
      </c>
      <c r="E506" t="s">
        <v>42</v>
      </c>
      <c r="F506" s="1">
        <v>45654</v>
      </c>
      <c r="G506">
        <v>2</v>
      </c>
      <c r="H506" t="s">
        <v>32</v>
      </c>
      <c r="I506" t="s">
        <v>57</v>
      </c>
      <c r="J506">
        <v>0.25</v>
      </c>
      <c r="K506">
        <v>56</v>
      </c>
      <c r="L506">
        <v>224</v>
      </c>
      <c r="M506">
        <v>168</v>
      </c>
      <c r="N506" t="s">
        <v>44</v>
      </c>
    </row>
    <row r="507" spans="1:14" x14ac:dyDescent="0.2">
      <c r="A507">
        <v>3506</v>
      </c>
      <c r="B507" t="s">
        <v>794</v>
      </c>
      <c r="C507" t="s">
        <v>451</v>
      </c>
      <c r="D507">
        <v>1738</v>
      </c>
      <c r="E507" t="s">
        <v>31</v>
      </c>
      <c r="F507" s="1">
        <v>45458</v>
      </c>
      <c r="G507">
        <v>1</v>
      </c>
      <c r="H507" t="s">
        <v>52</v>
      </c>
      <c r="I507" t="s">
        <v>53</v>
      </c>
      <c r="J507">
        <v>0.1</v>
      </c>
      <c r="K507">
        <v>144.30000000000001</v>
      </c>
      <c r="L507">
        <v>1443</v>
      </c>
      <c r="M507">
        <v>1298.7</v>
      </c>
      <c r="N507" t="s">
        <v>48</v>
      </c>
    </row>
    <row r="508" spans="1:14" x14ac:dyDescent="0.2">
      <c r="A508">
        <v>3507</v>
      </c>
      <c r="B508" t="s">
        <v>795</v>
      </c>
      <c r="C508" t="s">
        <v>672</v>
      </c>
      <c r="D508">
        <v>1739</v>
      </c>
      <c r="E508" t="s">
        <v>31</v>
      </c>
      <c r="F508" s="1">
        <v>45505</v>
      </c>
      <c r="G508">
        <v>3</v>
      </c>
      <c r="H508" t="s">
        <v>52</v>
      </c>
      <c r="I508" t="s">
        <v>33</v>
      </c>
      <c r="J508">
        <v>0.1</v>
      </c>
      <c r="K508">
        <v>175.60000000000002</v>
      </c>
      <c r="L508">
        <v>1756</v>
      </c>
      <c r="M508">
        <v>1580.4</v>
      </c>
      <c r="N508" t="s">
        <v>44</v>
      </c>
    </row>
    <row r="509" spans="1:14" x14ac:dyDescent="0.2">
      <c r="A509">
        <v>3508</v>
      </c>
      <c r="B509" t="s">
        <v>770</v>
      </c>
      <c r="C509" t="s">
        <v>796</v>
      </c>
      <c r="D509">
        <v>1740</v>
      </c>
      <c r="E509" t="s">
        <v>42</v>
      </c>
      <c r="F509" s="1">
        <v>45551</v>
      </c>
      <c r="G509">
        <v>2</v>
      </c>
      <c r="H509" t="s">
        <v>38</v>
      </c>
      <c r="I509" t="s">
        <v>33</v>
      </c>
      <c r="J509">
        <v>0.25</v>
      </c>
      <c r="K509">
        <v>128.75</v>
      </c>
      <c r="L509">
        <v>515</v>
      </c>
      <c r="M509">
        <v>386.25</v>
      </c>
      <c r="N509" t="s">
        <v>34</v>
      </c>
    </row>
    <row r="510" spans="1:14" x14ac:dyDescent="0.2">
      <c r="A510">
        <v>3509</v>
      </c>
      <c r="B510" t="s">
        <v>696</v>
      </c>
      <c r="C510" t="s">
        <v>390</v>
      </c>
      <c r="D510">
        <v>1741</v>
      </c>
      <c r="E510" t="s">
        <v>51</v>
      </c>
      <c r="F510" s="1">
        <v>45476</v>
      </c>
      <c r="G510">
        <v>1</v>
      </c>
      <c r="H510" t="s">
        <v>32</v>
      </c>
      <c r="I510" t="s">
        <v>39</v>
      </c>
      <c r="J510">
        <v>0.2</v>
      </c>
      <c r="K510">
        <v>91.4</v>
      </c>
      <c r="L510">
        <v>457</v>
      </c>
      <c r="M510">
        <v>365.6</v>
      </c>
      <c r="N510" t="s">
        <v>34</v>
      </c>
    </row>
    <row r="511" spans="1:14" x14ac:dyDescent="0.2">
      <c r="A511">
        <v>3510</v>
      </c>
      <c r="B511" t="s">
        <v>96</v>
      </c>
      <c r="C511" t="s">
        <v>797</v>
      </c>
      <c r="D511">
        <v>1742</v>
      </c>
      <c r="E511" t="s">
        <v>92</v>
      </c>
      <c r="F511" s="1">
        <v>45642</v>
      </c>
      <c r="G511">
        <v>3</v>
      </c>
      <c r="H511" t="s">
        <v>52</v>
      </c>
      <c r="I511" t="s">
        <v>39</v>
      </c>
      <c r="J511">
        <v>0.3</v>
      </c>
      <c r="K511">
        <v>38.1</v>
      </c>
      <c r="L511">
        <v>127</v>
      </c>
      <c r="M511">
        <v>88.9</v>
      </c>
      <c r="N511" t="s">
        <v>44</v>
      </c>
    </row>
    <row r="512" spans="1:14" x14ac:dyDescent="0.2">
      <c r="A512">
        <v>3511</v>
      </c>
      <c r="B512" t="s">
        <v>193</v>
      </c>
      <c r="C512" t="s">
        <v>798</v>
      </c>
      <c r="D512">
        <v>1743</v>
      </c>
      <c r="E512" t="s">
        <v>31</v>
      </c>
      <c r="F512" s="1">
        <v>45311</v>
      </c>
      <c r="G512">
        <v>1</v>
      </c>
      <c r="H512" t="s">
        <v>52</v>
      </c>
      <c r="I512" t="s">
        <v>57</v>
      </c>
      <c r="J512">
        <v>0.1</v>
      </c>
      <c r="K512">
        <v>167.4</v>
      </c>
      <c r="L512">
        <v>1674</v>
      </c>
      <c r="M512">
        <v>1506.6</v>
      </c>
      <c r="N512" t="s">
        <v>44</v>
      </c>
    </row>
    <row r="513" spans="1:14" x14ac:dyDescent="0.2">
      <c r="A513">
        <v>3512</v>
      </c>
      <c r="B513" t="s">
        <v>799</v>
      </c>
      <c r="C513" t="s">
        <v>800</v>
      </c>
      <c r="D513">
        <v>1744</v>
      </c>
      <c r="E513" t="s">
        <v>31</v>
      </c>
      <c r="F513" s="1">
        <v>45452</v>
      </c>
      <c r="G513">
        <v>2</v>
      </c>
      <c r="H513" t="s">
        <v>32</v>
      </c>
      <c r="I513" t="s">
        <v>39</v>
      </c>
      <c r="J513">
        <v>0.1</v>
      </c>
      <c r="K513">
        <v>39.200000000000003</v>
      </c>
      <c r="L513">
        <v>392</v>
      </c>
      <c r="M513">
        <v>352.8</v>
      </c>
      <c r="N513" t="s">
        <v>114</v>
      </c>
    </row>
    <row r="514" spans="1:14" x14ac:dyDescent="0.2">
      <c r="A514">
        <v>3513</v>
      </c>
      <c r="B514" t="s">
        <v>801</v>
      </c>
      <c r="C514" t="s">
        <v>802</v>
      </c>
      <c r="D514">
        <v>1745</v>
      </c>
      <c r="E514" t="s">
        <v>42</v>
      </c>
      <c r="F514" s="1">
        <v>45379</v>
      </c>
      <c r="G514">
        <v>1</v>
      </c>
      <c r="H514" t="s">
        <v>52</v>
      </c>
      <c r="I514" t="s">
        <v>33</v>
      </c>
      <c r="J514">
        <v>0.25</v>
      </c>
      <c r="K514">
        <v>214.25</v>
      </c>
      <c r="L514">
        <v>857</v>
      </c>
      <c r="M514">
        <v>642.75</v>
      </c>
      <c r="N514" t="s">
        <v>54</v>
      </c>
    </row>
    <row r="515" spans="1:14" x14ac:dyDescent="0.2">
      <c r="A515">
        <v>3514</v>
      </c>
      <c r="B515" t="s">
        <v>193</v>
      </c>
      <c r="C515" t="s">
        <v>803</v>
      </c>
      <c r="D515">
        <v>1746</v>
      </c>
      <c r="E515" t="s">
        <v>42</v>
      </c>
      <c r="F515" s="1">
        <v>45586</v>
      </c>
      <c r="G515">
        <v>1</v>
      </c>
      <c r="H515" t="s">
        <v>32</v>
      </c>
      <c r="I515" t="s">
        <v>43</v>
      </c>
      <c r="J515">
        <v>0.25</v>
      </c>
      <c r="K515">
        <v>461</v>
      </c>
      <c r="L515">
        <v>1844</v>
      </c>
      <c r="M515">
        <v>1383</v>
      </c>
      <c r="N515" t="s">
        <v>44</v>
      </c>
    </row>
    <row r="516" spans="1:14" x14ac:dyDescent="0.2">
      <c r="A516">
        <v>3515</v>
      </c>
      <c r="B516" t="s">
        <v>804</v>
      </c>
      <c r="C516" t="s">
        <v>312</v>
      </c>
      <c r="D516">
        <v>1747</v>
      </c>
      <c r="E516" t="s">
        <v>31</v>
      </c>
      <c r="F516" s="1">
        <v>45576</v>
      </c>
      <c r="G516">
        <v>3</v>
      </c>
      <c r="H516" t="s">
        <v>52</v>
      </c>
      <c r="I516" t="s">
        <v>81</v>
      </c>
      <c r="J516">
        <v>0.1</v>
      </c>
      <c r="K516">
        <v>138.20000000000002</v>
      </c>
      <c r="L516">
        <v>1382</v>
      </c>
      <c r="M516">
        <v>1243.8</v>
      </c>
      <c r="N516" t="s">
        <v>114</v>
      </c>
    </row>
    <row r="517" spans="1:14" x14ac:dyDescent="0.2">
      <c r="A517">
        <v>3516</v>
      </c>
      <c r="B517" t="s">
        <v>535</v>
      </c>
      <c r="C517" t="s">
        <v>231</v>
      </c>
      <c r="D517">
        <v>1748</v>
      </c>
      <c r="E517" t="s">
        <v>31</v>
      </c>
      <c r="F517" s="1">
        <v>45382</v>
      </c>
      <c r="G517">
        <v>3</v>
      </c>
      <c r="H517" t="s">
        <v>38</v>
      </c>
      <c r="I517" t="s">
        <v>57</v>
      </c>
      <c r="J517">
        <v>0.1</v>
      </c>
      <c r="K517">
        <v>17.600000000000001</v>
      </c>
      <c r="L517">
        <v>176</v>
      </c>
      <c r="M517">
        <v>158.4</v>
      </c>
      <c r="N517" t="s">
        <v>48</v>
      </c>
    </row>
    <row r="518" spans="1:14" x14ac:dyDescent="0.2">
      <c r="A518">
        <v>3517</v>
      </c>
      <c r="B518" t="s">
        <v>805</v>
      </c>
      <c r="C518" t="s">
        <v>616</v>
      </c>
      <c r="D518">
        <v>1749</v>
      </c>
      <c r="E518" t="s">
        <v>92</v>
      </c>
      <c r="F518" s="1">
        <v>45491</v>
      </c>
      <c r="G518">
        <v>3</v>
      </c>
      <c r="H518" t="s">
        <v>52</v>
      </c>
      <c r="I518" t="s">
        <v>53</v>
      </c>
      <c r="J518">
        <v>0.3</v>
      </c>
      <c r="K518">
        <v>93.6</v>
      </c>
      <c r="L518">
        <v>312</v>
      </c>
      <c r="M518">
        <v>218.4</v>
      </c>
      <c r="N518" t="s">
        <v>48</v>
      </c>
    </row>
    <row r="519" spans="1:14" x14ac:dyDescent="0.2">
      <c r="A519">
        <v>3518</v>
      </c>
      <c r="B519" t="s">
        <v>139</v>
      </c>
      <c r="C519" t="s">
        <v>806</v>
      </c>
      <c r="D519">
        <v>1750</v>
      </c>
      <c r="E519" t="s">
        <v>51</v>
      </c>
      <c r="F519" s="1">
        <v>45561</v>
      </c>
      <c r="G519">
        <v>3</v>
      </c>
      <c r="H519" t="s">
        <v>32</v>
      </c>
      <c r="I519" t="s">
        <v>43</v>
      </c>
      <c r="J519">
        <v>0.2</v>
      </c>
      <c r="K519">
        <v>74.2</v>
      </c>
      <c r="L519">
        <v>371</v>
      </c>
      <c r="M519">
        <v>296.8</v>
      </c>
      <c r="N519" t="s">
        <v>34</v>
      </c>
    </row>
    <row r="520" spans="1:14" x14ac:dyDescent="0.2">
      <c r="A520">
        <v>3519</v>
      </c>
      <c r="B520" t="s">
        <v>506</v>
      </c>
      <c r="C520" t="s">
        <v>380</v>
      </c>
      <c r="D520">
        <v>1751</v>
      </c>
      <c r="E520" t="s">
        <v>37</v>
      </c>
      <c r="F520" s="1">
        <v>45562</v>
      </c>
      <c r="G520">
        <v>3</v>
      </c>
      <c r="H520" t="s">
        <v>52</v>
      </c>
      <c r="I520" t="s">
        <v>81</v>
      </c>
      <c r="J520">
        <v>0.3</v>
      </c>
      <c r="K520">
        <v>400.2</v>
      </c>
      <c r="L520">
        <v>1334</v>
      </c>
      <c r="M520">
        <v>933.8</v>
      </c>
      <c r="N520" t="s">
        <v>44</v>
      </c>
    </row>
    <row r="521" spans="1:14" x14ac:dyDescent="0.2">
      <c r="A521">
        <v>3520</v>
      </c>
      <c r="B521" t="s">
        <v>708</v>
      </c>
      <c r="C521" t="s">
        <v>807</v>
      </c>
      <c r="D521">
        <v>1752</v>
      </c>
      <c r="E521" t="s">
        <v>76</v>
      </c>
      <c r="F521" s="1">
        <v>45434</v>
      </c>
      <c r="G521">
        <v>3</v>
      </c>
      <c r="H521" t="s">
        <v>52</v>
      </c>
      <c r="I521" t="s">
        <v>81</v>
      </c>
      <c r="J521">
        <v>0.25</v>
      </c>
      <c r="K521">
        <v>82.25</v>
      </c>
      <c r="L521">
        <v>329</v>
      </c>
      <c r="M521">
        <v>246.75</v>
      </c>
      <c r="N521" t="s">
        <v>54</v>
      </c>
    </row>
    <row r="522" spans="1:14" x14ac:dyDescent="0.2">
      <c r="A522">
        <v>3521</v>
      </c>
      <c r="B522" t="s">
        <v>808</v>
      </c>
      <c r="C522" t="s">
        <v>94</v>
      </c>
      <c r="D522">
        <v>1753</v>
      </c>
      <c r="E522" t="s">
        <v>76</v>
      </c>
      <c r="F522" s="1">
        <v>45574</v>
      </c>
      <c r="G522">
        <v>1</v>
      </c>
      <c r="H522" t="s">
        <v>52</v>
      </c>
      <c r="I522" t="s">
        <v>43</v>
      </c>
      <c r="J522">
        <v>0.25</v>
      </c>
      <c r="K522">
        <v>263.25</v>
      </c>
      <c r="L522">
        <v>1053</v>
      </c>
      <c r="M522">
        <v>789.75</v>
      </c>
      <c r="N522" t="s">
        <v>54</v>
      </c>
    </row>
    <row r="523" spans="1:14" x14ac:dyDescent="0.2">
      <c r="A523">
        <v>3522</v>
      </c>
      <c r="B523" t="s">
        <v>559</v>
      </c>
      <c r="C523" t="s">
        <v>809</v>
      </c>
      <c r="D523">
        <v>1754</v>
      </c>
      <c r="E523" t="s">
        <v>37</v>
      </c>
      <c r="F523" s="1">
        <v>45564</v>
      </c>
      <c r="G523">
        <v>1</v>
      </c>
      <c r="H523" t="s">
        <v>38</v>
      </c>
      <c r="I523" t="s">
        <v>64</v>
      </c>
      <c r="J523">
        <v>0.3</v>
      </c>
      <c r="K523">
        <v>58.199999999999996</v>
      </c>
      <c r="L523">
        <v>194</v>
      </c>
      <c r="M523">
        <v>135.80000000000001</v>
      </c>
      <c r="N523" t="s">
        <v>44</v>
      </c>
    </row>
    <row r="524" spans="1:14" x14ac:dyDescent="0.2">
      <c r="A524">
        <v>3523</v>
      </c>
      <c r="B524" t="s">
        <v>273</v>
      </c>
      <c r="C524" t="s">
        <v>810</v>
      </c>
      <c r="D524">
        <v>1755</v>
      </c>
      <c r="E524" t="s">
        <v>76</v>
      </c>
      <c r="F524" s="1">
        <v>45650</v>
      </c>
      <c r="G524">
        <v>2</v>
      </c>
      <c r="H524" t="s">
        <v>52</v>
      </c>
      <c r="I524" t="s">
        <v>33</v>
      </c>
      <c r="J524">
        <v>0.25</v>
      </c>
      <c r="K524">
        <v>17.25</v>
      </c>
      <c r="L524">
        <v>69</v>
      </c>
      <c r="M524">
        <v>51.75</v>
      </c>
      <c r="N524" t="s">
        <v>34</v>
      </c>
    </row>
    <row r="525" spans="1:14" x14ac:dyDescent="0.2">
      <c r="A525">
        <v>3524</v>
      </c>
      <c r="B525" t="s">
        <v>502</v>
      </c>
      <c r="C525" t="s">
        <v>811</v>
      </c>
      <c r="D525">
        <v>1756</v>
      </c>
      <c r="E525" t="s">
        <v>37</v>
      </c>
      <c r="F525" s="1">
        <v>45438</v>
      </c>
      <c r="G525">
        <v>2</v>
      </c>
      <c r="H525" t="s">
        <v>38</v>
      </c>
      <c r="I525" t="s">
        <v>64</v>
      </c>
      <c r="J525">
        <v>0.3</v>
      </c>
      <c r="K525">
        <v>66</v>
      </c>
      <c r="L525">
        <v>220</v>
      </c>
      <c r="M525">
        <v>154</v>
      </c>
      <c r="N525" t="s">
        <v>34</v>
      </c>
    </row>
    <row r="526" spans="1:14" x14ac:dyDescent="0.2">
      <c r="A526">
        <v>3525</v>
      </c>
      <c r="B526" t="s">
        <v>812</v>
      </c>
      <c r="C526" t="s">
        <v>757</v>
      </c>
      <c r="D526">
        <v>1757</v>
      </c>
      <c r="E526" t="s">
        <v>42</v>
      </c>
      <c r="F526" s="1">
        <v>45611</v>
      </c>
      <c r="G526">
        <v>1</v>
      </c>
      <c r="H526" t="s">
        <v>32</v>
      </c>
      <c r="I526" t="s">
        <v>33</v>
      </c>
      <c r="J526">
        <v>0.25</v>
      </c>
      <c r="K526">
        <v>109</v>
      </c>
      <c r="L526">
        <v>436</v>
      </c>
      <c r="M526">
        <v>327</v>
      </c>
      <c r="N526" t="s">
        <v>48</v>
      </c>
    </row>
    <row r="527" spans="1:14" x14ac:dyDescent="0.2">
      <c r="A527">
        <v>3526</v>
      </c>
      <c r="B527" t="s">
        <v>813</v>
      </c>
      <c r="C527" t="s">
        <v>814</v>
      </c>
      <c r="D527">
        <v>1758</v>
      </c>
      <c r="E527" t="s">
        <v>37</v>
      </c>
      <c r="F527" s="1">
        <v>45525</v>
      </c>
      <c r="G527">
        <v>2</v>
      </c>
      <c r="H527" t="s">
        <v>52</v>
      </c>
      <c r="I527" t="s">
        <v>33</v>
      </c>
      <c r="J527">
        <v>0.3</v>
      </c>
      <c r="K527">
        <v>50.699999999999996</v>
      </c>
      <c r="L527">
        <v>169</v>
      </c>
      <c r="M527">
        <v>118.30000000000001</v>
      </c>
      <c r="N527" t="s">
        <v>48</v>
      </c>
    </row>
    <row r="528" spans="1:14" x14ac:dyDescent="0.2">
      <c r="A528">
        <v>3527</v>
      </c>
      <c r="B528" t="s">
        <v>815</v>
      </c>
      <c r="C528" t="s">
        <v>54</v>
      </c>
      <c r="D528">
        <v>1759</v>
      </c>
      <c r="E528" t="s">
        <v>51</v>
      </c>
      <c r="F528" s="1">
        <v>45531</v>
      </c>
      <c r="G528">
        <v>1</v>
      </c>
      <c r="H528" t="s">
        <v>71</v>
      </c>
      <c r="I528" t="s">
        <v>53</v>
      </c>
      <c r="J528">
        <v>0.2</v>
      </c>
      <c r="K528">
        <v>52.6</v>
      </c>
      <c r="L528">
        <v>263</v>
      </c>
      <c r="M528">
        <v>210.4</v>
      </c>
      <c r="N528" t="s">
        <v>44</v>
      </c>
    </row>
    <row r="529" spans="1:14" x14ac:dyDescent="0.2">
      <c r="A529">
        <v>3528</v>
      </c>
      <c r="B529" t="s">
        <v>816</v>
      </c>
      <c r="C529" t="s">
        <v>340</v>
      </c>
      <c r="D529">
        <v>1760</v>
      </c>
      <c r="E529" t="s">
        <v>51</v>
      </c>
      <c r="F529" s="1">
        <v>45592</v>
      </c>
      <c r="G529">
        <v>1</v>
      </c>
      <c r="H529" t="s">
        <v>71</v>
      </c>
      <c r="I529" t="s">
        <v>81</v>
      </c>
      <c r="J529">
        <v>0.2</v>
      </c>
      <c r="K529">
        <v>153.4</v>
      </c>
      <c r="L529">
        <v>767</v>
      </c>
      <c r="M529">
        <v>613.6</v>
      </c>
      <c r="N529" t="s">
        <v>34</v>
      </c>
    </row>
    <row r="530" spans="1:14" x14ac:dyDescent="0.2">
      <c r="A530">
        <v>3529</v>
      </c>
      <c r="B530" t="s">
        <v>302</v>
      </c>
      <c r="C530" t="s">
        <v>718</v>
      </c>
      <c r="D530">
        <v>1761</v>
      </c>
      <c r="E530" t="s">
        <v>31</v>
      </c>
      <c r="F530" s="1">
        <v>45297</v>
      </c>
      <c r="G530">
        <v>2</v>
      </c>
      <c r="H530" t="s">
        <v>32</v>
      </c>
      <c r="I530" t="s">
        <v>47</v>
      </c>
      <c r="J530">
        <v>0.1</v>
      </c>
      <c r="K530">
        <v>113.4</v>
      </c>
      <c r="L530">
        <v>1134</v>
      </c>
      <c r="M530">
        <v>1020.6</v>
      </c>
      <c r="N530" t="s">
        <v>48</v>
      </c>
    </row>
    <row r="531" spans="1:14" x14ac:dyDescent="0.2">
      <c r="A531">
        <v>3530</v>
      </c>
      <c r="B531" t="s">
        <v>171</v>
      </c>
      <c r="C531" t="s">
        <v>817</v>
      </c>
      <c r="D531">
        <v>1762</v>
      </c>
      <c r="E531" t="s">
        <v>76</v>
      </c>
      <c r="F531" s="1">
        <v>45295</v>
      </c>
      <c r="G531">
        <v>1</v>
      </c>
      <c r="H531" t="s">
        <v>32</v>
      </c>
      <c r="I531" t="s">
        <v>53</v>
      </c>
      <c r="J531">
        <v>0.25</v>
      </c>
      <c r="K531">
        <v>83.5</v>
      </c>
      <c r="L531">
        <v>334</v>
      </c>
      <c r="M531">
        <v>250.5</v>
      </c>
      <c r="N531" t="s">
        <v>34</v>
      </c>
    </row>
    <row r="532" spans="1:14" x14ac:dyDescent="0.2">
      <c r="A532">
        <v>3531</v>
      </c>
      <c r="B532" t="s">
        <v>564</v>
      </c>
      <c r="C532" t="s">
        <v>729</v>
      </c>
      <c r="D532">
        <v>1763</v>
      </c>
      <c r="E532" t="s">
        <v>76</v>
      </c>
      <c r="F532" s="1">
        <v>45637</v>
      </c>
      <c r="G532">
        <v>2</v>
      </c>
      <c r="H532" t="s">
        <v>52</v>
      </c>
      <c r="I532" t="s">
        <v>64</v>
      </c>
      <c r="J532">
        <v>0.25</v>
      </c>
      <c r="K532">
        <v>109.75</v>
      </c>
      <c r="L532">
        <v>439</v>
      </c>
      <c r="M532">
        <v>329.25</v>
      </c>
      <c r="N532" t="s">
        <v>34</v>
      </c>
    </row>
    <row r="533" spans="1:14" x14ac:dyDescent="0.2">
      <c r="A533">
        <v>3532</v>
      </c>
      <c r="B533" t="s">
        <v>665</v>
      </c>
      <c r="C533" t="s">
        <v>715</v>
      </c>
      <c r="D533">
        <v>1764</v>
      </c>
      <c r="E533" t="s">
        <v>42</v>
      </c>
      <c r="F533" s="1">
        <v>45385</v>
      </c>
      <c r="G533">
        <v>1</v>
      </c>
      <c r="H533" t="s">
        <v>52</v>
      </c>
      <c r="I533" t="s">
        <v>53</v>
      </c>
      <c r="J533">
        <v>0.25</v>
      </c>
      <c r="K533">
        <v>319.5</v>
      </c>
      <c r="L533">
        <v>1278</v>
      </c>
      <c r="M533">
        <v>958.5</v>
      </c>
      <c r="N533" t="s">
        <v>44</v>
      </c>
    </row>
    <row r="534" spans="1:14" x14ac:dyDescent="0.2">
      <c r="A534">
        <v>3533</v>
      </c>
      <c r="B534" t="s">
        <v>818</v>
      </c>
      <c r="C534" t="s">
        <v>203</v>
      </c>
      <c r="D534">
        <v>1765</v>
      </c>
      <c r="E534" t="s">
        <v>42</v>
      </c>
      <c r="F534" s="1">
        <v>45528</v>
      </c>
      <c r="G534">
        <v>1</v>
      </c>
      <c r="H534" t="s">
        <v>52</v>
      </c>
      <c r="I534" t="s">
        <v>53</v>
      </c>
      <c r="J534">
        <v>0.25</v>
      </c>
      <c r="K534">
        <v>101.75</v>
      </c>
      <c r="L534">
        <v>407</v>
      </c>
      <c r="M534">
        <v>305.25</v>
      </c>
      <c r="N534" t="s">
        <v>44</v>
      </c>
    </row>
    <row r="535" spans="1:14" x14ac:dyDescent="0.2">
      <c r="A535">
        <v>3534</v>
      </c>
      <c r="B535" t="s">
        <v>819</v>
      </c>
      <c r="C535" t="s">
        <v>820</v>
      </c>
      <c r="D535">
        <v>1766</v>
      </c>
      <c r="E535" t="s">
        <v>31</v>
      </c>
      <c r="F535" s="1">
        <v>45294</v>
      </c>
      <c r="G535">
        <v>1</v>
      </c>
      <c r="H535" t="s">
        <v>52</v>
      </c>
      <c r="I535" t="s">
        <v>39</v>
      </c>
      <c r="J535">
        <v>0.1</v>
      </c>
      <c r="K535">
        <v>68.3</v>
      </c>
      <c r="L535">
        <v>683</v>
      </c>
      <c r="M535">
        <v>614.70000000000005</v>
      </c>
      <c r="N535" t="s">
        <v>34</v>
      </c>
    </row>
    <row r="536" spans="1:14" x14ac:dyDescent="0.2">
      <c r="A536">
        <v>3535</v>
      </c>
      <c r="B536" t="s">
        <v>467</v>
      </c>
      <c r="C536" t="s">
        <v>821</v>
      </c>
      <c r="D536">
        <v>1767</v>
      </c>
      <c r="E536" t="s">
        <v>76</v>
      </c>
      <c r="F536" s="1">
        <v>45324</v>
      </c>
      <c r="G536">
        <v>2</v>
      </c>
      <c r="H536" t="s">
        <v>52</v>
      </c>
      <c r="I536" t="s">
        <v>81</v>
      </c>
      <c r="J536">
        <v>0.25</v>
      </c>
      <c r="K536">
        <v>102.75</v>
      </c>
      <c r="L536">
        <v>411</v>
      </c>
      <c r="M536">
        <v>308.25</v>
      </c>
      <c r="N536" t="s">
        <v>34</v>
      </c>
    </row>
    <row r="537" spans="1:14" x14ac:dyDescent="0.2">
      <c r="A537">
        <v>3536</v>
      </c>
      <c r="B537" t="s">
        <v>241</v>
      </c>
      <c r="C537" t="s">
        <v>768</v>
      </c>
      <c r="D537">
        <v>1768</v>
      </c>
      <c r="E537" t="s">
        <v>76</v>
      </c>
      <c r="F537" s="1">
        <v>45328</v>
      </c>
      <c r="G537">
        <v>2</v>
      </c>
      <c r="H537" t="s">
        <v>32</v>
      </c>
      <c r="I537" t="s">
        <v>33</v>
      </c>
      <c r="J537">
        <v>0.25</v>
      </c>
      <c r="K537">
        <v>239.5</v>
      </c>
      <c r="L537">
        <v>958</v>
      </c>
      <c r="M537">
        <v>718.5</v>
      </c>
      <c r="N537" t="s">
        <v>34</v>
      </c>
    </row>
    <row r="538" spans="1:14" x14ac:dyDescent="0.2">
      <c r="A538">
        <v>3537</v>
      </c>
      <c r="B538" t="s">
        <v>822</v>
      </c>
      <c r="C538" t="s">
        <v>823</v>
      </c>
      <c r="D538">
        <v>1769</v>
      </c>
      <c r="E538" t="s">
        <v>92</v>
      </c>
      <c r="F538" s="1">
        <v>45365</v>
      </c>
      <c r="G538">
        <v>2</v>
      </c>
      <c r="H538" t="s">
        <v>32</v>
      </c>
      <c r="I538" t="s">
        <v>81</v>
      </c>
      <c r="J538">
        <v>0.3</v>
      </c>
      <c r="K538">
        <v>162.9</v>
      </c>
      <c r="L538">
        <v>543</v>
      </c>
      <c r="M538">
        <v>380.1</v>
      </c>
      <c r="N538" t="s">
        <v>114</v>
      </c>
    </row>
    <row r="539" spans="1:14" x14ac:dyDescent="0.2">
      <c r="A539">
        <v>3538</v>
      </c>
      <c r="B539" t="s">
        <v>824</v>
      </c>
      <c r="C539" t="s">
        <v>825</v>
      </c>
      <c r="D539">
        <v>1770</v>
      </c>
      <c r="E539" t="s">
        <v>92</v>
      </c>
      <c r="F539" s="1">
        <v>45617</v>
      </c>
      <c r="G539">
        <v>3</v>
      </c>
      <c r="H539" t="s">
        <v>52</v>
      </c>
      <c r="I539" t="s">
        <v>39</v>
      </c>
      <c r="J539">
        <v>0.3</v>
      </c>
      <c r="K539">
        <v>171.9</v>
      </c>
      <c r="L539">
        <v>573</v>
      </c>
      <c r="M539">
        <v>401.1</v>
      </c>
      <c r="N539" t="s">
        <v>48</v>
      </c>
    </row>
    <row r="540" spans="1:14" x14ac:dyDescent="0.2">
      <c r="A540">
        <v>3539</v>
      </c>
      <c r="B540" t="s">
        <v>508</v>
      </c>
      <c r="C540" t="s">
        <v>826</v>
      </c>
      <c r="D540">
        <v>1771</v>
      </c>
      <c r="E540" t="s">
        <v>37</v>
      </c>
      <c r="F540" s="1">
        <v>45297</v>
      </c>
      <c r="G540">
        <v>1</v>
      </c>
      <c r="H540" t="s">
        <v>52</v>
      </c>
      <c r="I540" t="s">
        <v>47</v>
      </c>
      <c r="J540">
        <v>0.3</v>
      </c>
      <c r="K540">
        <v>345.3</v>
      </c>
      <c r="L540">
        <v>1151</v>
      </c>
      <c r="M540">
        <v>805.7</v>
      </c>
      <c r="N540" t="s">
        <v>44</v>
      </c>
    </row>
    <row r="541" spans="1:14" x14ac:dyDescent="0.2">
      <c r="A541">
        <v>3540</v>
      </c>
      <c r="B541" t="s">
        <v>97</v>
      </c>
      <c r="C541" t="s">
        <v>128</v>
      </c>
      <c r="D541">
        <v>1772</v>
      </c>
      <c r="E541" t="s">
        <v>31</v>
      </c>
      <c r="F541" s="1">
        <v>45469</v>
      </c>
      <c r="G541">
        <v>1</v>
      </c>
      <c r="H541" t="s">
        <v>52</v>
      </c>
      <c r="I541" t="s">
        <v>81</v>
      </c>
      <c r="J541">
        <v>0.1</v>
      </c>
      <c r="K541">
        <v>19.900000000000002</v>
      </c>
      <c r="L541">
        <v>199</v>
      </c>
      <c r="M541">
        <v>179.1</v>
      </c>
      <c r="N541" t="s">
        <v>48</v>
      </c>
    </row>
    <row r="542" spans="1:14" x14ac:dyDescent="0.2">
      <c r="A542">
        <v>3541</v>
      </c>
      <c r="B542" t="s">
        <v>446</v>
      </c>
      <c r="C542" t="s">
        <v>659</v>
      </c>
      <c r="D542">
        <v>1773</v>
      </c>
      <c r="E542" t="s">
        <v>42</v>
      </c>
      <c r="F542" s="1">
        <v>45325</v>
      </c>
      <c r="G542">
        <v>2</v>
      </c>
      <c r="H542" t="s">
        <v>71</v>
      </c>
      <c r="I542" t="s">
        <v>43</v>
      </c>
      <c r="J542">
        <v>0.25</v>
      </c>
      <c r="K542">
        <v>373.75</v>
      </c>
      <c r="L542">
        <v>1495</v>
      </c>
      <c r="M542">
        <v>1121.25</v>
      </c>
      <c r="N542" t="s">
        <v>114</v>
      </c>
    </row>
    <row r="543" spans="1:14" x14ac:dyDescent="0.2">
      <c r="A543">
        <v>3542</v>
      </c>
      <c r="B543" t="s">
        <v>674</v>
      </c>
      <c r="C543" t="s">
        <v>823</v>
      </c>
      <c r="D543">
        <v>1774</v>
      </c>
      <c r="E543" t="s">
        <v>51</v>
      </c>
      <c r="F543" s="1">
        <v>45358</v>
      </c>
      <c r="G543">
        <v>2</v>
      </c>
      <c r="H543" t="s">
        <v>52</v>
      </c>
      <c r="I543" t="s">
        <v>64</v>
      </c>
      <c r="J543">
        <v>0.2</v>
      </c>
      <c r="K543">
        <v>117.80000000000001</v>
      </c>
      <c r="L543">
        <v>589</v>
      </c>
      <c r="M543">
        <v>471.2</v>
      </c>
      <c r="N543" t="s">
        <v>34</v>
      </c>
    </row>
    <row r="544" spans="1:14" x14ac:dyDescent="0.2">
      <c r="A544">
        <v>3543</v>
      </c>
      <c r="B544" t="s">
        <v>667</v>
      </c>
      <c r="C544" t="s">
        <v>827</v>
      </c>
      <c r="D544">
        <v>1775</v>
      </c>
      <c r="E544" t="s">
        <v>76</v>
      </c>
      <c r="F544" s="1">
        <v>45497</v>
      </c>
      <c r="G544">
        <v>3</v>
      </c>
      <c r="H544" t="s">
        <v>32</v>
      </c>
      <c r="I544" t="s">
        <v>39</v>
      </c>
      <c r="J544">
        <v>0.25</v>
      </c>
      <c r="K544">
        <v>34.25</v>
      </c>
      <c r="L544">
        <v>137</v>
      </c>
      <c r="M544">
        <v>102.75</v>
      </c>
      <c r="N544" t="s">
        <v>114</v>
      </c>
    </row>
    <row r="545" spans="1:14" x14ac:dyDescent="0.2">
      <c r="A545">
        <v>3544</v>
      </c>
      <c r="B545" t="s">
        <v>828</v>
      </c>
      <c r="C545" t="s">
        <v>829</v>
      </c>
      <c r="D545">
        <v>1776</v>
      </c>
      <c r="E545" t="s">
        <v>37</v>
      </c>
      <c r="F545" s="1">
        <v>45589</v>
      </c>
      <c r="G545">
        <v>1</v>
      </c>
      <c r="H545" t="s">
        <v>38</v>
      </c>
      <c r="I545" t="s">
        <v>39</v>
      </c>
      <c r="J545">
        <v>0.3</v>
      </c>
      <c r="K545">
        <v>345.3</v>
      </c>
      <c r="L545">
        <v>1151</v>
      </c>
      <c r="M545">
        <v>805.7</v>
      </c>
      <c r="N545" t="s">
        <v>48</v>
      </c>
    </row>
    <row r="546" spans="1:14" x14ac:dyDescent="0.2">
      <c r="A546">
        <v>3545</v>
      </c>
      <c r="B546" t="s">
        <v>558</v>
      </c>
      <c r="C546" t="s">
        <v>387</v>
      </c>
      <c r="D546">
        <v>1777</v>
      </c>
      <c r="E546" t="s">
        <v>92</v>
      </c>
      <c r="F546" s="1">
        <v>45463</v>
      </c>
      <c r="G546">
        <v>3</v>
      </c>
      <c r="H546" t="s">
        <v>38</v>
      </c>
      <c r="I546" t="s">
        <v>43</v>
      </c>
      <c r="J546">
        <v>0.3</v>
      </c>
      <c r="K546">
        <v>331.8</v>
      </c>
      <c r="L546">
        <v>1106</v>
      </c>
      <c r="M546">
        <v>774.2</v>
      </c>
      <c r="N546" t="s">
        <v>114</v>
      </c>
    </row>
    <row r="547" spans="1:14" x14ac:dyDescent="0.2">
      <c r="A547">
        <v>3546</v>
      </c>
      <c r="B547" t="s">
        <v>830</v>
      </c>
      <c r="C547" t="s">
        <v>831</v>
      </c>
      <c r="D547">
        <v>1778</v>
      </c>
      <c r="E547" t="s">
        <v>37</v>
      </c>
      <c r="F547" s="1">
        <v>45292</v>
      </c>
      <c r="G547">
        <v>1</v>
      </c>
      <c r="H547" t="s">
        <v>32</v>
      </c>
      <c r="I547" t="s">
        <v>53</v>
      </c>
      <c r="J547">
        <v>0.3</v>
      </c>
      <c r="K547">
        <v>479.7</v>
      </c>
      <c r="L547">
        <v>1599</v>
      </c>
      <c r="M547">
        <v>1119.3</v>
      </c>
      <c r="N547" t="s">
        <v>44</v>
      </c>
    </row>
    <row r="548" spans="1:14" x14ac:dyDescent="0.2">
      <c r="A548">
        <v>3547</v>
      </c>
      <c r="B548" t="s">
        <v>832</v>
      </c>
      <c r="C548" t="s">
        <v>833</v>
      </c>
      <c r="D548">
        <v>1779</v>
      </c>
      <c r="E548" t="s">
        <v>76</v>
      </c>
      <c r="F548" s="1">
        <v>45487</v>
      </c>
      <c r="G548">
        <v>2</v>
      </c>
      <c r="H548" t="s">
        <v>32</v>
      </c>
      <c r="I548" t="s">
        <v>39</v>
      </c>
      <c r="J548">
        <v>0.25</v>
      </c>
      <c r="K548">
        <v>347.75</v>
      </c>
      <c r="L548">
        <v>1391</v>
      </c>
      <c r="M548">
        <v>1043.25</v>
      </c>
      <c r="N548" t="s">
        <v>114</v>
      </c>
    </row>
    <row r="549" spans="1:14" x14ac:dyDescent="0.2">
      <c r="A549">
        <v>3548</v>
      </c>
      <c r="B549" t="s">
        <v>834</v>
      </c>
      <c r="C549" t="s">
        <v>835</v>
      </c>
      <c r="D549">
        <v>1780</v>
      </c>
      <c r="E549" t="s">
        <v>31</v>
      </c>
      <c r="F549" s="1">
        <v>45340</v>
      </c>
      <c r="G549">
        <v>3</v>
      </c>
      <c r="H549" t="s">
        <v>52</v>
      </c>
      <c r="I549" t="s">
        <v>81</v>
      </c>
      <c r="J549">
        <v>0.1</v>
      </c>
      <c r="K549">
        <v>94.5</v>
      </c>
      <c r="L549">
        <v>945</v>
      </c>
      <c r="M549">
        <v>850.5</v>
      </c>
      <c r="N549" t="s">
        <v>48</v>
      </c>
    </row>
    <row r="550" spans="1:14" x14ac:dyDescent="0.2">
      <c r="A550">
        <v>3549</v>
      </c>
      <c r="B550" t="s">
        <v>352</v>
      </c>
      <c r="C550" t="s">
        <v>836</v>
      </c>
      <c r="D550">
        <v>1781</v>
      </c>
      <c r="E550" t="s">
        <v>42</v>
      </c>
      <c r="F550" s="1">
        <v>45354</v>
      </c>
      <c r="G550">
        <v>1</v>
      </c>
      <c r="H550" t="s">
        <v>71</v>
      </c>
      <c r="I550" t="s">
        <v>43</v>
      </c>
      <c r="J550">
        <v>0.25</v>
      </c>
      <c r="K550">
        <v>439.5</v>
      </c>
      <c r="L550">
        <v>1758</v>
      </c>
      <c r="M550">
        <v>1318.5</v>
      </c>
      <c r="N550" t="s">
        <v>34</v>
      </c>
    </row>
    <row r="551" spans="1:14" x14ac:dyDescent="0.2">
      <c r="A551">
        <v>3550</v>
      </c>
      <c r="B551" t="s">
        <v>251</v>
      </c>
      <c r="C551" t="s">
        <v>285</v>
      </c>
      <c r="D551">
        <v>1782</v>
      </c>
      <c r="E551" t="s">
        <v>51</v>
      </c>
      <c r="F551" s="1">
        <v>45352</v>
      </c>
      <c r="G551">
        <v>2</v>
      </c>
      <c r="H551" t="s">
        <v>52</v>
      </c>
      <c r="I551" t="s">
        <v>57</v>
      </c>
      <c r="J551">
        <v>0.2</v>
      </c>
      <c r="K551">
        <v>115</v>
      </c>
      <c r="L551">
        <v>575</v>
      </c>
      <c r="M551">
        <v>460</v>
      </c>
      <c r="N551" t="s">
        <v>44</v>
      </c>
    </row>
    <row r="552" spans="1:14" x14ac:dyDescent="0.2">
      <c r="A552">
        <v>3551</v>
      </c>
      <c r="B552" t="s">
        <v>240</v>
      </c>
      <c r="C552" t="s">
        <v>837</v>
      </c>
      <c r="D552">
        <v>1783</v>
      </c>
      <c r="E552" t="s">
        <v>42</v>
      </c>
      <c r="F552" s="1">
        <v>45493</v>
      </c>
      <c r="G552">
        <v>2</v>
      </c>
      <c r="H552" t="s">
        <v>52</v>
      </c>
      <c r="I552" t="s">
        <v>53</v>
      </c>
      <c r="J552">
        <v>0.25</v>
      </c>
      <c r="K552">
        <v>306.5</v>
      </c>
      <c r="L552">
        <v>1226</v>
      </c>
      <c r="M552">
        <v>919.5</v>
      </c>
      <c r="N552" t="s">
        <v>114</v>
      </c>
    </row>
    <row r="553" spans="1:14" x14ac:dyDescent="0.2">
      <c r="A553">
        <v>3552</v>
      </c>
      <c r="B553" t="s">
        <v>838</v>
      </c>
      <c r="C553" t="s">
        <v>490</v>
      </c>
      <c r="D553">
        <v>1784</v>
      </c>
      <c r="E553" t="s">
        <v>51</v>
      </c>
      <c r="F553" s="1">
        <v>45490</v>
      </c>
      <c r="G553">
        <v>1</v>
      </c>
      <c r="H553" t="s">
        <v>52</v>
      </c>
      <c r="I553" t="s">
        <v>57</v>
      </c>
      <c r="J553">
        <v>0.2</v>
      </c>
      <c r="K553">
        <v>86.600000000000009</v>
      </c>
      <c r="L553">
        <v>433</v>
      </c>
      <c r="M553">
        <v>346.4</v>
      </c>
      <c r="N553" t="s">
        <v>54</v>
      </c>
    </row>
    <row r="554" spans="1:14" x14ac:dyDescent="0.2">
      <c r="A554">
        <v>3553</v>
      </c>
      <c r="B554" t="s">
        <v>267</v>
      </c>
      <c r="C554" t="s">
        <v>432</v>
      </c>
      <c r="D554">
        <v>1785</v>
      </c>
      <c r="E554" t="s">
        <v>92</v>
      </c>
      <c r="F554" s="1">
        <v>45394</v>
      </c>
      <c r="G554">
        <v>1</v>
      </c>
      <c r="H554" t="s">
        <v>71</v>
      </c>
      <c r="I554" t="s">
        <v>43</v>
      </c>
      <c r="J554">
        <v>0.3</v>
      </c>
      <c r="K554">
        <v>299.09999999999997</v>
      </c>
      <c r="L554">
        <v>997</v>
      </c>
      <c r="M554">
        <v>697.90000000000009</v>
      </c>
      <c r="N554" t="s">
        <v>34</v>
      </c>
    </row>
    <row r="555" spans="1:14" x14ac:dyDescent="0.2">
      <c r="A555">
        <v>3554</v>
      </c>
      <c r="B555" t="s">
        <v>839</v>
      </c>
      <c r="C555" t="s">
        <v>840</v>
      </c>
      <c r="D555">
        <v>1786</v>
      </c>
      <c r="E555" t="s">
        <v>37</v>
      </c>
      <c r="F555" s="1">
        <v>45554</v>
      </c>
      <c r="G555">
        <v>2</v>
      </c>
      <c r="H555" t="s">
        <v>52</v>
      </c>
      <c r="I555" t="s">
        <v>64</v>
      </c>
      <c r="J555">
        <v>0.3</v>
      </c>
      <c r="K555">
        <v>440.7</v>
      </c>
      <c r="L555">
        <v>1469</v>
      </c>
      <c r="M555">
        <v>1028.3</v>
      </c>
      <c r="N555" t="s">
        <v>114</v>
      </c>
    </row>
    <row r="556" spans="1:14" x14ac:dyDescent="0.2">
      <c r="A556">
        <v>3555</v>
      </c>
      <c r="B556" t="s">
        <v>477</v>
      </c>
      <c r="C556" t="s">
        <v>841</v>
      </c>
      <c r="D556">
        <v>1787</v>
      </c>
      <c r="E556" t="s">
        <v>42</v>
      </c>
      <c r="F556" s="1">
        <v>45323</v>
      </c>
      <c r="G556">
        <v>1</v>
      </c>
      <c r="H556" t="s">
        <v>32</v>
      </c>
      <c r="I556" t="s">
        <v>43</v>
      </c>
      <c r="J556">
        <v>0.25</v>
      </c>
      <c r="K556">
        <v>411</v>
      </c>
      <c r="L556">
        <v>1644</v>
      </c>
      <c r="M556">
        <v>1233</v>
      </c>
      <c r="N556" t="s">
        <v>54</v>
      </c>
    </row>
    <row r="557" spans="1:14" x14ac:dyDescent="0.2">
      <c r="A557">
        <v>3556</v>
      </c>
      <c r="B557" t="s">
        <v>842</v>
      </c>
      <c r="C557" t="s">
        <v>843</v>
      </c>
      <c r="D557">
        <v>1788</v>
      </c>
      <c r="E557" t="s">
        <v>76</v>
      </c>
      <c r="F557" s="1">
        <v>45631</v>
      </c>
      <c r="G557">
        <v>1</v>
      </c>
      <c r="H557" t="s">
        <v>32</v>
      </c>
      <c r="I557" t="s">
        <v>33</v>
      </c>
      <c r="J557">
        <v>0.25</v>
      </c>
      <c r="K557">
        <v>85</v>
      </c>
      <c r="L557">
        <v>340</v>
      </c>
      <c r="M557">
        <v>255</v>
      </c>
      <c r="N557" t="s">
        <v>114</v>
      </c>
    </row>
    <row r="558" spans="1:14" x14ac:dyDescent="0.2">
      <c r="A558">
        <v>3557</v>
      </c>
      <c r="B558" t="s">
        <v>844</v>
      </c>
      <c r="C558" t="s">
        <v>845</v>
      </c>
      <c r="D558">
        <v>1789</v>
      </c>
      <c r="E558" t="s">
        <v>51</v>
      </c>
      <c r="F558" s="1">
        <v>45335</v>
      </c>
      <c r="G558">
        <v>1</v>
      </c>
      <c r="H558" t="s">
        <v>32</v>
      </c>
      <c r="I558" t="s">
        <v>57</v>
      </c>
      <c r="J558">
        <v>0.2</v>
      </c>
      <c r="K558">
        <v>319</v>
      </c>
      <c r="L558">
        <v>1595</v>
      </c>
      <c r="M558">
        <v>1276</v>
      </c>
      <c r="N558" t="s">
        <v>44</v>
      </c>
    </row>
    <row r="559" spans="1:14" x14ac:dyDescent="0.2">
      <c r="A559">
        <v>3558</v>
      </c>
      <c r="B559" t="s">
        <v>638</v>
      </c>
      <c r="C559" t="s">
        <v>846</v>
      </c>
      <c r="D559">
        <v>1790</v>
      </c>
      <c r="E559" t="s">
        <v>42</v>
      </c>
      <c r="F559" s="1">
        <v>45428</v>
      </c>
      <c r="G559">
        <v>2</v>
      </c>
      <c r="H559" t="s">
        <v>52</v>
      </c>
      <c r="I559" t="s">
        <v>47</v>
      </c>
      <c r="J559">
        <v>0.25</v>
      </c>
      <c r="K559">
        <v>230</v>
      </c>
      <c r="L559">
        <v>920</v>
      </c>
      <c r="M559">
        <v>690</v>
      </c>
      <c r="N559" t="s">
        <v>34</v>
      </c>
    </row>
    <row r="560" spans="1:14" x14ac:dyDescent="0.2">
      <c r="A560">
        <v>3559</v>
      </c>
      <c r="B560" t="s">
        <v>847</v>
      </c>
      <c r="C560" t="s">
        <v>408</v>
      </c>
      <c r="D560">
        <v>1791</v>
      </c>
      <c r="E560" t="s">
        <v>51</v>
      </c>
      <c r="F560" s="1">
        <v>45651</v>
      </c>
      <c r="G560">
        <v>3</v>
      </c>
      <c r="H560" t="s">
        <v>52</v>
      </c>
      <c r="I560" t="s">
        <v>81</v>
      </c>
      <c r="J560">
        <v>0.2</v>
      </c>
      <c r="K560">
        <v>137</v>
      </c>
      <c r="L560">
        <v>685</v>
      </c>
      <c r="M560">
        <v>548</v>
      </c>
      <c r="N560" t="s">
        <v>48</v>
      </c>
    </row>
    <row r="561" spans="1:14" x14ac:dyDescent="0.2">
      <c r="A561">
        <v>3560</v>
      </c>
      <c r="B561" t="s">
        <v>848</v>
      </c>
      <c r="C561" t="s">
        <v>849</v>
      </c>
      <c r="D561">
        <v>1792</v>
      </c>
      <c r="E561" t="s">
        <v>42</v>
      </c>
      <c r="F561" s="1">
        <v>45315</v>
      </c>
      <c r="G561">
        <v>1</v>
      </c>
      <c r="H561" t="s">
        <v>32</v>
      </c>
      <c r="I561" t="s">
        <v>39</v>
      </c>
      <c r="J561">
        <v>0.25</v>
      </c>
      <c r="K561">
        <v>170</v>
      </c>
      <c r="L561">
        <v>680</v>
      </c>
      <c r="M561">
        <v>510</v>
      </c>
      <c r="N561" t="s">
        <v>34</v>
      </c>
    </row>
    <row r="562" spans="1:14" x14ac:dyDescent="0.2">
      <c r="A562">
        <v>3561</v>
      </c>
      <c r="B562" t="s">
        <v>850</v>
      </c>
      <c r="C562" t="s">
        <v>225</v>
      </c>
      <c r="D562">
        <v>1793</v>
      </c>
      <c r="E562" t="s">
        <v>92</v>
      </c>
      <c r="F562" s="1">
        <v>45478</v>
      </c>
      <c r="G562">
        <v>1</v>
      </c>
      <c r="H562" t="s">
        <v>52</v>
      </c>
      <c r="I562" t="s">
        <v>53</v>
      </c>
      <c r="J562">
        <v>0.3</v>
      </c>
      <c r="K562">
        <v>463.2</v>
      </c>
      <c r="L562">
        <v>1544</v>
      </c>
      <c r="M562">
        <v>1080.8</v>
      </c>
      <c r="N562" t="s">
        <v>48</v>
      </c>
    </row>
    <row r="563" spans="1:14" x14ac:dyDescent="0.2">
      <c r="A563">
        <v>3562</v>
      </c>
      <c r="B563" t="s">
        <v>851</v>
      </c>
      <c r="C563" t="s">
        <v>442</v>
      </c>
      <c r="D563">
        <v>1794</v>
      </c>
      <c r="E563" t="s">
        <v>31</v>
      </c>
      <c r="F563" s="1">
        <v>45401</v>
      </c>
      <c r="G563">
        <v>3</v>
      </c>
      <c r="H563" t="s">
        <v>32</v>
      </c>
      <c r="I563" t="s">
        <v>47</v>
      </c>
      <c r="J563">
        <v>0.1</v>
      </c>
      <c r="K563">
        <v>170.8</v>
      </c>
      <c r="L563">
        <v>1708</v>
      </c>
      <c r="M563">
        <v>1537.2</v>
      </c>
      <c r="N563" t="s">
        <v>114</v>
      </c>
    </row>
    <row r="564" spans="1:14" x14ac:dyDescent="0.2">
      <c r="A564">
        <v>3563</v>
      </c>
      <c r="B564" t="s">
        <v>852</v>
      </c>
      <c r="C564" t="s">
        <v>853</v>
      </c>
      <c r="D564">
        <v>1795</v>
      </c>
      <c r="E564" t="s">
        <v>92</v>
      </c>
      <c r="F564" s="1">
        <v>45433</v>
      </c>
      <c r="G564">
        <v>1</v>
      </c>
      <c r="H564" t="s">
        <v>32</v>
      </c>
      <c r="I564" t="s">
        <v>43</v>
      </c>
      <c r="J564">
        <v>0.3</v>
      </c>
      <c r="K564">
        <v>309</v>
      </c>
      <c r="L564">
        <v>1030</v>
      </c>
      <c r="M564">
        <v>721</v>
      </c>
      <c r="N564" t="s">
        <v>54</v>
      </c>
    </row>
    <row r="565" spans="1:14" x14ac:dyDescent="0.2">
      <c r="A565">
        <v>3564</v>
      </c>
      <c r="B565" t="s">
        <v>682</v>
      </c>
      <c r="C565" t="s">
        <v>854</v>
      </c>
      <c r="D565">
        <v>1796</v>
      </c>
      <c r="E565" t="s">
        <v>76</v>
      </c>
      <c r="F565" s="1">
        <v>45340</v>
      </c>
      <c r="G565">
        <v>2</v>
      </c>
      <c r="H565" t="s">
        <v>32</v>
      </c>
      <c r="I565" t="s">
        <v>57</v>
      </c>
      <c r="J565">
        <v>0.25</v>
      </c>
      <c r="K565">
        <v>348.5</v>
      </c>
      <c r="L565">
        <v>1394</v>
      </c>
      <c r="M565">
        <v>1045.5</v>
      </c>
      <c r="N565" t="s">
        <v>44</v>
      </c>
    </row>
    <row r="566" spans="1:14" x14ac:dyDescent="0.2">
      <c r="A566">
        <v>3565</v>
      </c>
      <c r="B566" t="s">
        <v>855</v>
      </c>
      <c r="C566" t="s">
        <v>218</v>
      </c>
      <c r="D566">
        <v>1797</v>
      </c>
      <c r="E566" t="s">
        <v>37</v>
      </c>
      <c r="F566" s="1">
        <v>45606</v>
      </c>
      <c r="G566">
        <v>2</v>
      </c>
      <c r="H566" t="s">
        <v>71</v>
      </c>
      <c r="I566" t="s">
        <v>47</v>
      </c>
      <c r="J566">
        <v>0.3</v>
      </c>
      <c r="K566">
        <v>99.3</v>
      </c>
      <c r="L566">
        <v>331</v>
      </c>
      <c r="M566">
        <v>231.7</v>
      </c>
      <c r="N566" t="s">
        <v>48</v>
      </c>
    </row>
    <row r="567" spans="1:14" x14ac:dyDescent="0.2">
      <c r="A567">
        <v>3566</v>
      </c>
      <c r="B567" t="s">
        <v>143</v>
      </c>
      <c r="C567" t="s">
        <v>856</v>
      </c>
      <c r="D567">
        <v>1798</v>
      </c>
      <c r="E567" t="s">
        <v>37</v>
      </c>
      <c r="F567" s="1">
        <v>45549</v>
      </c>
      <c r="G567">
        <v>3</v>
      </c>
      <c r="H567" t="s">
        <v>32</v>
      </c>
      <c r="I567" t="s">
        <v>33</v>
      </c>
      <c r="J567">
        <v>0.3</v>
      </c>
      <c r="K567">
        <v>558.6</v>
      </c>
      <c r="L567">
        <v>1862</v>
      </c>
      <c r="M567">
        <v>1303.4000000000001</v>
      </c>
      <c r="N567" t="s">
        <v>48</v>
      </c>
    </row>
    <row r="568" spans="1:14" x14ac:dyDescent="0.2">
      <c r="A568">
        <v>3567</v>
      </c>
      <c r="B568" t="s">
        <v>187</v>
      </c>
      <c r="C568" t="s">
        <v>555</v>
      </c>
      <c r="D568">
        <v>1799</v>
      </c>
      <c r="E568" t="s">
        <v>51</v>
      </c>
      <c r="F568" s="1">
        <v>45323</v>
      </c>
      <c r="G568">
        <v>3</v>
      </c>
      <c r="H568" t="s">
        <v>52</v>
      </c>
      <c r="I568" t="s">
        <v>47</v>
      </c>
      <c r="J568">
        <v>0.2</v>
      </c>
      <c r="K568">
        <v>177.20000000000002</v>
      </c>
      <c r="L568">
        <v>886</v>
      </c>
      <c r="M568">
        <v>708.8</v>
      </c>
      <c r="N568" t="s">
        <v>34</v>
      </c>
    </row>
    <row r="569" spans="1:14" x14ac:dyDescent="0.2">
      <c r="A569">
        <v>3568</v>
      </c>
      <c r="B569" t="s">
        <v>393</v>
      </c>
      <c r="C569" t="s">
        <v>153</v>
      </c>
      <c r="D569">
        <v>1800</v>
      </c>
      <c r="E569" t="s">
        <v>76</v>
      </c>
      <c r="F569" s="1">
        <v>45475</v>
      </c>
      <c r="G569">
        <v>2</v>
      </c>
      <c r="H569" t="s">
        <v>32</v>
      </c>
      <c r="I569" t="s">
        <v>39</v>
      </c>
      <c r="J569">
        <v>0.25</v>
      </c>
      <c r="K569">
        <v>419.25</v>
      </c>
      <c r="L569">
        <v>1677</v>
      </c>
      <c r="M569">
        <v>1257.75</v>
      </c>
      <c r="N569" t="s">
        <v>34</v>
      </c>
    </row>
    <row r="570" spans="1:14" x14ac:dyDescent="0.2">
      <c r="A570">
        <v>3569</v>
      </c>
      <c r="B570" t="s">
        <v>857</v>
      </c>
      <c r="C570" t="s">
        <v>500</v>
      </c>
      <c r="D570">
        <v>1801</v>
      </c>
      <c r="E570" t="s">
        <v>42</v>
      </c>
      <c r="F570" s="1">
        <v>45552</v>
      </c>
      <c r="G570">
        <v>1</v>
      </c>
      <c r="H570" t="s">
        <v>32</v>
      </c>
      <c r="I570" t="s">
        <v>47</v>
      </c>
      <c r="J570">
        <v>0.25</v>
      </c>
      <c r="K570">
        <v>396.5</v>
      </c>
      <c r="L570">
        <v>1586</v>
      </c>
      <c r="M570">
        <v>1189.5</v>
      </c>
      <c r="N570" t="s">
        <v>54</v>
      </c>
    </row>
    <row r="571" spans="1:14" x14ac:dyDescent="0.2">
      <c r="A571">
        <v>3570</v>
      </c>
      <c r="B571" t="s">
        <v>611</v>
      </c>
      <c r="C571" t="s">
        <v>451</v>
      </c>
      <c r="D571">
        <v>1802</v>
      </c>
      <c r="E571" t="s">
        <v>51</v>
      </c>
      <c r="F571" s="1">
        <v>45546</v>
      </c>
      <c r="G571">
        <v>2</v>
      </c>
      <c r="H571" t="s">
        <v>32</v>
      </c>
      <c r="I571" t="s">
        <v>81</v>
      </c>
      <c r="J571">
        <v>0.2</v>
      </c>
      <c r="K571">
        <v>98</v>
      </c>
      <c r="L571">
        <v>490</v>
      </c>
      <c r="M571">
        <v>392</v>
      </c>
      <c r="N571" t="s">
        <v>54</v>
      </c>
    </row>
    <row r="572" spans="1:14" x14ac:dyDescent="0.2">
      <c r="A572">
        <v>3571</v>
      </c>
      <c r="B572" t="s">
        <v>858</v>
      </c>
      <c r="C572" t="s">
        <v>859</v>
      </c>
      <c r="D572">
        <v>1803</v>
      </c>
      <c r="E572" t="s">
        <v>76</v>
      </c>
      <c r="F572" s="1">
        <v>45373</v>
      </c>
      <c r="G572">
        <v>2</v>
      </c>
      <c r="H572" t="s">
        <v>52</v>
      </c>
      <c r="I572" t="s">
        <v>43</v>
      </c>
      <c r="J572">
        <v>0.25</v>
      </c>
      <c r="K572">
        <v>56.5</v>
      </c>
      <c r="L572">
        <v>226</v>
      </c>
      <c r="M572">
        <v>169.5</v>
      </c>
      <c r="N572" t="s">
        <v>54</v>
      </c>
    </row>
    <row r="573" spans="1:14" x14ac:dyDescent="0.2">
      <c r="A573">
        <v>3572</v>
      </c>
      <c r="B573" t="s">
        <v>834</v>
      </c>
      <c r="C573" t="s">
        <v>860</v>
      </c>
      <c r="D573">
        <v>1804</v>
      </c>
      <c r="E573" t="s">
        <v>76</v>
      </c>
      <c r="F573" s="1">
        <v>45569</v>
      </c>
      <c r="G573">
        <v>2</v>
      </c>
      <c r="H573" t="s">
        <v>52</v>
      </c>
      <c r="I573" t="s">
        <v>33</v>
      </c>
      <c r="J573">
        <v>0.25</v>
      </c>
      <c r="K573">
        <v>120</v>
      </c>
      <c r="L573">
        <v>480</v>
      </c>
      <c r="M573">
        <v>360</v>
      </c>
      <c r="N573" t="s">
        <v>44</v>
      </c>
    </row>
    <row r="574" spans="1:14" x14ac:dyDescent="0.2">
      <c r="A574">
        <v>3573</v>
      </c>
      <c r="B574" t="s">
        <v>704</v>
      </c>
      <c r="C574" t="s">
        <v>116</v>
      </c>
      <c r="D574">
        <v>1805</v>
      </c>
      <c r="E574" t="s">
        <v>37</v>
      </c>
      <c r="F574" s="1">
        <v>45384</v>
      </c>
      <c r="G574">
        <v>2</v>
      </c>
      <c r="H574" t="s">
        <v>71</v>
      </c>
      <c r="I574" t="s">
        <v>64</v>
      </c>
      <c r="J574">
        <v>0.3</v>
      </c>
      <c r="K574">
        <v>390.9</v>
      </c>
      <c r="L574">
        <v>1303</v>
      </c>
      <c r="M574">
        <v>912.1</v>
      </c>
      <c r="N574" t="s">
        <v>54</v>
      </c>
    </row>
    <row r="575" spans="1:14" x14ac:dyDescent="0.2">
      <c r="A575">
        <v>3574</v>
      </c>
      <c r="B575" t="s">
        <v>861</v>
      </c>
      <c r="C575" t="s">
        <v>862</v>
      </c>
      <c r="D575">
        <v>1806</v>
      </c>
      <c r="E575" t="s">
        <v>42</v>
      </c>
      <c r="F575" s="1">
        <v>45615</v>
      </c>
      <c r="G575">
        <v>3</v>
      </c>
      <c r="H575" t="s">
        <v>52</v>
      </c>
      <c r="I575" t="s">
        <v>39</v>
      </c>
      <c r="J575">
        <v>0.25</v>
      </c>
      <c r="K575">
        <v>304.75</v>
      </c>
      <c r="L575">
        <v>1219</v>
      </c>
      <c r="M575">
        <v>914.25</v>
      </c>
      <c r="N575" t="s">
        <v>44</v>
      </c>
    </row>
    <row r="576" spans="1:14" x14ac:dyDescent="0.2">
      <c r="A576">
        <v>3575</v>
      </c>
      <c r="B576" t="s">
        <v>469</v>
      </c>
      <c r="C576" t="s">
        <v>863</v>
      </c>
      <c r="D576">
        <v>1807</v>
      </c>
      <c r="E576" t="s">
        <v>51</v>
      </c>
      <c r="F576" s="1">
        <v>45592</v>
      </c>
      <c r="G576">
        <v>1</v>
      </c>
      <c r="H576" t="s">
        <v>38</v>
      </c>
      <c r="I576" t="s">
        <v>47</v>
      </c>
      <c r="J576">
        <v>0.2</v>
      </c>
      <c r="K576">
        <v>185.8</v>
      </c>
      <c r="L576">
        <v>929</v>
      </c>
      <c r="M576">
        <v>743.2</v>
      </c>
      <c r="N576" t="s">
        <v>44</v>
      </c>
    </row>
    <row r="577" spans="1:14" x14ac:dyDescent="0.2">
      <c r="A577">
        <v>3576</v>
      </c>
      <c r="B577" t="s">
        <v>864</v>
      </c>
      <c r="C577" t="s">
        <v>56</v>
      </c>
      <c r="D577">
        <v>1808</v>
      </c>
      <c r="E577" t="s">
        <v>31</v>
      </c>
      <c r="F577" s="1">
        <v>45653</v>
      </c>
      <c r="G577">
        <v>3</v>
      </c>
      <c r="H577" t="s">
        <v>52</v>
      </c>
      <c r="I577" t="s">
        <v>57</v>
      </c>
      <c r="J577">
        <v>0.1</v>
      </c>
      <c r="K577">
        <v>24.6</v>
      </c>
      <c r="L577">
        <v>246</v>
      </c>
      <c r="M577">
        <v>221.4</v>
      </c>
      <c r="N577" t="s">
        <v>48</v>
      </c>
    </row>
    <row r="578" spans="1:14" x14ac:dyDescent="0.2">
      <c r="A578">
        <v>3577</v>
      </c>
      <c r="B578" t="s">
        <v>251</v>
      </c>
      <c r="C578" t="s">
        <v>837</v>
      </c>
      <c r="D578">
        <v>1809</v>
      </c>
      <c r="E578" t="s">
        <v>42</v>
      </c>
      <c r="F578" s="1">
        <v>45529</v>
      </c>
      <c r="G578">
        <v>1</v>
      </c>
      <c r="H578" t="s">
        <v>32</v>
      </c>
      <c r="I578" t="s">
        <v>81</v>
      </c>
      <c r="J578">
        <v>0.25</v>
      </c>
      <c r="K578">
        <v>61.25</v>
      </c>
      <c r="L578">
        <v>245</v>
      </c>
      <c r="M578">
        <v>183.75</v>
      </c>
      <c r="N578" t="s">
        <v>34</v>
      </c>
    </row>
    <row r="579" spans="1:14" x14ac:dyDescent="0.2">
      <c r="A579">
        <v>3578</v>
      </c>
      <c r="B579" t="s">
        <v>713</v>
      </c>
      <c r="C579" t="s">
        <v>865</v>
      </c>
      <c r="D579">
        <v>1810</v>
      </c>
      <c r="E579" t="s">
        <v>76</v>
      </c>
      <c r="F579" s="1">
        <v>45431</v>
      </c>
      <c r="G579">
        <v>1</v>
      </c>
      <c r="H579" t="s">
        <v>52</v>
      </c>
      <c r="I579" t="s">
        <v>43</v>
      </c>
      <c r="J579">
        <v>0.25</v>
      </c>
      <c r="K579">
        <v>334.25</v>
      </c>
      <c r="L579">
        <v>1337</v>
      </c>
      <c r="M579">
        <v>1002.75</v>
      </c>
      <c r="N579" t="s">
        <v>34</v>
      </c>
    </row>
    <row r="580" spans="1:14" x14ac:dyDescent="0.2">
      <c r="A580">
        <v>3579</v>
      </c>
      <c r="B580" t="s">
        <v>866</v>
      </c>
      <c r="C580" t="s">
        <v>124</v>
      </c>
      <c r="D580">
        <v>1811</v>
      </c>
      <c r="E580" t="s">
        <v>31</v>
      </c>
      <c r="F580" s="1">
        <v>45545</v>
      </c>
      <c r="G580">
        <v>3</v>
      </c>
      <c r="H580" t="s">
        <v>52</v>
      </c>
      <c r="I580" t="s">
        <v>53</v>
      </c>
      <c r="J580">
        <v>0.1</v>
      </c>
      <c r="K580">
        <v>172.60000000000002</v>
      </c>
      <c r="L580">
        <v>1726</v>
      </c>
      <c r="M580">
        <v>1553.4</v>
      </c>
      <c r="N580" t="s">
        <v>34</v>
      </c>
    </row>
    <row r="581" spans="1:14" x14ac:dyDescent="0.2">
      <c r="A581">
        <v>3580</v>
      </c>
      <c r="B581" t="s">
        <v>601</v>
      </c>
      <c r="C581" t="s">
        <v>867</v>
      </c>
      <c r="D581">
        <v>1812</v>
      </c>
      <c r="E581" t="s">
        <v>76</v>
      </c>
      <c r="F581" s="1">
        <v>45428</v>
      </c>
      <c r="G581">
        <v>3</v>
      </c>
      <c r="H581" t="s">
        <v>32</v>
      </c>
      <c r="I581" t="s">
        <v>64</v>
      </c>
      <c r="J581">
        <v>0.25</v>
      </c>
      <c r="K581">
        <v>144</v>
      </c>
      <c r="L581">
        <v>576</v>
      </c>
      <c r="M581">
        <v>432</v>
      </c>
      <c r="N581" t="s">
        <v>48</v>
      </c>
    </row>
    <row r="582" spans="1:14" x14ac:dyDescent="0.2">
      <c r="A582">
        <v>3581</v>
      </c>
      <c r="B582" t="s">
        <v>868</v>
      </c>
      <c r="C582" t="s">
        <v>869</v>
      </c>
      <c r="D582">
        <v>1813</v>
      </c>
      <c r="E582" t="s">
        <v>42</v>
      </c>
      <c r="F582" s="1">
        <v>45347</v>
      </c>
      <c r="G582">
        <v>1</v>
      </c>
      <c r="H582" t="s">
        <v>32</v>
      </c>
      <c r="I582" t="s">
        <v>53</v>
      </c>
      <c r="J582">
        <v>0.25</v>
      </c>
      <c r="K582">
        <v>213.5</v>
      </c>
      <c r="L582">
        <v>854</v>
      </c>
      <c r="M582">
        <v>640.5</v>
      </c>
      <c r="N582" t="s">
        <v>34</v>
      </c>
    </row>
    <row r="583" spans="1:14" x14ac:dyDescent="0.2">
      <c r="A583">
        <v>3582</v>
      </c>
      <c r="B583" t="s">
        <v>49</v>
      </c>
      <c r="C583" t="s">
        <v>138</v>
      </c>
      <c r="D583">
        <v>1814</v>
      </c>
      <c r="E583" t="s">
        <v>51</v>
      </c>
      <c r="F583" s="1">
        <v>45471</v>
      </c>
      <c r="G583">
        <v>1</v>
      </c>
      <c r="H583" t="s">
        <v>52</v>
      </c>
      <c r="I583" t="s">
        <v>39</v>
      </c>
      <c r="J583">
        <v>0.2</v>
      </c>
      <c r="K583">
        <v>25.400000000000002</v>
      </c>
      <c r="L583">
        <v>127</v>
      </c>
      <c r="M583">
        <v>101.6</v>
      </c>
      <c r="N583" t="s">
        <v>54</v>
      </c>
    </row>
    <row r="584" spans="1:14" x14ac:dyDescent="0.2">
      <c r="A584">
        <v>3583</v>
      </c>
      <c r="B584" t="s">
        <v>870</v>
      </c>
      <c r="C584" t="s">
        <v>871</v>
      </c>
      <c r="D584">
        <v>1815</v>
      </c>
      <c r="E584" t="s">
        <v>31</v>
      </c>
      <c r="F584" s="1">
        <v>45496</v>
      </c>
      <c r="G584">
        <v>3</v>
      </c>
      <c r="H584" t="s">
        <v>52</v>
      </c>
      <c r="I584" t="s">
        <v>39</v>
      </c>
      <c r="J584">
        <v>0.1</v>
      </c>
      <c r="K584">
        <v>130.9</v>
      </c>
      <c r="L584">
        <v>1309</v>
      </c>
      <c r="M584">
        <v>1178.0999999999999</v>
      </c>
      <c r="N584" t="s">
        <v>114</v>
      </c>
    </row>
    <row r="585" spans="1:14" x14ac:dyDescent="0.2">
      <c r="A585">
        <v>3584</v>
      </c>
      <c r="B585" t="s">
        <v>872</v>
      </c>
      <c r="C585" t="s">
        <v>873</v>
      </c>
      <c r="D585">
        <v>1816</v>
      </c>
      <c r="E585" t="s">
        <v>31</v>
      </c>
      <c r="F585" s="1">
        <v>45401</v>
      </c>
      <c r="G585">
        <v>2</v>
      </c>
      <c r="H585" t="s">
        <v>52</v>
      </c>
      <c r="I585" t="s">
        <v>64</v>
      </c>
      <c r="J585">
        <v>0.1</v>
      </c>
      <c r="K585">
        <v>9.5</v>
      </c>
      <c r="L585">
        <v>95</v>
      </c>
      <c r="M585">
        <v>85.5</v>
      </c>
      <c r="N585" t="s">
        <v>34</v>
      </c>
    </row>
    <row r="586" spans="1:14" x14ac:dyDescent="0.2">
      <c r="A586">
        <v>3585</v>
      </c>
      <c r="B586" t="s">
        <v>874</v>
      </c>
      <c r="C586" t="s">
        <v>875</v>
      </c>
      <c r="D586">
        <v>1817</v>
      </c>
      <c r="E586" t="s">
        <v>76</v>
      </c>
      <c r="F586" s="1">
        <v>45490</v>
      </c>
      <c r="G586">
        <v>2</v>
      </c>
      <c r="H586" t="s">
        <v>71</v>
      </c>
      <c r="I586" t="s">
        <v>81</v>
      </c>
      <c r="J586">
        <v>0.25</v>
      </c>
      <c r="K586">
        <v>305</v>
      </c>
      <c r="L586">
        <v>1220</v>
      </c>
      <c r="M586">
        <v>915</v>
      </c>
      <c r="N586" t="s">
        <v>114</v>
      </c>
    </row>
    <row r="587" spans="1:14" x14ac:dyDescent="0.2">
      <c r="A587">
        <v>3586</v>
      </c>
      <c r="B587" t="s">
        <v>876</v>
      </c>
      <c r="C587" t="s">
        <v>702</v>
      </c>
      <c r="D587">
        <v>1818</v>
      </c>
      <c r="E587" t="s">
        <v>37</v>
      </c>
      <c r="F587" s="1">
        <v>45454</v>
      </c>
      <c r="G587">
        <v>3</v>
      </c>
      <c r="H587" t="s">
        <v>32</v>
      </c>
      <c r="I587" t="s">
        <v>57</v>
      </c>
      <c r="J587">
        <v>0.3</v>
      </c>
      <c r="K587">
        <v>571.19999999999993</v>
      </c>
      <c r="L587">
        <v>1904</v>
      </c>
      <c r="M587">
        <v>1332.8000000000002</v>
      </c>
      <c r="N587" t="s">
        <v>114</v>
      </c>
    </row>
    <row r="588" spans="1:14" x14ac:dyDescent="0.2">
      <c r="A588">
        <v>3587</v>
      </c>
      <c r="B588" t="s">
        <v>648</v>
      </c>
      <c r="C588" t="s">
        <v>36</v>
      </c>
      <c r="D588">
        <v>1819</v>
      </c>
      <c r="E588" t="s">
        <v>92</v>
      </c>
      <c r="F588" s="1">
        <v>45454</v>
      </c>
      <c r="G588">
        <v>1</v>
      </c>
      <c r="H588" t="s">
        <v>71</v>
      </c>
      <c r="I588" t="s">
        <v>53</v>
      </c>
      <c r="J588">
        <v>0.3</v>
      </c>
      <c r="K588">
        <v>259.8</v>
      </c>
      <c r="L588">
        <v>866</v>
      </c>
      <c r="M588">
        <v>606.20000000000005</v>
      </c>
      <c r="N588" t="s">
        <v>34</v>
      </c>
    </row>
    <row r="589" spans="1:14" x14ac:dyDescent="0.2">
      <c r="A589">
        <v>3588</v>
      </c>
      <c r="B589" t="s">
        <v>877</v>
      </c>
      <c r="C589" t="s">
        <v>87</v>
      </c>
      <c r="D589">
        <v>1820</v>
      </c>
      <c r="E589" t="s">
        <v>76</v>
      </c>
      <c r="F589" s="1">
        <v>45571</v>
      </c>
      <c r="G589">
        <v>1</v>
      </c>
      <c r="H589" t="s">
        <v>32</v>
      </c>
      <c r="I589" t="s">
        <v>47</v>
      </c>
      <c r="J589">
        <v>0.25</v>
      </c>
      <c r="K589">
        <v>449.75</v>
      </c>
      <c r="L589">
        <v>1799</v>
      </c>
      <c r="M589">
        <v>1349.25</v>
      </c>
      <c r="N589" t="s">
        <v>48</v>
      </c>
    </row>
    <row r="590" spans="1:14" x14ac:dyDescent="0.2">
      <c r="A590">
        <v>3589</v>
      </c>
      <c r="B590" t="s">
        <v>143</v>
      </c>
      <c r="C590" t="s">
        <v>803</v>
      </c>
      <c r="D590">
        <v>1821</v>
      </c>
      <c r="E590" t="s">
        <v>31</v>
      </c>
      <c r="F590" s="1">
        <v>45417</v>
      </c>
      <c r="G590">
        <v>3</v>
      </c>
      <c r="H590" t="s">
        <v>52</v>
      </c>
      <c r="I590" t="s">
        <v>57</v>
      </c>
      <c r="J590">
        <v>0.1</v>
      </c>
      <c r="K590">
        <v>1.1000000000000001</v>
      </c>
      <c r="L590">
        <v>11</v>
      </c>
      <c r="M590">
        <v>9.9</v>
      </c>
      <c r="N590" t="s">
        <v>34</v>
      </c>
    </row>
    <row r="591" spans="1:14" x14ac:dyDescent="0.2">
      <c r="A591">
        <v>3590</v>
      </c>
      <c r="B591" t="s">
        <v>389</v>
      </c>
      <c r="C591" t="s">
        <v>663</v>
      </c>
      <c r="D591">
        <v>1822</v>
      </c>
      <c r="E591" t="s">
        <v>76</v>
      </c>
      <c r="F591" s="1">
        <v>45516</v>
      </c>
      <c r="G591">
        <v>3</v>
      </c>
      <c r="H591" t="s">
        <v>32</v>
      </c>
      <c r="I591" t="s">
        <v>39</v>
      </c>
      <c r="J591">
        <v>0.25</v>
      </c>
      <c r="K591">
        <v>96</v>
      </c>
      <c r="L591">
        <v>384</v>
      </c>
      <c r="M591">
        <v>288</v>
      </c>
      <c r="N591" t="s">
        <v>54</v>
      </c>
    </row>
    <row r="592" spans="1:14" x14ac:dyDescent="0.2">
      <c r="A592">
        <v>3591</v>
      </c>
      <c r="B592" t="s">
        <v>878</v>
      </c>
      <c r="C592" t="s">
        <v>879</v>
      </c>
      <c r="D592">
        <v>1823</v>
      </c>
      <c r="E592" t="s">
        <v>76</v>
      </c>
      <c r="F592" s="1">
        <v>45453</v>
      </c>
      <c r="G592">
        <v>1</v>
      </c>
      <c r="H592" t="s">
        <v>32</v>
      </c>
      <c r="I592" t="s">
        <v>81</v>
      </c>
      <c r="J592">
        <v>0.25</v>
      </c>
      <c r="K592">
        <v>318.5</v>
      </c>
      <c r="L592">
        <v>1274</v>
      </c>
      <c r="M592">
        <v>955.5</v>
      </c>
      <c r="N592" t="s">
        <v>44</v>
      </c>
    </row>
    <row r="593" spans="1:14" x14ac:dyDescent="0.2">
      <c r="A593">
        <v>3592</v>
      </c>
      <c r="B593" t="s">
        <v>880</v>
      </c>
      <c r="C593" t="s">
        <v>659</v>
      </c>
      <c r="D593">
        <v>1824</v>
      </c>
      <c r="E593" t="s">
        <v>76</v>
      </c>
      <c r="F593" s="1">
        <v>45556</v>
      </c>
      <c r="G593">
        <v>1</v>
      </c>
      <c r="H593" t="s">
        <v>32</v>
      </c>
      <c r="I593" t="s">
        <v>33</v>
      </c>
      <c r="J593">
        <v>0.25</v>
      </c>
      <c r="K593">
        <v>228.75</v>
      </c>
      <c r="L593">
        <v>915</v>
      </c>
      <c r="M593">
        <v>686.25</v>
      </c>
      <c r="N593" t="s">
        <v>34</v>
      </c>
    </row>
    <row r="594" spans="1:14" x14ac:dyDescent="0.2">
      <c r="A594">
        <v>3593</v>
      </c>
      <c r="B594" t="s">
        <v>636</v>
      </c>
      <c r="C594" t="s">
        <v>881</v>
      </c>
      <c r="D594">
        <v>1825</v>
      </c>
      <c r="E594" t="s">
        <v>51</v>
      </c>
      <c r="F594" s="1">
        <v>45595</v>
      </c>
      <c r="G594">
        <v>2</v>
      </c>
      <c r="H594" t="s">
        <v>71</v>
      </c>
      <c r="I594" t="s">
        <v>43</v>
      </c>
      <c r="J594">
        <v>0.2</v>
      </c>
      <c r="K594">
        <v>105.80000000000001</v>
      </c>
      <c r="L594">
        <v>529</v>
      </c>
      <c r="M594">
        <v>423.2</v>
      </c>
      <c r="N594" t="s">
        <v>34</v>
      </c>
    </row>
    <row r="595" spans="1:14" x14ac:dyDescent="0.2">
      <c r="A595">
        <v>3594</v>
      </c>
      <c r="B595" t="s">
        <v>882</v>
      </c>
      <c r="C595" t="s">
        <v>883</v>
      </c>
      <c r="D595">
        <v>1826</v>
      </c>
      <c r="E595" t="s">
        <v>76</v>
      </c>
      <c r="F595" s="1">
        <v>45388</v>
      </c>
      <c r="G595">
        <v>3</v>
      </c>
      <c r="H595" t="s">
        <v>71</v>
      </c>
      <c r="I595" t="s">
        <v>33</v>
      </c>
      <c r="J595">
        <v>0.25</v>
      </c>
      <c r="K595">
        <v>142.75</v>
      </c>
      <c r="L595">
        <v>571</v>
      </c>
      <c r="M595">
        <v>428.25</v>
      </c>
      <c r="N595" t="s">
        <v>114</v>
      </c>
    </row>
    <row r="596" spans="1:14" x14ac:dyDescent="0.2">
      <c r="A596">
        <v>3595</v>
      </c>
      <c r="B596" t="s">
        <v>884</v>
      </c>
      <c r="C596" t="s">
        <v>885</v>
      </c>
      <c r="D596">
        <v>1827</v>
      </c>
      <c r="E596" t="s">
        <v>42</v>
      </c>
      <c r="F596" s="1">
        <v>45353</v>
      </c>
      <c r="G596">
        <v>3</v>
      </c>
      <c r="H596" t="s">
        <v>32</v>
      </c>
      <c r="I596" t="s">
        <v>64</v>
      </c>
      <c r="J596">
        <v>0.25</v>
      </c>
      <c r="K596">
        <v>222.25</v>
      </c>
      <c r="L596">
        <v>889</v>
      </c>
      <c r="M596">
        <v>666.75</v>
      </c>
      <c r="N596" t="s">
        <v>114</v>
      </c>
    </row>
    <row r="597" spans="1:14" x14ac:dyDescent="0.2">
      <c r="A597">
        <v>3596</v>
      </c>
      <c r="B597" t="s">
        <v>886</v>
      </c>
      <c r="C597" t="s">
        <v>887</v>
      </c>
      <c r="D597">
        <v>1828</v>
      </c>
      <c r="E597" t="s">
        <v>76</v>
      </c>
      <c r="F597" s="1">
        <v>45601</v>
      </c>
      <c r="G597">
        <v>2</v>
      </c>
      <c r="H597" t="s">
        <v>71</v>
      </c>
      <c r="I597" t="s">
        <v>47</v>
      </c>
      <c r="J597">
        <v>0.25</v>
      </c>
      <c r="K597">
        <v>25</v>
      </c>
      <c r="L597">
        <v>100</v>
      </c>
      <c r="M597">
        <v>75</v>
      </c>
      <c r="N597" t="s">
        <v>34</v>
      </c>
    </row>
    <row r="598" spans="1:14" x14ac:dyDescent="0.2">
      <c r="A598">
        <v>3597</v>
      </c>
      <c r="B598" t="s">
        <v>868</v>
      </c>
      <c r="C598" t="s">
        <v>153</v>
      </c>
      <c r="D598">
        <v>1829</v>
      </c>
      <c r="E598" t="s">
        <v>42</v>
      </c>
      <c r="F598" s="1">
        <v>45525</v>
      </c>
      <c r="G598">
        <v>1</v>
      </c>
      <c r="H598" t="s">
        <v>38</v>
      </c>
      <c r="I598" t="s">
        <v>43</v>
      </c>
      <c r="J598">
        <v>0.25</v>
      </c>
      <c r="K598">
        <v>222</v>
      </c>
      <c r="L598">
        <v>888</v>
      </c>
      <c r="M598">
        <v>666</v>
      </c>
      <c r="N598" t="s">
        <v>54</v>
      </c>
    </row>
    <row r="599" spans="1:14" x14ac:dyDescent="0.2">
      <c r="A599">
        <v>3598</v>
      </c>
      <c r="B599" t="s">
        <v>888</v>
      </c>
      <c r="C599" t="s">
        <v>335</v>
      </c>
      <c r="D599">
        <v>1830</v>
      </c>
      <c r="E599" t="s">
        <v>42</v>
      </c>
      <c r="F599" s="1">
        <v>45520</v>
      </c>
      <c r="G599">
        <v>1</v>
      </c>
      <c r="H599" t="s">
        <v>38</v>
      </c>
      <c r="I599" t="s">
        <v>43</v>
      </c>
      <c r="J599">
        <v>0.25</v>
      </c>
      <c r="K599">
        <v>368</v>
      </c>
      <c r="L599">
        <v>1472</v>
      </c>
      <c r="M599">
        <v>1104</v>
      </c>
      <c r="N599" t="s">
        <v>54</v>
      </c>
    </row>
    <row r="600" spans="1:14" x14ac:dyDescent="0.2">
      <c r="A600">
        <v>3599</v>
      </c>
      <c r="B600" t="s">
        <v>889</v>
      </c>
      <c r="C600" t="s">
        <v>171</v>
      </c>
      <c r="D600">
        <v>1831</v>
      </c>
      <c r="E600" t="s">
        <v>31</v>
      </c>
      <c r="F600" s="1">
        <v>45497</v>
      </c>
      <c r="G600">
        <v>3</v>
      </c>
      <c r="H600" t="s">
        <v>32</v>
      </c>
      <c r="I600" t="s">
        <v>47</v>
      </c>
      <c r="J600">
        <v>0.1</v>
      </c>
      <c r="K600">
        <v>90.9</v>
      </c>
      <c r="L600">
        <v>909</v>
      </c>
      <c r="M600">
        <v>818.1</v>
      </c>
      <c r="N600" t="s">
        <v>54</v>
      </c>
    </row>
    <row r="601" spans="1:14" x14ac:dyDescent="0.2">
      <c r="A601">
        <v>3600</v>
      </c>
      <c r="B601" t="s">
        <v>890</v>
      </c>
      <c r="C601" t="s">
        <v>891</v>
      </c>
      <c r="D601">
        <v>1832</v>
      </c>
      <c r="E601" t="s">
        <v>51</v>
      </c>
      <c r="F601" s="1">
        <v>45582</v>
      </c>
      <c r="G601">
        <v>3</v>
      </c>
      <c r="H601" t="s">
        <v>32</v>
      </c>
      <c r="I601" t="s">
        <v>33</v>
      </c>
      <c r="J601">
        <v>0.2</v>
      </c>
      <c r="K601">
        <v>270.8</v>
      </c>
      <c r="L601">
        <v>1354</v>
      </c>
      <c r="M601">
        <v>1083.2</v>
      </c>
      <c r="N601" t="s">
        <v>48</v>
      </c>
    </row>
    <row r="602" spans="1:14" x14ac:dyDescent="0.2">
      <c r="A602">
        <v>3601</v>
      </c>
      <c r="B602" t="s">
        <v>892</v>
      </c>
      <c r="C602" t="s">
        <v>893</v>
      </c>
      <c r="D602">
        <v>1833</v>
      </c>
      <c r="E602" t="s">
        <v>92</v>
      </c>
      <c r="F602" s="1">
        <v>45440</v>
      </c>
      <c r="G602">
        <v>1</v>
      </c>
      <c r="H602" t="s">
        <v>32</v>
      </c>
      <c r="I602" t="s">
        <v>64</v>
      </c>
      <c r="J602">
        <v>0.3</v>
      </c>
      <c r="K602">
        <v>320.09999999999997</v>
      </c>
      <c r="L602">
        <v>1067</v>
      </c>
      <c r="M602">
        <v>746.90000000000009</v>
      </c>
      <c r="N602" t="s">
        <v>114</v>
      </c>
    </row>
    <row r="603" spans="1:14" x14ac:dyDescent="0.2">
      <c r="A603">
        <v>3602</v>
      </c>
      <c r="B603" t="s">
        <v>894</v>
      </c>
      <c r="C603" t="s">
        <v>208</v>
      </c>
      <c r="D603">
        <v>1834</v>
      </c>
      <c r="E603" t="s">
        <v>42</v>
      </c>
      <c r="F603" s="1">
        <v>45431</v>
      </c>
      <c r="G603">
        <v>1</v>
      </c>
      <c r="H603" t="s">
        <v>71</v>
      </c>
      <c r="I603" t="s">
        <v>33</v>
      </c>
      <c r="J603">
        <v>0.25</v>
      </c>
      <c r="K603">
        <v>248.25</v>
      </c>
      <c r="L603">
        <v>993</v>
      </c>
      <c r="M603">
        <v>744.75</v>
      </c>
      <c r="N603" t="s">
        <v>114</v>
      </c>
    </row>
    <row r="604" spans="1:14" x14ac:dyDescent="0.2">
      <c r="A604">
        <v>3603</v>
      </c>
      <c r="B604" t="s">
        <v>895</v>
      </c>
      <c r="C604" t="s">
        <v>896</v>
      </c>
      <c r="D604">
        <v>1835</v>
      </c>
      <c r="E604" t="s">
        <v>92</v>
      </c>
      <c r="F604" s="1">
        <v>45630</v>
      </c>
      <c r="G604">
        <v>1</v>
      </c>
      <c r="H604" t="s">
        <v>52</v>
      </c>
      <c r="I604" t="s">
        <v>39</v>
      </c>
      <c r="J604">
        <v>0.3</v>
      </c>
      <c r="K604">
        <v>239.7</v>
      </c>
      <c r="L604">
        <v>799</v>
      </c>
      <c r="M604">
        <v>559.29999999999995</v>
      </c>
      <c r="N604" t="s">
        <v>44</v>
      </c>
    </row>
    <row r="605" spans="1:14" x14ac:dyDescent="0.2">
      <c r="A605">
        <v>3604</v>
      </c>
      <c r="B605" t="s">
        <v>760</v>
      </c>
      <c r="C605" t="s">
        <v>498</v>
      </c>
      <c r="D605">
        <v>1836</v>
      </c>
      <c r="E605" t="s">
        <v>76</v>
      </c>
      <c r="F605" s="1">
        <v>45358</v>
      </c>
      <c r="G605">
        <v>3</v>
      </c>
      <c r="H605" t="s">
        <v>52</v>
      </c>
      <c r="I605" t="s">
        <v>64</v>
      </c>
      <c r="J605">
        <v>0.25</v>
      </c>
      <c r="K605">
        <v>90.25</v>
      </c>
      <c r="L605">
        <v>361</v>
      </c>
      <c r="M605">
        <v>270.75</v>
      </c>
      <c r="N605" t="s">
        <v>114</v>
      </c>
    </row>
    <row r="606" spans="1:14" x14ac:dyDescent="0.2">
      <c r="A606">
        <v>3605</v>
      </c>
      <c r="B606" t="s">
        <v>897</v>
      </c>
      <c r="C606" t="s">
        <v>750</v>
      </c>
      <c r="D606">
        <v>1837</v>
      </c>
      <c r="E606" t="s">
        <v>92</v>
      </c>
      <c r="F606" s="1">
        <v>45453</v>
      </c>
      <c r="G606">
        <v>3</v>
      </c>
      <c r="H606" t="s">
        <v>32</v>
      </c>
      <c r="I606" t="s">
        <v>57</v>
      </c>
      <c r="J606">
        <v>0.3</v>
      </c>
      <c r="K606">
        <v>107.7</v>
      </c>
      <c r="L606">
        <v>359</v>
      </c>
      <c r="M606">
        <v>251.3</v>
      </c>
      <c r="N606" t="s">
        <v>34</v>
      </c>
    </row>
    <row r="607" spans="1:14" x14ac:dyDescent="0.2">
      <c r="A607">
        <v>3606</v>
      </c>
      <c r="B607" t="s">
        <v>898</v>
      </c>
      <c r="C607" t="s">
        <v>327</v>
      </c>
      <c r="D607">
        <v>1838</v>
      </c>
      <c r="E607" t="s">
        <v>76</v>
      </c>
      <c r="F607" s="1">
        <v>45564</v>
      </c>
      <c r="G607">
        <v>2</v>
      </c>
      <c r="H607" t="s">
        <v>32</v>
      </c>
      <c r="I607" t="s">
        <v>81</v>
      </c>
      <c r="J607">
        <v>0.25</v>
      </c>
      <c r="K607">
        <v>173.75</v>
      </c>
      <c r="L607">
        <v>695</v>
      </c>
      <c r="M607">
        <v>521.25</v>
      </c>
      <c r="N607" t="s">
        <v>114</v>
      </c>
    </row>
    <row r="608" spans="1:14" x14ac:dyDescent="0.2">
      <c r="A608">
        <v>3607</v>
      </c>
      <c r="B608" t="s">
        <v>543</v>
      </c>
      <c r="C608" t="s">
        <v>727</v>
      </c>
      <c r="D608">
        <v>1839</v>
      </c>
      <c r="E608" t="s">
        <v>42</v>
      </c>
      <c r="F608" s="1">
        <v>45340</v>
      </c>
      <c r="G608">
        <v>3</v>
      </c>
      <c r="H608" t="s">
        <v>32</v>
      </c>
      <c r="I608" t="s">
        <v>57</v>
      </c>
      <c r="J608">
        <v>0.25</v>
      </c>
      <c r="K608">
        <v>285.75</v>
      </c>
      <c r="L608">
        <v>1143</v>
      </c>
      <c r="M608">
        <v>857.25</v>
      </c>
      <c r="N608" t="s">
        <v>54</v>
      </c>
    </row>
    <row r="609" spans="1:14" x14ac:dyDescent="0.2">
      <c r="A609">
        <v>3608</v>
      </c>
      <c r="B609" t="s">
        <v>899</v>
      </c>
      <c r="C609" t="s">
        <v>360</v>
      </c>
      <c r="D609">
        <v>1840</v>
      </c>
      <c r="E609" t="s">
        <v>37</v>
      </c>
      <c r="F609" s="1">
        <v>45625</v>
      </c>
      <c r="G609">
        <v>1</v>
      </c>
      <c r="H609" t="s">
        <v>52</v>
      </c>
      <c r="I609" t="s">
        <v>39</v>
      </c>
      <c r="J609">
        <v>0.3</v>
      </c>
      <c r="K609">
        <v>370.5</v>
      </c>
      <c r="L609">
        <v>1235</v>
      </c>
      <c r="M609">
        <v>864.5</v>
      </c>
      <c r="N609" t="s">
        <v>44</v>
      </c>
    </row>
    <row r="610" spans="1:14" x14ac:dyDescent="0.2">
      <c r="A610">
        <v>3609</v>
      </c>
      <c r="B610" t="s">
        <v>652</v>
      </c>
      <c r="C610" t="s">
        <v>709</v>
      </c>
      <c r="D610">
        <v>1841</v>
      </c>
      <c r="E610" t="s">
        <v>76</v>
      </c>
      <c r="F610" s="1">
        <v>45468</v>
      </c>
      <c r="G610">
        <v>3</v>
      </c>
      <c r="H610" t="s">
        <v>32</v>
      </c>
      <c r="I610" t="s">
        <v>81</v>
      </c>
      <c r="J610">
        <v>0.25</v>
      </c>
      <c r="K610">
        <v>27</v>
      </c>
      <c r="L610">
        <v>108</v>
      </c>
      <c r="M610">
        <v>81</v>
      </c>
      <c r="N610" t="s">
        <v>114</v>
      </c>
    </row>
    <row r="611" spans="1:14" x14ac:dyDescent="0.2">
      <c r="A611">
        <v>3610</v>
      </c>
      <c r="B611" t="s">
        <v>545</v>
      </c>
      <c r="C611" t="s">
        <v>900</v>
      </c>
      <c r="D611">
        <v>1842</v>
      </c>
      <c r="E611" t="s">
        <v>42</v>
      </c>
      <c r="F611" s="1">
        <v>45647</v>
      </c>
      <c r="G611">
        <v>3</v>
      </c>
      <c r="H611" t="s">
        <v>32</v>
      </c>
      <c r="I611" t="s">
        <v>47</v>
      </c>
      <c r="J611">
        <v>0.25</v>
      </c>
      <c r="K611">
        <v>363.75</v>
      </c>
      <c r="L611">
        <v>1455</v>
      </c>
      <c r="M611">
        <v>1091.25</v>
      </c>
      <c r="N611" t="s">
        <v>44</v>
      </c>
    </row>
    <row r="612" spans="1:14" x14ac:dyDescent="0.2">
      <c r="A612">
        <v>3611</v>
      </c>
      <c r="B612" t="s">
        <v>901</v>
      </c>
      <c r="C612" t="s">
        <v>116</v>
      </c>
      <c r="D612">
        <v>1843</v>
      </c>
      <c r="E612" t="s">
        <v>92</v>
      </c>
      <c r="F612" s="1">
        <v>45384</v>
      </c>
      <c r="G612">
        <v>2</v>
      </c>
      <c r="H612" t="s">
        <v>52</v>
      </c>
      <c r="I612" t="s">
        <v>33</v>
      </c>
      <c r="J612">
        <v>0.3</v>
      </c>
      <c r="K612">
        <v>488.4</v>
      </c>
      <c r="L612">
        <v>1628</v>
      </c>
      <c r="M612">
        <v>1139.5999999999999</v>
      </c>
      <c r="N612" t="s">
        <v>114</v>
      </c>
    </row>
    <row r="613" spans="1:14" x14ac:dyDescent="0.2">
      <c r="A613">
        <v>3612</v>
      </c>
      <c r="B613" t="s">
        <v>902</v>
      </c>
      <c r="C613" t="s">
        <v>840</v>
      </c>
      <c r="D613">
        <v>1844</v>
      </c>
      <c r="E613" t="s">
        <v>76</v>
      </c>
      <c r="F613" s="1">
        <v>45442</v>
      </c>
      <c r="G613">
        <v>2</v>
      </c>
      <c r="H613" t="s">
        <v>52</v>
      </c>
      <c r="I613" t="s">
        <v>33</v>
      </c>
      <c r="J613">
        <v>0.25</v>
      </c>
      <c r="K613">
        <v>187.5</v>
      </c>
      <c r="L613">
        <v>750</v>
      </c>
      <c r="M613">
        <v>562.5</v>
      </c>
      <c r="N613" t="s">
        <v>44</v>
      </c>
    </row>
    <row r="614" spans="1:14" x14ac:dyDescent="0.2">
      <c r="A614">
        <v>3613</v>
      </c>
      <c r="B614" t="s">
        <v>903</v>
      </c>
      <c r="C614" t="s">
        <v>904</v>
      </c>
      <c r="D614">
        <v>1845</v>
      </c>
      <c r="E614" t="s">
        <v>42</v>
      </c>
      <c r="F614" s="1">
        <v>45580</v>
      </c>
      <c r="G614">
        <v>1</v>
      </c>
      <c r="H614" t="s">
        <v>52</v>
      </c>
      <c r="I614" t="s">
        <v>39</v>
      </c>
      <c r="J614">
        <v>0.25</v>
      </c>
      <c r="K614">
        <v>386.25</v>
      </c>
      <c r="L614">
        <v>1545</v>
      </c>
      <c r="M614">
        <v>1158.75</v>
      </c>
      <c r="N614" t="s">
        <v>34</v>
      </c>
    </row>
    <row r="615" spans="1:14" x14ac:dyDescent="0.2">
      <c r="A615">
        <v>3614</v>
      </c>
      <c r="B615" t="s">
        <v>306</v>
      </c>
      <c r="C615" t="s">
        <v>250</v>
      </c>
      <c r="D615">
        <v>1846</v>
      </c>
      <c r="E615" t="s">
        <v>76</v>
      </c>
      <c r="F615" s="1">
        <v>45551</v>
      </c>
      <c r="G615">
        <v>3</v>
      </c>
      <c r="H615" t="s">
        <v>32</v>
      </c>
      <c r="I615" t="s">
        <v>39</v>
      </c>
      <c r="J615">
        <v>0.25</v>
      </c>
      <c r="K615">
        <v>408</v>
      </c>
      <c r="L615">
        <v>1632</v>
      </c>
      <c r="M615">
        <v>1224</v>
      </c>
      <c r="N615" t="s">
        <v>48</v>
      </c>
    </row>
    <row r="616" spans="1:14" x14ac:dyDescent="0.2">
      <c r="A616">
        <v>3615</v>
      </c>
      <c r="B616" t="s">
        <v>905</v>
      </c>
      <c r="C616" t="s">
        <v>78</v>
      </c>
      <c r="D616">
        <v>1847</v>
      </c>
      <c r="E616" t="s">
        <v>31</v>
      </c>
      <c r="F616" s="1">
        <v>45503</v>
      </c>
      <c r="G616">
        <v>2</v>
      </c>
      <c r="H616" t="s">
        <v>32</v>
      </c>
      <c r="I616" t="s">
        <v>64</v>
      </c>
      <c r="J616">
        <v>0.1</v>
      </c>
      <c r="K616">
        <v>5.4</v>
      </c>
      <c r="L616">
        <v>54</v>
      </c>
      <c r="M616">
        <v>48.6</v>
      </c>
      <c r="N616" t="s">
        <v>48</v>
      </c>
    </row>
    <row r="617" spans="1:14" x14ac:dyDescent="0.2">
      <c r="A617">
        <v>3616</v>
      </c>
      <c r="B617" t="s">
        <v>110</v>
      </c>
      <c r="C617" t="s">
        <v>906</v>
      </c>
      <c r="D617">
        <v>1848</v>
      </c>
      <c r="E617" t="s">
        <v>51</v>
      </c>
      <c r="F617" s="1">
        <v>45431</v>
      </c>
      <c r="G617">
        <v>1</v>
      </c>
      <c r="H617" t="s">
        <v>32</v>
      </c>
      <c r="I617" t="s">
        <v>33</v>
      </c>
      <c r="J617">
        <v>0.2</v>
      </c>
      <c r="K617">
        <v>136.20000000000002</v>
      </c>
      <c r="L617">
        <v>681</v>
      </c>
      <c r="M617">
        <v>544.79999999999995</v>
      </c>
      <c r="N617" t="s">
        <v>44</v>
      </c>
    </row>
    <row r="618" spans="1:14" x14ac:dyDescent="0.2">
      <c r="A618">
        <v>3617</v>
      </c>
      <c r="B618" t="s">
        <v>907</v>
      </c>
      <c r="C618" t="s">
        <v>505</v>
      </c>
      <c r="D618">
        <v>1849</v>
      </c>
      <c r="E618" t="s">
        <v>51</v>
      </c>
      <c r="F618" s="1">
        <v>45541</v>
      </c>
      <c r="G618">
        <v>1</v>
      </c>
      <c r="H618" t="s">
        <v>38</v>
      </c>
      <c r="I618" t="s">
        <v>57</v>
      </c>
      <c r="J618">
        <v>0.2</v>
      </c>
      <c r="K618">
        <v>33</v>
      </c>
      <c r="L618">
        <v>165</v>
      </c>
      <c r="M618">
        <v>132</v>
      </c>
      <c r="N618" t="s">
        <v>48</v>
      </c>
    </row>
    <row r="619" spans="1:14" x14ac:dyDescent="0.2">
      <c r="A619">
        <v>3618</v>
      </c>
      <c r="B619" t="s">
        <v>453</v>
      </c>
      <c r="C619" t="s">
        <v>811</v>
      </c>
      <c r="D619">
        <v>1850</v>
      </c>
      <c r="E619" t="s">
        <v>31</v>
      </c>
      <c r="F619" s="1">
        <v>45292</v>
      </c>
      <c r="G619">
        <v>1</v>
      </c>
      <c r="H619" t="s">
        <v>32</v>
      </c>
      <c r="I619" t="s">
        <v>33</v>
      </c>
      <c r="J619">
        <v>0.1</v>
      </c>
      <c r="K619">
        <v>25.900000000000002</v>
      </c>
      <c r="L619">
        <v>259</v>
      </c>
      <c r="M619">
        <v>233.1</v>
      </c>
      <c r="N619" t="s">
        <v>54</v>
      </c>
    </row>
    <row r="620" spans="1:14" x14ac:dyDescent="0.2">
      <c r="A620">
        <v>3619</v>
      </c>
      <c r="B620" t="s">
        <v>717</v>
      </c>
      <c r="C620" t="s">
        <v>443</v>
      </c>
      <c r="D620">
        <v>1851</v>
      </c>
      <c r="E620" t="s">
        <v>37</v>
      </c>
      <c r="F620" s="1">
        <v>45342</v>
      </c>
      <c r="G620">
        <v>2</v>
      </c>
      <c r="H620" t="s">
        <v>71</v>
      </c>
      <c r="I620" t="s">
        <v>47</v>
      </c>
      <c r="J620">
        <v>0.3</v>
      </c>
      <c r="K620">
        <v>168.29999999999998</v>
      </c>
      <c r="L620">
        <v>561</v>
      </c>
      <c r="M620">
        <v>392.70000000000005</v>
      </c>
      <c r="N620" t="s">
        <v>114</v>
      </c>
    </row>
    <row r="621" spans="1:14" x14ac:dyDescent="0.2">
      <c r="A621">
        <v>3620</v>
      </c>
      <c r="B621" t="s">
        <v>652</v>
      </c>
      <c r="C621" t="s">
        <v>908</v>
      </c>
      <c r="D621">
        <v>1852</v>
      </c>
      <c r="E621" t="s">
        <v>51</v>
      </c>
      <c r="F621" s="1">
        <v>45403</v>
      </c>
      <c r="G621">
        <v>2</v>
      </c>
      <c r="H621" t="s">
        <v>32</v>
      </c>
      <c r="I621" t="s">
        <v>33</v>
      </c>
      <c r="J621">
        <v>0.2</v>
      </c>
      <c r="K621">
        <v>9.8000000000000007</v>
      </c>
      <c r="L621">
        <v>49</v>
      </c>
      <c r="M621">
        <v>39.200000000000003</v>
      </c>
      <c r="N621" t="s">
        <v>54</v>
      </c>
    </row>
    <row r="622" spans="1:14" x14ac:dyDescent="0.2">
      <c r="A622">
        <v>3621</v>
      </c>
      <c r="B622" t="s">
        <v>776</v>
      </c>
      <c r="C622" t="s">
        <v>170</v>
      </c>
      <c r="D622">
        <v>1853</v>
      </c>
      <c r="E622" t="s">
        <v>51</v>
      </c>
      <c r="F622" s="1">
        <v>45321</v>
      </c>
      <c r="G622">
        <v>1</v>
      </c>
      <c r="H622" t="s">
        <v>32</v>
      </c>
      <c r="I622" t="s">
        <v>39</v>
      </c>
      <c r="J622">
        <v>0.2</v>
      </c>
      <c r="K622">
        <v>102.60000000000001</v>
      </c>
      <c r="L622">
        <v>513</v>
      </c>
      <c r="M622">
        <v>410.4</v>
      </c>
      <c r="N622" t="s">
        <v>114</v>
      </c>
    </row>
    <row r="623" spans="1:14" x14ac:dyDescent="0.2">
      <c r="A623">
        <v>3622</v>
      </c>
      <c r="B623" t="s">
        <v>426</v>
      </c>
      <c r="C623" t="s">
        <v>909</v>
      </c>
      <c r="D623">
        <v>1854</v>
      </c>
      <c r="E623" t="s">
        <v>51</v>
      </c>
      <c r="F623" s="1">
        <v>45423</v>
      </c>
      <c r="G623">
        <v>2</v>
      </c>
      <c r="H623" t="s">
        <v>32</v>
      </c>
      <c r="I623" t="s">
        <v>39</v>
      </c>
      <c r="J623">
        <v>0.2</v>
      </c>
      <c r="K623">
        <v>212.4</v>
      </c>
      <c r="L623">
        <v>1062</v>
      </c>
      <c r="M623">
        <v>849.6</v>
      </c>
      <c r="N623" t="s">
        <v>114</v>
      </c>
    </row>
    <row r="624" spans="1:14" x14ac:dyDescent="0.2">
      <c r="A624">
        <v>3623</v>
      </c>
      <c r="B624" t="s">
        <v>910</v>
      </c>
      <c r="C624" t="s">
        <v>911</v>
      </c>
      <c r="D624">
        <v>1855</v>
      </c>
      <c r="E624" t="s">
        <v>37</v>
      </c>
      <c r="F624" s="1">
        <v>45604</v>
      </c>
      <c r="G624">
        <v>2</v>
      </c>
      <c r="H624" t="s">
        <v>38</v>
      </c>
      <c r="I624" t="s">
        <v>57</v>
      </c>
      <c r="J624">
        <v>0.3</v>
      </c>
      <c r="K624">
        <v>46.5</v>
      </c>
      <c r="L624">
        <v>155</v>
      </c>
      <c r="M624">
        <v>108.5</v>
      </c>
      <c r="N624" t="s">
        <v>48</v>
      </c>
    </row>
    <row r="625" spans="1:14" x14ac:dyDescent="0.2">
      <c r="A625">
        <v>3624</v>
      </c>
      <c r="B625" t="s">
        <v>912</v>
      </c>
      <c r="C625" t="s">
        <v>913</v>
      </c>
      <c r="D625">
        <v>1856</v>
      </c>
      <c r="E625" t="s">
        <v>37</v>
      </c>
      <c r="F625" s="1">
        <v>45326</v>
      </c>
      <c r="G625">
        <v>2</v>
      </c>
      <c r="H625" t="s">
        <v>71</v>
      </c>
      <c r="I625" t="s">
        <v>33</v>
      </c>
      <c r="J625">
        <v>0.3</v>
      </c>
      <c r="K625">
        <v>324.3</v>
      </c>
      <c r="L625">
        <v>1081</v>
      </c>
      <c r="M625">
        <v>756.7</v>
      </c>
      <c r="N625" t="s">
        <v>114</v>
      </c>
    </row>
    <row r="626" spans="1:14" x14ac:dyDescent="0.2">
      <c r="A626">
        <v>3625</v>
      </c>
      <c r="B626" t="s">
        <v>914</v>
      </c>
      <c r="C626" t="s">
        <v>703</v>
      </c>
      <c r="D626">
        <v>1857</v>
      </c>
      <c r="E626" t="s">
        <v>37</v>
      </c>
      <c r="F626" s="1">
        <v>45334</v>
      </c>
      <c r="G626">
        <v>3</v>
      </c>
      <c r="H626" t="s">
        <v>32</v>
      </c>
      <c r="I626" t="s">
        <v>57</v>
      </c>
      <c r="J626">
        <v>0.3</v>
      </c>
      <c r="K626">
        <v>105.89999999999999</v>
      </c>
      <c r="L626">
        <v>353</v>
      </c>
      <c r="M626">
        <v>247.10000000000002</v>
      </c>
      <c r="N626" t="s">
        <v>54</v>
      </c>
    </row>
    <row r="627" spans="1:14" x14ac:dyDescent="0.2">
      <c r="A627">
        <v>3626</v>
      </c>
      <c r="B627" t="s">
        <v>915</v>
      </c>
      <c r="C627" t="s">
        <v>916</v>
      </c>
      <c r="D627">
        <v>1858</v>
      </c>
      <c r="E627" t="s">
        <v>76</v>
      </c>
      <c r="F627" s="1">
        <v>45642</v>
      </c>
      <c r="G627">
        <v>2</v>
      </c>
      <c r="H627" t="s">
        <v>32</v>
      </c>
      <c r="I627" t="s">
        <v>81</v>
      </c>
      <c r="J627">
        <v>0.25</v>
      </c>
      <c r="K627">
        <v>220.5</v>
      </c>
      <c r="L627">
        <v>882</v>
      </c>
      <c r="M627">
        <v>661.5</v>
      </c>
      <c r="N627" t="s">
        <v>114</v>
      </c>
    </row>
    <row r="628" spans="1:14" x14ac:dyDescent="0.2">
      <c r="A628">
        <v>3627</v>
      </c>
      <c r="B628" t="s">
        <v>917</v>
      </c>
      <c r="C628" t="s">
        <v>918</v>
      </c>
      <c r="D628">
        <v>1859</v>
      </c>
      <c r="E628" t="s">
        <v>92</v>
      </c>
      <c r="F628" s="1">
        <v>45350</v>
      </c>
      <c r="G628">
        <v>1</v>
      </c>
      <c r="H628" t="s">
        <v>52</v>
      </c>
      <c r="I628" t="s">
        <v>47</v>
      </c>
      <c r="J628">
        <v>0.3</v>
      </c>
      <c r="K628">
        <v>351.3</v>
      </c>
      <c r="L628">
        <v>1171</v>
      </c>
      <c r="M628">
        <v>819.7</v>
      </c>
      <c r="N628" t="s">
        <v>114</v>
      </c>
    </row>
    <row r="629" spans="1:14" x14ac:dyDescent="0.2">
      <c r="A629">
        <v>3628</v>
      </c>
      <c r="B629" t="s">
        <v>902</v>
      </c>
      <c r="C629" t="s">
        <v>863</v>
      </c>
      <c r="D629">
        <v>1860</v>
      </c>
      <c r="E629" t="s">
        <v>31</v>
      </c>
      <c r="F629" s="1">
        <v>45358</v>
      </c>
      <c r="G629">
        <v>2</v>
      </c>
      <c r="H629" t="s">
        <v>52</v>
      </c>
      <c r="I629" t="s">
        <v>33</v>
      </c>
      <c r="J629">
        <v>0.1</v>
      </c>
      <c r="K629">
        <v>153.20000000000002</v>
      </c>
      <c r="L629">
        <v>1532</v>
      </c>
      <c r="M629">
        <v>1378.8</v>
      </c>
      <c r="N629" t="s">
        <v>48</v>
      </c>
    </row>
    <row r="630" spans="1:14" x14ac:dyDescent="0.2">
      <c r="A630">
        <v>3629</v>
      </c>
      <c r="B630" t="s">
        <v>919</v>
      </c>
      <c r="C630" t="s">
        <v>920</v>
      </c>
      <c r="D630">
        <v>1861</v>
      </c>
      <c r="E630" t="s">
        <v>37</v>
      </c>
      <c r="F630" s="1">
        <v>45398</v>
      </c>
      <c r="G630">
        <v>3</v>
      </c>
      <c r="H630" t="s">
        <v>32</v>
      </c>
      <c r="I630" t="s">
        <v>53</v>
      </c>
      <c r="J630">
        <v>0.3</v>
      </c>
      <c r="K630">
        <v>205.79999999999998</v>
      </c>
      <c r="L630">
        <v>686</v>
      </c>
      <c r="M630">
        <v>480.20000000000005</v>
      </c>
      <c r="N630" t="s">
        <v>54</v>
      </c>
    </row>
    <row r="631" spans="1:14" x14ac:dyDescent="0.2">
      <c r="A631">
        <v>3630</v>
      </c>
      <c r="B631" t="s">
        <v>921</v>
      </c>
      <c r="C631" t="s">
        <v>845</v>
      </c>
      <c r="D631">
        <v>1862</v>
      </c>
      <c r="E631" t="s">
        <v>76</v>
      </c>
      <c r="F631" s="1">
        <v>45306</v>
      </c>
      <c r="G631">
        <v>1</v>
      </c>
      <c r="H631" t="s">
        <v>32</v>
      </c>
      <c r="I631" t="s">
        <v>43</v>
      </c>
      <c r="J631">
        <v>0.25</v>
      </c>
      <c r="K631">
        <v>279</v>
      </c>
      <c r="L631">
        <v>1116</v>
      </c>
      <c r="M631">
        <v>837</v>
      </c>
      <c r="N631" t="s">
        <v>54</v>
      </c>
    </row>
    <row r="632" spans="1:14" x14ac:dyDescent="0.2">
      <c r="A632">
        <v>3631</v>
      </c>
      <c r="B632" t="s">
        <v>922</v>
      </c>
      <c r="C632" t="s">
        <v>923</v>
      </c>
      <c r="D632">
        <v>1863</v>
      </c>
      <c r="E632" t="s">
        <v>37</v>
      </c>
      <c r="F632" s="1">
        <v>45449</v>
      </c>
      <c r="G632">
        <v>2</v>
      </c>
      <c r="H632" t="s">
        <v>52</v>
      </c>
      <c r="I632" t="s">
        <v>43</v>
      </c>
      <c r="J632">
        <v>0.3</v>
      </c>
      <c r="K632">
        <v>356.09999999999997</v>
      </c>
      <c r="L632">
        <v>1187</v>
      </c>
      <c r="M632">
        <v>830.90000000000009</v>
      </c>
      <c r="N632" t="s">
        <v>54</v>
      </c>
    </row>
    <row r="633" spans="1:14" x14ac:dyDescent="0.2">
      <c r="A633">
        <v>3632</v>
      </c>
      <c r="B633" t="s">
        <v>924</v>
      </c>
      <c r="C633" t="s">
        <v>472</v>
      </c>
      <c r="D633">
        <v>1864</v>
      </c>
      <c r="E633" t="s">
        <v>37</v>
      </c>
      <c r="F633" s="1">
        <v>45411</v>
      </c>
      <c r="G633">
        <v>1</v>
      </c>
      <c r="H633" t="s">
        <v>32</v>
      </c>
      <c r="I633" t="s">
        <v>43</v>
      </c>
      <c r="J633">
        <v>0.3</v>
      </c>
      <c r="K633">
        <v>200.7</v>
      </c>
      <c r="L633">
        <v>669</v>
      </c>
      <c r="M633">
        <v>468.3</v>
      </c>
      <c r="N633" t="s">
        <v>114</v>
      </c>
    </row>
    <row r="634" spans="1:14" x14ac:dyDescent="0.2">
      <c r="A634">
        <v>3633</v>
      </c>
      <c r="B634" t="s">
        <v>925</v>
      </c>
      <c r="C634" t="s">
        <v>507</v>
      </c>
      <c r="D634">
        <v>1865</v>
      </c>
      <c r="E634" t="s">
        <v>37</v>
      </c>
      <c r="F634" s="1">
        <v>45491</v>
      </c>
      <c r="G634">
        <v>1</v>
      </c>
      <c r="H634" t="s">
        <v>71</v>
      </c>
      <c r="I634" t="s">
        <v>57</v>
      </c>
      <c r="J634">
        <v>0.3</v>
      </c>
      <c r="K634">
        <v>324.59999999999997</v>
      </c>
      <c r="L634">
        <v>1082</v>
      </c>
      <c r="M634">
        <v>757.40000000000009</v>
      </c>
      <c r="N634" t="s">
        <v>48</v>
      </c>
    </row>
    <row r="635" spans="1:14" x14ac:dyDescent="0.2">
      <c r="A635">
        <v>3634</v>
      </c>
      <c r="B635" t="s">
        <v>926</v>
      </c>
      <c r="C635" t="s">
        <v>274</v>
      </c>
      <c r="D635">
        <v>1866</v>
      </c>
      <c r="E635" t="s">
        <v>92</v>
      </c>
      <c r="F635" s="1">
        <v>45363</v>
      </c>
      <c r="G635">
        <v>2</v>
      </c>
      <c r="H635" t="s">
        <v>52</v>
      </c>
      <c r="I635" t="s">
        <v>39</v>
      </c>
      <c r="J635">
        <v>0.3</v>
      </c>
      <c r="K635">
        <v>273.3</v>
      </c>
      <c r="L635">
        <v>911</v>
      </c>
      <c r="M635">
        <v>637.70000000000005</v>
      </c>
      <c r="N635" t="s">
        <v>54</v>
      </c>
    </row>
    <row r="636" spans="1:14" x14ac:dyDescent="0.2">
      <c r="A636">
        <v>3635</v>
      </c>
      <c r="B636" t="s">
        <v>740</v>
      </c>
      <c r="C636" t="s">
        <v>624</v>
      </c>
      <c r="D636">
        <v>1867</v>
      </c>
      <c r="E636" t="s">
        <v>31</v>
      </c>
      <c r="F636" s="1">
        <v>45340</v>
      </c>
      <c r="G636">
        <v>3</v>
      </c>
      <c r="H636" t="s">
        <v>38</v>
      </c>
      <c r="I636" t="s">
        <v>57</v>
      </c>
      <c r="J636">
        <v>0.1</v>
      </c>
      <c r="K636">
        <v>128.30000000000001</v>
      </c>
      <c r="L636">
        <v>1283</v>
      </c>
      <c r="M636">
        <v>1154.7</v>
      </c>
      <c r="N636" t="s">
        <v>34</v>
      </c>
    </row>
    <row r="637" spans="1:14" x14ac:dyDescent="0.2">
      <c r="A637">
        <v>3636</v>
      </c>
      <c r="B637" t="s">
        <v>927</v>
      </c>
      <c r="C637" t="s">
        <v>928</v>
      </c>
      <c r="D637">
        <v>1868</v>
      </c>
      <c r="E637" t="s">
        <v>51</v>
      </c>
      <c r="F637" s="1">
        <v>45498</v>
      </c>
      <c r="G637">
        <v>3</v>
      </c>
      <c r="H637" t="s">
        <v>71</v>
      </c>
      <c r="I637" t="s">
        <v>81</v>
      </c>
      <c r="J637">
        <v>0.2</v>
      </c>
      <c r="K637">
        <v>107</v>
      </c>
      <c r="L637">
        <v>535</v>
      </c>
      <c r="M637">
        <v>428</v>
      </c>
      <c r="N637" t="s">
        <v>34</v>
      </c>
    </row>
    <row r="638" spans="1:14" x14ac:dyDescent="0.2">
      <c r="A638">
        <v>3637</v>
      </c>
      <c r="B638" t="s">
        <v>929</v>
      </c>
      <c r="C638" t="s">
        <v>100</v>
      </c>
      <c r="D638">
        <v>1869</v>
      </c>
      <c r="E638" t="s">
        <v>42</v>
      </c>
      <c r="F638" s="1">
        <v>45341</v>
      </c>
      <c r="G638">
        <v>2</v>
      </c>
      <c r="H638" t="s">
        <v>38</v>
      </c>
      <c r="I638" t="s">
        <v>43</v>
      </c>
      <c r="J638">
        <v>0.25</v>
      </c>
      <c r="K638">
        <v>108.25</v>
      </c>
      <c r="L638">
        <v>433</v>
      </c>
      <c r="M638">
        <v>324.75</v>
      </c>
      <c r="N638" t="s">
        <v>44</v>
      </c>
    </row>
    <row r="639" spans="1:14" x14ac:dyDescent="0.2">
      <c r="A639">
        <v>3638</v>
      </c>
      <c r="B639" t="s">
        <v>930</v>
      </c>
      <c r="C639" t="s">
        <v>931</v>
      </c>
      <c r="D639">
        <v>1870</v>
      </c>
      <c r="E639" t="s">
        <v>42</v>
      </c>
      <c r="F639" s="1">
        <v>45556</v>
      </c>
      <c r="G639">
        <v>1</v>
      </c>
      <c r="H639" t="s">
        <v>32</v>
      </c>
      <c r="I639" t="s">
        <v>33</v>
      </c>
      <c r="J639">
        <v>0.25</v>
      </c>
      <c r="K639">
        <v>384.75</v>
      </c>
      <c r="L639">
        <v>1539</v>
      </c>
      <c r="M639">
        <v>1154.25</v>
      </c>
      <c r="N639" t="s">
        <v>114</v>
      </c>
    </row>
    <row r="640" spans="1:14" x14ac:dyDescent="0.2">
      <c r="A640">
        <v>3639</v>
      </c>
      <c r="B640" t="s">
        <v>171</v>
      </c>
      <c r="C640" t="s">
        <v>932</v>
      </c>
      <c r="D640">
        <v>1871</v>
      </c>
      <c r="E640" t="s">
        <v>51</v>
      </c>
      <c r="F640" s="1">
        <v>45437</v>
      </c>
      <c r="G640">
        <v>2</v>
      </c>
      <c r="H640" t="s">
        <v>52</v>
      </c>
      <c r="I640" t="s">
        <v>47</v>
      </c>
      <c r="J640">
        <v>0.2</v>
      </c>
      <c r="K640">
        <v>46.800000000000004</v>
      </c>
      <c r="L640">
        <v>234</v>
      </c>
      <c r="M640">
        <v>187.2</v>
      </c>
      <c r="N640" t="s">
        <v>54</v>
      </c>
    </row>
    <row r="641" spans="1:14" x14ac:dyDescent="0.2">
      <c r="A641">
        <v>3640</v>
      </c>
      <c r="B641" t="s">
        <v>933</v>
      </c>
      <c r="C641" t="s">
        <v>934</v>
      </c>
      <c r="D641">
        <v>1872</v>
      </c>
      <c r="E641" t="s">
        <v>42</v>
      </c>
      <c r="F641" s="1">
        <v>45551</v>
      </c>
      <c r="G641">
        <v>2</v>
      </c>
      <c r="H641" t="s">
        <v>52</v>
      </c>
      <c r="I641" t="s">
        <v>47</v>
      </c>
      <c r="J641">
        <v>0.25</v>
      </c>
      <c r="K641">
        <v>258.5</v>
      </c>
      <c r="L641">
        <v>1034</v>
      </c>
      <c r="M641">
        <v>775.5</v>
      </c>
      <c r="N641" t="s">
        <v>54</v>
      </c>
    </row>
    <row r="642" spans="1:14" x14ac:dyDescent="0.2">
      <c r="A642">
        <v>3641</v>
      </c>
      <c r="B642" t="s">
        <v>241</v>
      </c>
      <c r="C642" t="s">
        <v>221</v>
      </c>
      <c r="D642">
        <v>1873</v>
      </c>
      <c r="E642" t="s">
        <v>51</v>
      </c>
      <c r="F642" s="1">
        <v>45556</v>
      </c>
      <c r="G642">
        <v>1</v>
      </c>
      <c r="H642" t="s">
        <v>38</v>
      </c>
      <c r="I642" t="s">
        <v>47</v>
      </c>
      <c r="J642">
        <v>0.2</v>
      </c>
      <c r="K642">
        <v>211.4</v>
      </c>
      <c r="L642">
        <v>1057</v>
      </c>
      <c r="M642">
        <v>845.6</v>
      </c>
      <c r="N642" t="s">
        <v>48</v>
      </c>
    </row>
    <row r="643" spans="1:14" x14ac:dyDescent="0.2">
      <c r="A643">
        <v>3642</v>
      </c>
      <c r="B643" t="s">
        <v>362</v>
      </c>
      <c r="C643" t="s">
        <v>475</v>
      </c>
      <c r="D643">
        <v>1874</v>
      </c>
      <c r="E643" t="s">
        <v>76</v>
      </c>
      <c r="F643" s="1">
        <v>45486</v>
      </c>
      <c r="G643">
        <v>1</v>
      </c>
      <c r="H643" t="s">
        <v>32</v>
      </c>
      <c r="I643" t="s">
        <v>47</v>
      </c>
      <c r="J643">
        <v>0.25</v>
      </c>
      <c r="K643">
        <v>358.75</v>
      </c>
      <c r="L643">
        <v>1435</v>
      </c>
      <c r="M643">
        <v>1076.25</v>
      </c>
      <c r="N643" t="s">
        <v>44</v>
      </c>
    </row>
    <row r="644" spans="1:14" x14ac:dyDescent="0.2">
      <c r="A644">
        <v>3643</v>
      </c>
      <c r="B644" t="s">
        <v>935</v>
      </c>
      <c r="C644" t="s">
        <v>416</v>
      </c>
      <c r="D644">
        <v>1875</v>
      </c>
      <c r="E644" t="s">
        <v>76</v>
      </c>
      <c r="F644" s="1">
        <v>45528</v>
      </c>
      <c r="G644">
        <v>3</v>
      </c>
      <c r="H644" t="s">
        <v>32</v>
      </c>
      <c r="I644" t="s">
        <v>64</v>
      </c>
      <c r="J644">
        <v>0.25</v>
      </c>
      <c r="K644">
        <v>74.25</v>
      </c>
      <c r="L644">
        <v>297</v>
      </c>
      <c r="M644">
        <v>222.75</v>
      </c>
      <c r="N644" t="s">
        <v>44</v>
      </c>
    </row>
    <row r="645" spans="1:14" x14ac:dyDescent="0.2">
      <c r="A645">
        <v>3644</v>
      </c>
      <c r="B645" t="s">
        <v>485</v>
      </c>
      <c r="C645" t="s">
        <v>372</v>
      </c>
      <c r="D645">
        <v>1876</v>
      </c>
      <c r="E645" t="s">
        <v>51</v>
      </c>
      <c r="F645" s="1">
        <v>45298</v>
      </c>
      <c r="G645">
        <v>1</v>
      </c>
      <c r="H645" t="s">
        <v>52</v>
      </c>
      <c r="I645" t="s">
        <v>81</v>
      </c>
      <c r="J645">
        <v>0.2</v>
      </c>
      <c r="K645">
        <v>216.60000000000002</v>
      </c>
      <c r="L645">
        <v>1083</v>
      </c>
      <c r="M645">
        <v>866.4</v>
      </c>
      <c r="N645" t="s">
        <v>48</v>
      </c>
    </row>
    <row r="646" spans="1:14" x14ac:dyDescent="0.2">
      <c r="A646">
        <v>3645</v>
      </c>
      <c r="B646" t="s">
        <v>936</v>
      </c>
      <c r="C646" t="s">
        <v>937</v>
      </c>
      <c r="D646">
        <v>1877</v>
      </c>
      <c r="E646" t="s">
        <v>37</v>
      </c>
      <c r="F646" s="1">
        <v>45402</v>
      </c>
      <c r="G646">
        <v>2</v>
      </c>
      <c r="H646" t="s">
        <v>32</v>
      </c>
      <c r="I646" t="s">
        <v>47</v>
      </c>
      <c r="J646">
        <v>0.3</v>
      </c>
      <c r="K646">
        <v>455.4</v>
      </c>
      <c r="L646">
        <v>1518</v>
      </c>
      <c r="M646">
        <v>1062.5999999999999</v>
      </c>
      <c r="N646" t="s">
        <v>48</v>
      </c>
    </row>
    <row r="647" spans="1:14" x14ac:dyDescent="0.2">
      <c r="A647">
        <v>3646</v>
      </c>
      <c r="B647" t="s">
        <v>404</v>
      </c>
      <c r="C647" t="s">
        <v>938</v>
      </c>
      <c r="D647">
        <v>1878</v>
      </c>
      <c r="E647" t="s">
        <v>76</v>
      </c>
      <c r="F647" s="1">
        <v>45474</v>
      </c>
      <c r="G647">
        <v>3</v>
      </c>
      <c r="H647" t="s">
        <v>32</v>
      </c>
      <c r="I647" t="s">
        <v>43</v>
      </c>
      <c r="J647">
        <v>0.25</v>
      </c>
      <c r="K647">
        <v>117.75</v>
      </c>
      <c r="L647">
        <v>471</v>
      </c>
      <c r="M647">
        <v>353.25</v>
      </c>
      <c r="N647" t="s">
        <v>54</v>
      </c>
    </row>
    <row r="648" spans="1:14" x14ac:dyDescent="0.2">
      <c r="A648">
        <v>3647</v>
      </c>
      <c r="B648" t="s">
        <v>744</v>
      </c>
      <c r="C648" t="s">
        <v>939</v>
      </c>
      <c r="D648">
        <v>1879</v>
      </c>
      <c r="E648" t="s">
        <v>37</v>
      </c>
      <c r="F648" s="1">
        <v>45617</v>
      </c>
      <c r="G648">
        <v>3</v>
      </c>
      <c r="H648" t="s">
        <v>38</v>
      </c>
      <c r="I648" t="s">
        <v>81</v>
      </c>
      <c r="J648">
        <v>0.3</v>
      </c>
      <c r="K648">
        <v>266.39999999999998</v>
      </c>
      <c r="L648">
        <v>888</v>
      </c>
      <c r="M648">
        <v>621.6</v>
      </c>
      <c r="N648" t="s">
        <v>54</v>
      </c>
    </row>
    <row r="649" spans="1:14" x14ac:dyDescent="0.2">
      <c r="A649">
        <v>3648</v>
      </c>
      <c r="B649" t="s">
        <v>940</v>
      </c>
      <c r="C649" t="s">
        <v>725</v>
      </c>
      <c r="D649">
        <v>1880</v>
      </c>
      <c r="E649" t="s">
        <v>37</v>
      </c>
      <c r="F649" s="1">
        <v>45483</v>
      </c>
      <c r="G649">
        <v>3</v>
      </c>
      <c r="H649" t="s">
        <v>52</v>
      </c>
      <c r="I649" t="s">
        <v>33</v>
      </c>
      <c r="J649">
        <v>0.3</v>
      </c>
      <c r="K649">
        <v>203.1</v>
      </c>
      <c r="L649">
        <v>677</v>
      </c>
      <c r="M649">
        <v>473.9</v>
      </c>
      <c r="N649" t="s">
        <v>48</v>
      </c>
    </row>
    <row r="650" spans="1:14" x14ac:dyDescent="0.2">
      <c r="A650">
        <v>3649</v>
      </c>
      <c r="B650" t="s">
        <v>315</v>
      </c>
      <c r="C650" t="s">
        <v>592</v>
      </c>
      <c r="D650">
        <v>1881</v>
      </c>
      <c r="E650" t="s">
        <v>76</v>
      </c>
      <c r="F650" s="1">
        <v>45528</v>
      </c>
      <c r="G650">
        <v>2</v>
      </c>
      <c r="H650" t="s">
        <v>32</v>
      </c>
      <c r="I650" t="s">
        <v>81</v>
      </c>
      <c r="J650">
        <v>0.25</v>
      </c>
      <c r="K650">
        <v>172.25</v>
      </c>
      <c r="L650">
        <v>689</v>
      </c>
      <c r="M650">
        <v>516.75</v>
      </c>
      <c r="N650" t="s">
        <v>44</v>
      </c>
    </row>
    <row r="651" spans="1:14" x14ac:dyDescent="0.2">
      <c r="A651">
        <v>3650</v>
      </c>
      <c r="B651" t="s">
        <v>941</v>
      </c>
      <c r="C651" t="s">
        <v>942</v>
      </c>
      <c r="D651">
        <v>1882</v>
      </c>
      <c r="E651" t="s">
        <v>51</v>
      </c>
      <c r="F651" s="1">
        <v>45323</v>
      </c>
      <c r="G651">
        <v>2</v>
      </c>
      <c r="H651" t="s">
        <v>52</v>
      </c>
      <c r="I651" t="s">
        <v>33</v>
      </c>
      <c r="J651">
        <v>0.2</v>
      </c>
      <c r="K651">
        <v>73</v>
      </c>
      <c r="L651">
        <v>365</v>
      </c>
      <c r="M651">
        <v>292</v>
      </c>
      <c r="N651" t="s">
        <v>114</v>
      </c>
    </row>
    <row r="652" spans="1:14" x14ac:dyDescent="0.2">
      <c r="A652">
        <v>3651</v>
      </c>
      <c r="B652" t="s">
        <v>667</v>
      </c>
      <c r="C652" t="s">
        <v>943</v>
      </c>
      <c r="D652">
        <v>1883</v>
      </c>
      <c r="E652" t="s">
        <v>42</v>
      </c>
      <c r="F652" s="1">
        <v>45620</v>
      </c>
      <c r="G652">
        <v>1</v>
      </c>
      <c r="H652" t="s">
        <v>71</v>
      </c>
      <c r="I652" t="s">
        <v>33</v>
      </c>
      <c r="J652">
        <v>0.25</v>
      </c>
      <c r="K652">
        <v>234.75</v>
      </c>
      <c r="L652">
        <v>939</v>
      </c>
      <c r="M652">
        <v>704.25</v>
      </c>
      <c r="N652" t="s">
        <v>114</v>
      </c>
    </row>
    <row r="653" spans="1:14" x14ac:dyDescent="0.2">
      <c r="A653">
        <v>3652</v>
      </c>
      <c r="B653" t="s">
        <v>325</v>
      </c>
      <c r="C653" t="s">
        <v>879</v>
      </c>
      <c r="D653">
        <v>1884</v>
      </c>
      <c r="E653" t="s">
        <v>37</v>
      </c>
      <c r="F653" s="1">
        <v>45470</v>
      </c>
      <c r="G653">
        <v>3</v>
      </c>
      <c r="H653" t="s">
        <v>52</v>
      </c>
      <c r="I653" t="s">
        <v>47</v>
      </c>
      <c r="J653">
        <v>0.3</v>
      </c>
      <c r="K653">
        <v>445.5</v>
      </c>
      <c r="L653">
        <v>1485</v>
      </c>
      <c r="M653">
        <v>1039.5</v>
      </c>
      <c r="N653" t="s">
        <v>54</v>
      </c>
    </row>
    <row r="654" spans="1:14" x14ac:dyDescent="0.2">
      <c r="A654">
        <v>3653</v>
      </c>
      <c r="B654" t="s">
        <v>310</v>
      </c>
      <c r="C654" t="s">
        <v>944</v>
      </c>
      <c r="D654">
        <v>1885</v>
      </c>
      <c r="E654" t="s">
        <v>51</v>
      </c>
      <c r="F654" s="1">
        <v>45418</v>
      </c>
      <c r="G654">
        <v>1</v>
      </c>
      <c r="H654" t="s">
        <v>52</v>
      </c>
      <c r="I654" t="s">
        <v>57</v>
      </c>
      <c r="J654">
        <v>0.2</v>
      </c>
      <c r="K654">
        <v>197</v>
      </c>
      <c r="L654">
        <v>985</v>
      </c>
      <c r="M654">
        <v>788</v>
      </c>
      <c r="N654" t="s">
        <v>54</v>
      </c>
    </row>
    <row r="655" spans="1:14" x14ac:dyDescent="0.2">
      <c r="A655">
        <v>3654</v>
      </c>
      <c r="B655" t="s">
        <v>892</v>
      </c>
      <c r="C655" t="s">
        <v>945</v>
      </c>
      <c r="D655">
        <v>1886</v>
      </c>
      <c r="E655" t="s">
        <v>37</v>
      </c>
      <c r="F655" s="1">
        <v>45503</v>
      </c>
      <c r="G655">
        <v>3</v>
      </c>
      <c r="H655" t="s">
        <v>32</v>
      </c>
      <c r="I655" t="s">
        <v>81</v>
      </c>
      <c r="J655">
        <v>0.3</v>
      </c>
      <c r="K655">
        <v>109.2</v>
      </c>
      <c r="L655">
        <v>364</v>
      </c>
      <c r="M655">
        <v>254.8</v>
      </c>
      <c r="N655" t="s">
        <v>48</v>
      </c>
    </row>
    <row r="656" spans="1:14" x14ac:dyDescent="0.2">
      <c r="A656">
        <v>3655</v>
      </c>
      <c r="B656" t="s">
        <v>946</v>
      </c>
      <c r="C656" t="s">
        <v>947</v>
      </c>
      <c r="D656">
        <v>1887</v>
      </c>
      <c r="E656" t="s">
        <v>37</v>
      </c>
      <c r="F656" s="1">
        <v>45307</v>
      </c>
      <c r="G656">
        <v>1</v>
      </c>
      <c r="H656" t="s">
        <v>32</v>
      </c>
      <c r="I656" t="s">
        <v>64</v>
      </c>
      <c r="J656">
        <v>0.3</v>
      </c>
      <c r="K656">
        <v>233.7</v>
      </c>
      <c r="L656">
        <v>779</v>
      </c>
      <c r="M656">
        <v>545.29999999999995</v>
      </c>
      <c r="N656" t="s">
        <v>44</v>
      </c>
    </row>
    <row r="657" spans="1:14" x14ac:dyDescent="0.2">
      <c r="A657">
        <v>3656</v>
      </c>
      <c r="B657" t="s">
        <v>948</v>
      </c>
      <c r="C657" t="s">
        <v>255</v>
      </c>
      <c r="D657">
        <v>1888</v>
      </c>
      <c r="E657" t="s">
        <v>37</v>
      </c>
      <c r="F657" s="1">
        <v>45610</v>
      </c>
      <c r="G657">
        <v>1</v>
      </c>
      <c r="H657" t="s">
        <v>32</v>
      </c>
      <c r="I657" t="s">
        <v>33</v>
      </c>
      <c r="J657">
        <v>0.3</v>
      </c>
      <c r="K657">
        <v>231.6</v>
      </c>
      <c r="L657">
        <v>772</v>
      </c>
      <c r="M657">
        <v>540.4</v>
      </c>
      <c r="N657" t="s">
        <v>44</v>
      </c>
    </row>
    <row r="658" spans="1:14" x14ac:dyDescent="0.2">
      <c r="A658">
        <v>3657</v>
      </c>
      <c r="B658" t="s">
        <v>949</v>
      </c>
      <c r="C658" t="s">
        <v>950</v>
      </c>
      <c r="D658">
        <v>1889</v>
      </c>
      <c r="E658" t="s">
        <v>92</v>
      </c>
      <c r="F658" s="1">
        <v>45439</v>
      </c>
      <c r="G658">
        <v>1</v>
      </c>
      <c r="H658" t="s">
        <v>71</v>
      </c>
      <c r="I658" t="s">
        <v>39</v>
      </c>
      <c r="J658">
        <v>0.3</v>
      </c>
      <c r="K658">
        <v>304.5</v>
      </c>
      <c r="L658">
        <v>1015</v>
      </c>
      <c r="M658">
        <v>710.5</v>
      </c>
      <c r="N658" t="s">
        <v>44</v>
      </c>
    </row>
    <row r="659" spans="1:14" x14ac:dyDescent="0.2">
      <c r="A659">
        <v>3658</v>
      </c>
      <c r="B659" t="s">
        <v>79</v>
      </c>
      <c r="C659" t="s">
        <v>951</v>
      </c>
      <c r="D659">
        <v>1890</v>
      </c>
      <c r="E659" t="s">
        <v>76</v>
      </c>
      <c r="F659" s="1">
        <v>45584</v>
      </c>
      <c r="G659">
        <v>1</v>
      </c>
      <c r="H659" t="s">
        <v>52</v>
      </c>
      <c r="I659" t="s">
        <v>53</v>
      </c>
      <c r="J659">
        <v>0.25</v>
      </c>
      <c r="K659">
        <v>275.25</v>
      </c>
      <c r="L659">
        <v>1101</v>
      </c>
      <c r="M659">
        <v>825.75</v>
      </c>
      <c r="N659" t="s">
        <v>34</v>
      </c>
    </row>
    <row r="660" spans="1:14" x14ac:dyDescent="0.2">
      <c r="A660">
        <v>3659</v>
      </c>
      <c r="B660" t="s">
        <v>952</v>
      </c>
      <c r="C660" t="s">
        <v>727</v>
      </c>
      <c r="D660">
        <v>1891</v>
      </c>
      <c r="E660" t="s">
        <v>92</v>
      </c>
      <c r="F660" s="1">
        <v>45502</v>
      </c>
      <c r="G660">
        <v>1</v>
      </c>
      <c r="H660" t="s">
        <v>52</v>
      </c>
      <c r="I660" t="s">
        <v>64</v>
      </c>
      <c r="J660">
        <v>0.3</v>
      </c>
      <c r="K660">
        <v>351.9</v>
      </c>
      <c r="L660">
        <v>1173</v>
      </c>
      <c r="M660">
        <v>821.1</v>
      </c>
      <c r="N660" t="s">
        <v>48</v>
      </c>
    </row>
    <row r="661" spans="1:14" x14ac:dyDescent="0.2">
      <c r="A661">
        <v>3660</v>
      </c>
      <c r="B661" t="s">
        <v>953</v>
      </c>
      <c r="C661" t="s">
        <v>954</v>
      </c>
      <c r="D661">
        <v>1892</v>
      </c>
      <c r="E661" t="s">
        <v>92</v>
      </c>
      <c r="F661" s="1">
        <v>45534</v>
      </c>
      <c r="G661">
        <v>3</v>
      </c>
      <c r="H661" t="s">
        <v>52</v>
      </c>
      <c r="I661" t="s">
        <v>43</v>
      </c>
      <c r="J661">
        <v>0.3</v>
      </c>
      <c r="K661">
        <v>301.8</v>
      </c>
      <c r="L661">
        <v>1006</v>
      </c>
      <c r="M661">
        <v>704.2</v>
      </c>
      <c r="N661" t="s">
        <v>34</v>
      </c>
    </row>
    <row r="662" spans="1:14" x14ac:dyDescent="0.2">
      <c r="A662">
        <v>3661</v>
      </c>
      <c r="B662" t="s">
        <v>180</v>
      </c>
      <c r="C662" t="s">
        <v>494</v>
      </c>
      <c r="D662">
        <v>1893</v>
      </c>
      <c r="E662" t="s">
        <v>92</v>
      </c>
      <c r="F662" s="1">
        <v>45539</v>
      </c>
      <c r="G662">
        <v>1</v>
      </c>
      <c r="H662" t="s">
        <v>38</v>
      </c>
      <c r="I662" t="s">
        <v>53</v>
      </c>
      <c r="J662">
        <v>0.3</v>
      </c>
      <c r="K662">
        <v>42.3</v>
      </c>
      <c r="L662">
        <v>141</v>
      </c>
      <c r="M662">
        <v>98.7</v>
      </c>
      <c r="N662" t="s">
        <v>54</v>
      </c>
    </row>
    <row r="663" spans="1:14" x14ac:dyDescent="0.2">
      <c r="A663">
        <v>3662</v>
      </c>
      <c r="B663" t="s">
        <v>955</v>
      </c>
      <c r="C663" t="s">
        <v>151</v>
      </c>
      <c r="D663">
        <v>1894</v>
      </c>
      <c r="E663" t="s">
        <v>76</v>
      </c>
      <c r="F663" s="1">
        <v>45328</v>
      </c>
      <c r="G663">
        <v>2</v>
      </c>
      <c r="H663" t="s">
        <v>38</v>
      </c>
      <c r="I663" t="s">
        <v>64</v>
      </c>
      <c r="J663">
        <v>0.25</v>
      </c>
      <c r="K663">
        <v>86.75</v>
      </c>
      <c r="L663">
        <v>347</v>
      </c>
      <c r="M663">
        <v>260.25</v>
      </c>
      <c r="N663" t="s">
        <v>114</v>
      </c>
    </row>
    <row r="664" spans="1:14" x14ac:dyDescent="0.2">
      <c r="A664">
        <v>3663</v>
      </c>
      <c r="B664" t="s">
        <v>956</v>
      </c>
      <c r="C664" t="s">
        <v>957</v>
      </c>
      <c r="D664">
        <v>1895</v>
      </c>
      <c r="E664" t="s">
        <v>31</v>
      </c>
      <c r="F664" s="1">
        <v>45398</v>
      </c>
      <c r="G664">
        <v>1</v>
      </c>
      <c r="H664" t="s">
        <v>52</v>
      </c>
      <c r="I664" t="s">
        <v>64</v>
      </c>
      <c r="J664">
        <v>0.1</v>
      </c>
      <c r="K664">
        <v>27.6</v>
      </c>
      <c r="L664">
        <v>276</v>
      </c>
      <c r="M664">
        <v>248.4</v>
      </c>
      <c r="N664" t="s">
        <v>34</v>
      </c>
    </row>
    <row r="665" spans="1:14" x14ac:dyDescent="0.2">
      <c r="A665">
        <v>3664</v>
      </c>
      <c r="B665" t="s">
        <v>958</v>
      </c>
      <c r="C665" t="s">
        <v>959</v>
      </c>
      <c r="D665">
        <v>1896</v>
      </c>
      <c r="E665" t="s">
        <v>51</v>
      </c>
      <c r="F665" s="1">
        <v>45311</v>
      </c>
      <c r="G665">
        <v>3</v>
      </c>
      <c r="H665" t="s">
        <v>52</v>
      </c>
      <c r="I665" t="s">
        <v>47</v>
      </c>
      <c r="J665">
        <v>0.2</v>
      </c>
      <c r="K665">
        <v>359.20000000000005</v>
      </c>
      <c r="L665">
        <v>1796</v>
      </c>
      <c r="M665">
        <v>1436.8</v>
      </c>
      <c r="N665" t="s">
        <v>48</v>
      </c>
    </row>
    <row r="666" spans="1:14" x14ac:dyDescent="0.2">
      <c r="A666">
        <v>3665</v>
      </c>
      <c r="B666" t="s">
        <v>510</v>
      </c>
      <c r="C666" t="s">
        <v>845</v>
      </c>
      <c r="D666">
        <v>1897</v>
      </c>
      <c r="E666" t="s">
        <v>76</v>
      </c>
      <c r="F666" s="1">
        <v>45299</v>
      </c>
      <c r="G666">
        <v>3</v>
      </c>
      <c r="H666" t="s">
        <v>71</v>
      </c>
      <c r="I666" t="s">
        <v>33</v>
      </c>
      <c r="J666">
        <v>0.25</v>
      </c>
      <c r="K666">
        <v>181.5</v>
      </c>
      <c r="L666">
        <v>726</v>
      </c>
      <c r="M666">
        <v>544.5</v>
      </c>
      <c r="N666" t="s">
        <v>34</v>
      </c>
    </row>
    <row r="667" spans="1:14" x14ac:dyDescent="0.2">
      <c r="A667">
        <v>3666</v>
      </c>
      <c r="B667" t="s">
        <v>960</v>
      </c>
      <c r="C667" t="s">
        <v>961</v>
      </c>
      <c r="D667">
        <v>1898</v>
      </c>
      <c r="E667" t="s">
        <v>76</v>
      </c>
      <c r="F667" s="1">
        <v>45423</v>
      </c>
      <c r="G667">
        <v>1</v>
      </c>
      <c r="H667" t="s">
        <v>32</v>
      </c>
      <c r="I667" t="s">
        <v>53</v>
      </c>
      <c r="J667">
        <v>0.25</v>
      </c>
      <c r="K667">
        <v>261.75</v>
      </c>
      <c r="L667">
        <v>1047</v>
      </c>
      <c r="M667">
        <v>785.25</v>
      </c>
      <c r="N667" t="s">
        <v>48</v>
      </c>
    </row>
    <row r="668" spans="1:14" x14ac:dyDescent="0.2">
      <c r="A668">
        <v>3667</v>
      </c>
      <c r="B668" t="s">
        <v>951</v>
      </c>
      <c r="C668" t="s">
        <v>456</v>
      </c>
      <c r="D668">
        <v>1899</v>
      </c>
      <c r="E668" t="s">
        <v>31</v>
      </c>
      <c r="F668" s="1">
        <v>45378</v>
      </c>
      <c r="G668">
        <v>1</v>
      </c>
      <c r="H668" t="s">
        <v>32</v>
      </c>
      <c r="I668" t="s">
        <v>33</v>
      </c>
      <c r="J668">
        <v>0.1</v>
      </c>
      <c r="K668">
        <v>112.5</v>
      </c>
      <c r="L668">
        <v>1125</v>
      </c>
      <c r="M668">
        <v>1012.5</v>
      </c>
      <c r="N668" t="s">
        <v>54</v>
      </c>
    </row>
    <row r="669" spans="1:14" x14ac:dyDescent="0.2">
      <c r="A669">
        <v>3668</v>
      </c>
      <c r="B669" t="s">
        <v>302</v>
      </c>
      <c r="C669" t="s">
        <v>962</v>
      </c>
      <c r="D669">
        <v>1900</v>
      </c>
      <c r="E669" t="s">
        <v>37</v>
      </c>
      <c r="F669" s="1">
        <v>45611</v>
      </c>
      <c r="G669">
        <v>3</v>
      </c>
      <c r="H669" t="s">
        <v>32</v>
      </c>
      <c r="I669" t="s">
        <v>64</v>
      </c>
      <c r="J669">
        <v>0.3</v>
      </c>
      <c r="K669">
        <v>247.2</v>
      </c>
      <c r="L669">
        <v>824</v>
      </c>
      <c r="M669">
        <v>576.79999999999995</v>
      </c>
      <c r="N669" t="s">
        <v>44</v>
      </c>
    </row>
    <row r="670" spans="1:14" x14ac:dyDescent="0.2">
      <c r="A670">
        <v>3669</v>
      </c>
      <c r="B670" t="s">
        <v>851</v>
      </c>
      <c r="C670" t="s">
        <v>963</v>
      </c>
      <c r="D670">
        <v>1901</v>
      </c>
      <c r="E670" t="s">
        <v>51</v>
      </c>
      <c r="F670" s="1">
        <v>45452</v>
      </c>
      <c r="G670">
        <v>3</v>
      </c>
      <c r="H670" t="s">
        <v>52</v>
      </c>
      <c r="I670" t="s">
        <v>81</v>
      </c>
      <c r="J670">
        <v>0.2</v>
      </c>
      <c r="K670">
        <v>266.8</v>
      </c>
      <c r="L670">
        <v>1334</v>
      </c>
      <c r="M670">
        <v>1067.2</v>
      </c>
      <c r="N670" t="s">
        <v>114</v>
      </c>
    </row>
    <row r="671" spans="1:14" x14ac:dyDescent="0.2">
      <c r="A671">
        <v>3670</v>
      </c>
      <c r="B671" t="s">
        <v>193</v>
      </c>
      <c r="C671" t="s">
        <v>964</v>
      </c>
      <c r="D671">
        <v>1902</v>
      </c>
      <c r="E671" t="s">
        <v>51</v>
      </c>
      <c r="F671" s="1">
        <v>45614</v>
      </c>
      <c r="G671">
        <v>3</v>
      </c>
      <c r="H671" t="s">
        <v>52</v>
      </c>
      <c r="I671" t="s">
        <v>39</v>
      </c>
      <c r="J671">
        <v>0.2</v>
      </c>
      <c r="K671">
        <v>258.2</v>
      </c>
      <c r="L671">
        <v>1291</v>
      </c>
      <c r="M671">
        <v>1032.8</v>
      </c>
      <c r="N671" t="s">
        <v>34</v>
      </c>
    </row>
    <row r="672" spans="1:14" x14ac:dyDescent="0.2">
      <c r="A672">
        <v>3671</v>
      </c>
      <c r="B672" t="s">
        <v>112</v>
      </c>
      <c r="C672" t="s">
        <v>429</v>
      </c>
      <c r="D672">
        <v>1903</v>
      </c>
      <c r="E672" t="s">
        <v>31</v>
      </c>
      <c r="F672" s="1">
        <v>45451</v>
      </c>
      <c r="G672">
        <v>2</v>
      </c>
      <c r="H672" t="s">
        <v>52</v>
      </c>
      <c r="I672" t="s">
        <v>53</v>
      </c>
      <c r="J672">
        <v>0.1</v>
      </c>
      <c r="K672">
        <v>126.60000000000001</v>
      </c>
      <c r="L672">
        <v>1266</v>
      </c>
      <c r="M672">
        <v>1139.4000000000001</v>
      </c>
      <c r="N672" t="s">
        <v>34</v>
      </c>
    </row>
    <row r="673" spans="1:14" x14ac:dyDescent="0.2">
      <c r="A673">
        <v>3672</v>
      </c>
      <c r="B673" t="s">
        <v>284</v>
      </c>
      <c r="C673" t="s">
        <v>965</v>
      </c>
      <c r="D673">
        <v>1904</v>
      </c>
      <c r="E673" t="s">
        <v>76</v>
      </c>
      <c r="F673" s="1">
        <v>45471</v>
      </c>
      <c r="G673">
        <v>3</v>
      </c>
      <c r="H673" t="s">
        <v>52</v>
      </c>
      <c r="I673" t="s">
        <v>47</v>
      </c>
      <c r="J673">
        <v>0.25</v>
      </c>
      <c r="K673">
        <v>53</v>
      </c>
      <c r="L673">
        <v>212</v>
      </c>
      <c r="M673">
        <v>159</v>
      </c>
      <c r="N673" t="s">
        <v>54</v>
      </c>
    </row>
    <row r="674" spans="1:14" x14ac:dyDescent="0.2">
      <c r="A674">
        <v>3673</v>
      </c>
      <c r="B674" t="s">
        <v>844</v>
      </c>
      <c r="C674" t="s">
        <v>966</v>
      </c>
      <c r="D674">
        <v>1905</v>
      </c>
      <c r="E674" t="s">
        <v>76</v>
      </c>
      <c r="F674" s="1">
        <v>45543</v>
      </c>
      <c r="G674">
        <v>1</v>
      </c>
      <c r="H674" t="s">
        <v>52</v>
      </c>
      <c r="I674" t="s">
        <v>39</v>
      </c>
      <c r="J674">
        <v>0.25</v>
      </c>
      <c r="K674">
        <v>429.25</v>
      </c>
      <c r="L674">
        <v>1717</v>
      </c>
      <c r="M674">
        <v>1287.75</v>
      </c>
      <c r="N674" t="s">
        <v>48</v>
      </c>
    </row>
    <row r="675" spans="1:14" x14ac:dyDescent="0.2">
      <c r="A675">
        <v>3674</v>
      </c>
      <c r="B675" t="s">
        <v>767</v>
      </c>
      <c r="C675" t="s">
        <v>116</v>
      </c>
      <c r="D675">
        <v>1906</v>
      </c>
      <c r="E675" t="s">
        <v>76</v>
      </c>
      <c r="F675" s="1">
        <v>45503</v>
      </c>
      <c r="G675">
        <v>2</v>
      </c>
      <c r="H675" t="s">
        <v>38</v>
      </c>
      <c r="I675" t="s">
        <v>47</v>
      </c>
      <c r="J675">
        <v>0.25</v>
      </c>
      <c r="K675">
        <v>158</v>
      </c>
      <c r="L675">
        <v>632</v>
      </c>
      <c r="M675">
        <v>474</v>
      </c>
      <c r="N675" t="s">
        <v>54</v>
      </c>
    </row>
    <row r="676" spans="1:14" x14ac:dyDescent="0.2">
      <c r="A676">
        <v>3675</v>
      </c>
      <c r="B676" t="s">
        <v>967</v>
      </c>
      <c r="C676" t="s">
        <v>968</v>
      </c>
      <c r="D676">
        <v>1907</v>
      </c>
      <c r="E676" t="s">
        <v>92</v>
      </c>
      <c r="F676" s="1">
        <v>45507</v>
      </c>
      <c r="G676">
        <v>1</v>
      </c>
      <c r="H676" t="s">
        <v>32</v>
      </c>
      <c r="I676" t="s">
        <v>81</v>
      </c>
      <c r="J676">
        <v>0.3</v>
      </c>
      <c r="K676">
        <v>473.09999999999997</v>
      </c>
      <c r="L676">
        <v>1577</v>
      </c>
      <c r="M676">
        <v>1103.9000000000001</v>
      </c>
      <c r="N676" t="s">
        <v>34</v>
      </c>
    </row>
    <row r="677" spans="1:14" x14ac:dyDescent="0.2">
      <c r="A677">
        <v>3676</v>
      </c>
      <c r="B677" t="s">
        <v>325</v>
      </c>
      <c r="C677" t="s">
        <v>529</v>
      </c>
      <c r="D677">
        <v>1908</v>
      </c>
      <c r="E677" t="s">
        <v>31</v>
      </c>
      <c r="F677" s="1">
        <v>45524</v>
      </c>
      <c r="G677">
        <v>3</v>
      </c>
      <c r="H677" t="s">
        <v>32</v>
      </c>
      <c r="I677" t="s">
        <v>64</v>
      </c>
      <c r="J677">
        <v>0.1</v>
      </c>
      <c r="K677">
        <v>11.600000000000001</v>
      </c>
      <c r="L677">
        <v>116</v>
      </c>
      <c r="M677">
        <v>104.4</v>
      </c>
      <c r="N677" t="s">
        <v>44</v>
      </c>
    </row>
    <row r="678" spans="1:14" x14ac:dyDescent="0.2">
      <c r="A678">
        <v>3677</v>
      </c>
      <c r="B678" t="s">
        <v>72</v>
      </c>
      <c r="C678" t="s">
        <v>331</v>
      </c>
      <c r="D678">
        <v>1909</v>
      </c>
      <c r="E678" t="s">
        <v>92</v>
      </c>
      <c r="F678" s="1">
        <v>45342</v>
      </c>
      <c r="G678">
        <v>2</v>
      </c>
      <c r="H678" t="s">
        <v>52</v>
      </c>
      <c r="I678" t="s">
        <v>57</v>
      </c>
      <c r="J678">
        <v>0.3</v>
      </c>
      <c r="K678">
        <v>459.59999999999997</v>
      </c>
      <c r="L678">
        <v>1532</v>
      </c>
      <c r="M678">
        <v>1072.4000000000001</v>
      </c>
      <c r="N678" t="s">
        <v>34</v>
      </c>
    </row>
    <row r="679" spans="1:14" x14ac:dyDescent="0.2">
      <c r="A679">
        <v>3678</v>
      </c>
      <c r="B679" t="s">
        <v>969</v>
      </c>
      <c r="C679" t="s">
        <v>522</v>
      </c>
      <c r="D679">
        <v>1910</v>
      </c>
      <c r="E679" t="s">
        <v>76</v>
      </c>
      <c r="F679" s="1">
        <v>45523</v>
      </c>
      <c r="G679">
        <v>2</v>
      </c>
      <c r="H679" t="s">
        <v>52</v>
      </c>
      <c r="I679" t="s">
        <v>57</v>
      </c>
      <c r="J679">
        <v>0.25</v>
      </c>
      <c r="K679">
        <v>189.75</v>
      </c>
      <c r="L679">
        <v>759</v>
      </c>
      <c r="M679">
        <v>569.25</v>
      </c>
      <c r="N679" t="s">
        <v>34</v>
      </c>
    </row>
    <row r="680" spans="1:14" x14ac:dyDescent="0.2">
      <c r="A680">
        <v>3679</v>
      </c>
      <c r="B680" t="s">
        <v>106</v>
      </c>
      <c r="C680" t="s">
        <v>943</v>
      </c>
      <c r="D680">
        <v>1911</v>
      </c>
      <c r="E680" t="s">
        <v>51</v>
      </c>
      <c r="F680" s="1">
        <v>45364</v>
      </c>
      <c r="G680">
        <v>1</v>
      </c>
      <c r="H680" t="s">
        <v>71</v>
      </c>
      <c r="I680" t="s">
        <v>64</v>
      </c>
      <c r="J680">
        <v>0.2</v>
      </c>
      <c r="K680">
        <v>275.40000000000003</v>
      </c>
      <c r="L680">
        <v>1377</v>
      </c>
      <c r="M680">
        <v>1101.5999999999999</v>
      </c>
      <c r="N680" t="s">
        <v>114</v>
      </c>
    </row>
    <row r="681" spans="1:14" x14ac:dyDescent="0.2">
      <c r="A681">
        <v>3680</v>
      </c>
      <c r="B681" t="s">
        <v>477</v>
      </c>
      <c r="C681" t="s">
        <v>951</v>
      </c>
      <c r="D681">
        <v>1912</v>
      </c>
      <c r="E681" t="s">
        <v>76</v>
      </c>
      <c r="F681" s="1">
        <v>45376</v>
      </c>
      <c r="G681">
        <v>3</v>
      </c>
      <c r="H681" t="s">
        <v>71</v>
      </c>
      <c r="I681" t="s">
        <v>81</v>
      </c>
      <c r="J681">
        <v>0.25</v>
      </c>
      <c r="K681">
        <v>88</v>
      </c>
      <c r="L681">
        <v>352</v>
      </c>
      <c r="M681">
        <v>264</v>
      </c>
      <c r="N681" t="s">
        <v>114</v>
      </c>
    </row>
    <row r="682" spans="1:14" x14ac:dyDescent="0.2">
      <c r="A682">
        <v>3681</v>
      </c>
      <c r="B682" t="s">
        <v>970</v>
      </c>
      <c r="C682" t="s">
        <v>246</v>
      </c>
      <c r="D682">
        <v>1913</v>
      </c>
      <c r="E682" t="s">
        <v>76</v>
      </c>
      <c r="F682" s="1">
        <v>45498</v>
      </c>
      <c r="G682">
        <v>3</v>
      </c>
      <c r="H682" t="s">
        <v>32</v>
      </c>
      <c r="I682" t="s">
        <v>33</v>
      </c>
      <c r="J682">
        <v>0.25</v>
      </c>
      <c r="K682">
        <v>328</v>
      </c>
      <c r="L682">
        <v>1312</v>
      </c>
      <c r="M682">
        <v>984</v>
      </c>
      <c r="N682" t="s">
        <v>34</v>
      </c>
    </row>
    <row r="683" spans="1:14" x14ac:dyDescent="0.2">
      <c r="A683">
        <v>3682</v>
      </c>
      <c r="B683" t="s">
        <v>773</v>
      </c>
      <c r="C683" t="s">
        <v>971</v>
      </c>
      <c r="D683">
        <v>1914</v>
      </c>
      <c r="E683" t="s">
        <v>31</v>
      </c>
      <c r="F683" s="1">
        <v>45439</v>
      </c>
      <c r="G683">
        <v>1</v>
      </c>
      <c r="H683" t="s">
        <v>38</v>
      </c>
      <c r="I683" t="s">
        <v>39</v>
      </c>
      <c r="J683">
        <v>0.1</v>
      </c>
      <c r="K683">
        <v>131.4</v>
      </c>
      <c r="L683">
        <v>1314</v>
      </c>
      <c r="M683">
        <v>1182.5999999999999</v>
      </c>
      <c r="N683" t="s">
        <v>44</v>
      </c>
    </row>
    <row r="684" spans="1:14" x14ac:dyDescent="0.2">
      <c r="A684">
        <v>3683</v>
      </c>
      <c r="B684" t="s">
        <v>972</v>
      </c>
      <c r="C684" t="s">
        <v>116</v>
      </c>
      <c r="D684">
        <v>1915</v>
      </c>
      <c r="E684" t="s">
        <v>76</v>
      </c>
      <c r="F684" s="1">
        <v>45459</v>
      </c>
      <c r="G684">
        <v>1</v>
      </c>
      <c r="H684" t="s">
        <v>32</v>
      </c>
      <c r="I684" t="s">
        <v>53</v>
      </c>
      <c r="J684">
        <v>0.25</v>
      </c>
      <c r="K684">
        <v>180</v>
      </c>
      <c r="L684">
        <v>720</v>
      </c>
      <c r="M684">
        <v>540</v>
      </c>
      <c r="N684" t="s">
        <v>34</v>
      </c>
    </row>
    <row r="685" spans="1:14" x14ac:dyDescent="0.2">
      <c r="A685">
        <v>3684</v>
      </c>
      <c r="B685" t="s">
        <v>203</v>
      </c>
      <c r="C685" t="s">
        <v>973</v>
      </c>
      <c r="D685">
        <v>1916</v>
      </c>
      <c r="E685" t="s">
        <v>31</v>
      </c>
      <c r="F685" s="1">
        <v>45480</v>
      </c>
      <c r="G685">
        <v>1</v>
      </c>
      <c r="H685" t="s">
        <v>32</v>
      </c>
      <c r="I685" t="s">
        <v>64</v>
      </c>
      <c r="J685">
        <v>0.1</v>
      </c>
      <c r="K685">
        <v>36.200000000000003</v>
      </c>
      <c r="L685">
        <v>362</v>
      </c>
      <c r="M685">
        <v>325.8</v>
      </c>
      <c r="N685" t="s">
        <v>34</v>
      </c>
    </row>
    <row r="686" spans="1:14" x14ac:dyDescent="0.2">
      <c r="A686">
        <v>3685</v>
      </c>
      <c r="B686" t="s">
        <v>175</v>
      </c>
      <c r="C686" t="s">
        <v>974</v>
      </c>
      <c r="D686">
        <v>1917</v>
      </c>
      <c r="E686" t="s">
        <v>76</v>
      </c>
      <c r="F686" s="1">
        <v>45383</v>
      </c>
      <c r="G686">
        <v>2</v>
      </c>
      <c r="H686" t="s">
        <v>52</v>
      </c>
      <c r="I686" t="s">
        <v>81</v>
      </c>
      <c r="J686">
        <v>0.25</v>
      </c>
      <c r="K686">
        <v>200.5</v>
      </c>
      <c r="L686">
        <v>802</v>
      </c>
      <c r="M686">
        <v>601.5</v>
      </c>
      <c r="N686" t="s">
        <v>114</v>
      </c>
    </row>
    <row r="687" spans="1:14" x14ac:dyDescent="0.2">
      <c r="A687">
        <v>3686</v>
      </c>
      <c r="B687" t="s">
        <v>975</v>
      </c>
      <c r="C687" t="s">
        <v>976</v>
      </c>
      <c r="D687">
        <v>1918</v>
      </c>
      <c r="E687" t="s">
        <v>37</v>
      </c>
      <c r="F687" s="1">
        <v>45389</v>
      </c>
      <c r="G687">
        <v>3</v>
      </c>
      <c r="H687" t="s">
        <v>71</v>
      </c>
      <c r="I687" t="s">
        <v>33</v>
      </c>
      <c r="J687">
        <v>0.3</v>
      </c>
      <c r="K687">
        <v>112.5</v>
      </c>
      <c r="L687">
        <v>375</v>
      </c>
      <c r="M687">
        <v>262.5</v>
      </c>
      <c r="N687" t="s">
        <v>48</v>
      </c>
    </row>
    <row r="688" spans="1:14" x14ac:dyDescent="0.2">
      <c r="A688">
        <v>3687</v>
      </c>
      <c r="B688" t="s">
        <v>977</v>
      </c>
      <c r="C688" t="s">
        <v>978</v>
      </c>
      <c r="D688">
        <v>1919</v>
      </c>
      <c r="E688" t="s">
        <v>42</v>
      </c>
      <c r="F688" s="1">
        <v>45422</v>
      </c>
      <c r="G688">
        <v>2</v>
      </c>
      <c r="H688" t="s">
        <v>52</v>
      </c>
      <c r="I688" t="s">
        <v>39</v>
      </c>
      <c r="J688">
        <v>0.25</v>
      </c>
      <c r="K688">
        <v>95.75</v>
      </c>
      <c r="L688">
        <v>383</v>
      </c>
      <c r="M688">
        <v>287.25</v>
      </c>
      <c r="N688" t="s">
        <v>34</v>
      </c>
    </row>
    <row r="689" spans="1:14" x14ac:dyDescent="0.2">
      <c r="A689">
        <v>3688</v>
      </c>
      <c r="B689" t="s">
        <v>979</v>
      </c>
      <c r="C689" t="s">
        <v>980</v>
      </c>
      <c r="D689">
        <v>1920</v>
      </c>
      <c r="E689" t="s">
        <v>37</v>
      </c>
      <c r="F689" s="1">
        <v>45383</v>
      </c>
      <c r="G689">
        <v>3</v>
      </c>
      <c r="H689" t="s">
        <v>52</v>
      </c>
      <c r="I689" t="s">
        <v>81</v>
      </c>
      <c r="J689">
        <v>0.3</v>
      </c>
      <c r="K689">
        <v>241.79999999999998</v>
      </c>
      <c r="L689">
        <v>806</v>
      </c>
      <c r="M689">
        <v>564.20000000000005</v>
      </c>
      <c r="N689" t="s">
        <v>48</v>
      </c>
    </row>
    <row r="690" spans="1:14" x14ac:dyDescent="0.2">
      <c r="A690">
        <v>3689</v>
      </c>
      <c r="B690" t="s">
        <v>371</v>
      </c>
      <c r="C690" t="s">
        <v>981</v>
      </c>
      <c r="D690">
        <v>1921</v>
      </c>
      <c r="E690" t="s">
        <v>51</v>
      </c>
      <c r="F690" s="1">
        <v>45577</v>
      </c>
      <c r="G690">
        <v>2</v>
      </c>
      <c r="H690" t="s">
        <v>38</v>
      </c>
      <c r="I690" t="s">
        <v>33</v>
      </c>
      <c r="J690">
        <v>0.2</v>
      </c>
      <c r="K690">
        <v>151.6</v>
      </c>
      <c r="L690">
        <v>758</v>
      </c>
      <c r="M690">
        <v>606.4</v>
      </c>
      <c r="N690" t="s">
        <v>48</v>
      </c>
    </row>
    <row r="691" spans="1:14" x14ac:dyDescent="0.2">
      <c r="A691">
        <v>3690</v>
      </c>
      <c r="B691" t="s">
        <v>634</v>
      </c>
      <c r="C691" t="s">
        <v>442</v>
      </c>
      <c r="D691">
        <v>1922</v>
      </c>
      <c r="E691" t="s">
        <v>92</v>
      </c>
      <c r="F691" s="1">
        <v>45607</v>
      </c>
      <c r="G691">
        <v>1</v>
      </c>
      <c r="H691" t="s">
        <v>32</v>
      </c>
      <c r="I691" t="s">
        <v>57</v>
      </c>
      <c r="J691">
        <v>0.3</v>
      </c>
      <c r="K691">
        <v>72.3</v>
      </c>
      <c r="L691">
        <v>241</v>
      </c>
      <c r="M691">
        <v>168.7</v>
      </c>
      <c r="N691" t="s">
        <v>114</v>
      </c>
    </row>
    <row r="692" spans="1:14" x14ac:dyDescent="0.2">
      <c r="A692">
        <v>3691</v>
      </c>
      <c r="B692" t="s">
        <v>982</v>
      </c>
      <c r="C692" t="s">
        <v>983</v>
      </c>
      <c r="D692">
        <v>1923</v>
      </c>
      <c r="E692" t="s">
        <v>92</v>
      </c>
      <c r="F692" s="1">
        <v>45338</v>
      </c>
      <c r="G692">
        <v>3</v>
      </c>
      <c r="H692" t="s">
        <v>38</v>
      </c>
      <c r="I692" t="s">
        <v>64</v>
      </c>
      <c r="J692">
        <v>0.3</v>
      </c>
      <c r="K692">
        <v>12</v>
      </c>
      <c r="L692">
        <v>40</v>
      </c>
      <c r="M692">
        <v>28</v>
      </c>
      <c r="N692" t="s">
        <v>34</v>
      </c>
    </row>
    <row r="693" spans="1:14" x14ac:dyDescent="0.2">
      <c r="A693">
        <v>3692</v>
      </c>
      <c r="B693" t="s">
        <v>72</v>
      </c>
      <c r="C693" t="s">
        <v>621</v>
      </c>
      <c r="D693">
        <v>1924</v>
      </c>
      <c r="E693" t="s">
        <v>76</v>
      </c>
      <c r="F693" s="1">
        <v>45326</v>
      </c>
      <c r="G693">
        <v>2</v>
      </c>
      <c r="H693" t="s">
        <v>52</v>
      </c>
      <c r="I693" t="s">
        <v>47</v>
      </c>
      <c r="J693">
        <v>0.25</v>
      </c>
      <c r="K693">
        <v>386.75</v>
      </c>
      <c r="L693">
        <v>1547</v>
      </c>
      <c r="M693">
        <v>1160.25</v>
      </c>
      <c r="N693" t="s">
        <v>54</v>
      </c>
    </row>
    <row r="694" spans="1:14" x14ac:dyDescent="0.2">
      <c r="A694">
        <v>3693</v>
      </c>
      <c r="B694" t="s">
        <v>984</v>
      </c>
      <c r="C694" t="s">
        <v>985</v>
      </c>
      <c r="D694">
        <v>1925</v>
      </c>
      <c r="E694" t="s">
        <v>51</v>
      </c>
      <c r="F694" s="1">
        <v>45622</v>
      </c>
      <c r="G694">
        <v>3</v>
      </c>
      <c r="H694" t="s">
        <v>52</v>
      </c>
      <c r="I694" t="s">
        <v>64</v>
      </c>
      <c r="J694">
        <v>0.2</v>
      </c>
      <c r="K694">
        <v>79</v>
      </c>
      <c r="L694">
        <v>395</v>
      </c>
      <c r="M694">
        <v>316</v>
      </c>
      <c r="N694" t="s">
        <v>34</v>
      </c>
    </row>
    <row r="695" spans="1:14" x14ac:dyDescent="0.2">
      <c r="A695">
        <v>3694</v>
      </c>
      <c r="B695" t="s">
        <v>420</v>
      </c>
      <c r="C695" t="s">
        <v>986</v>
      </c>
      <c r="D695">
        <v>1926</v>
      </c>
      <c r="E695" t="s">
        <v>92</v>
      </c>
      <c r="F695" s="1">
        <v>45618</v>
      </c>
      <c r="G695">
        <v>3</v>
      </c>
      <c r="H695" t="s">
        <v>32</v>
      </c>
      <c r="I695" t="s">
        <v>39</v>
      </c>
      <c r="J695">
        <v>0.3</v>
      </c>
      <c r="K695">
        <v>236.1</v>
      </c>
      <c r="L695">
        <v>787</v>
      </c>
      <c r="M695">
        <v>550.9</v>
      </c>
      <c r="N695" t="s">
        <v>34</v>
      </c>
    </row>
    <row r="696" spans="1:14" x14ac:dyDescent="0.2">
      <c r="A696">
        <v>3695</v>
      </c>
      <c r="B696" t="s">
        <v>987</v>
      </c>
      <c r="C696" t="s">
        <v>988</v>
      </c>
      <c r="D696">
        <v>1927</v>
      </c>
      <c r="E696" t="s">
        <v>76</v>
      </c>
      <c r="F696" s="1">
        <v>45423</v>
      </c>
      <c r="G696">
        <v>1</v>
      </c>
      <c r="H696" t="s">
        <v>52</v>
      </c>
      <c r="I696" t="s">
        <v>39</v>
      </c>
      <c r="J696">
        <v>0.25</v>
      </c>
      <c r="K696">
        <v>156.75</v>
      </c>
      <c r="L696">
        <v>627</v>
      </c>
      <c r="M696">
        <v>470.25</v>
      </c>
      <c r="N696" t="s">
        <v>54</v>
      </c>
    </row>
    <row r="697" spans="1:14" x14ac:dyDescent="0.2">
      <c r="A697">
        <v>3696</v>
      </c>
      <c r="B697" t="s">
        <v>989</v>
      </c>
      <c r="C697" t="s">
        <v>272</v>
      </c>
      <c r="D697">
        <v>1928</v>
      </c>
      <c r="E697" t="s">
        <v>92</v>
      </c>
      <c r="F697" s="1">
        <v>45496</v>
      </c>
      <c r="G697">
        <v>3</v>
      </c>
      <c r="H697" t="s">
        <v>52</v>
      </c>
      <c r="I697" t="s">
        <v>81</v>
      </c>
      <c r="J697">
        <v>0.3</v>
      </c>
      <c r="K697">
        <v>78.599999999999994</v>
      </c>
      <c r="L697">
        <v>262</v>
      </c>
      <c r="M697">
        <v>183.4</v>
      </c>
      <c r="N697" t="s">
        <v>114</v>
      </c>
    </row>
    <row r="698" spans="1:14" x14ac:dyDescent="0.2">
      <c r="A698">
        <v>3697</v>
      </c>
      <c r="B698" t="s">
        <v>990</v>
      </c>
      <c r="C698" t="s">
        <v>991</v>
      </c>
      <c r="D698">
        <v>1929</v>
      </c>
      <c r="E698" t="s">
        <v>31</v>
      </c>
      <c r="F698" s="1">
        <v>45530</v>
      </c>
      <c r="G698">
        <v>2</v>
      </c>
      <c r="H698" t="s">
        <v>32</v>
      </c>
      <c r="I698" t="s">
        <v>53</v>
      </c>
      <c r="J698">
        <v>0.1</v>
      </c>
      <c r="K698">
        <v>94.300000000000011</v>
      </c>
      <c r="L698">
        <v>943</v>
      </c>
      <c r="M698">
        <v>848.7</v>
      </c>
      <c r="N698" t="s">
        <v>44</v>
      </c>
    </row>
    <row r="699" spans="1:14" x14ac:dyDescent="0.2">
      <c r="A699">
        <v>3698</v>
      </c>
      <c r="B699" t="s">
        <v>992</v>
      </c>
      <c r="C699" t="s">
        <v>779</v>
      </c>
      <c r="D699">
        <v>1930</v>
      </c>
      <c r="E699" t="s">
        <v>92</v>
      </c>
      <c r="F699" s="1">
        <v>45404</v>
      </c>
      <c r="G699">
        <v>3</v>
      </c>
      <c r="H699" t="s">
        <v>52</v>
      </c>
      <c r="I699" t="s">
        <v>81</v>
      </c>
      <c r="J699">
        <v>0.3</v>
      </c>
      <c r="K699">
        <v>126.89999999999999</v>
      </c>
      <c r="L699">
        <v>423</v>
      </c>
      <c r="M699">
        <v>296.10000000000002</v>
      </c>
      <c r="N699" t="s">
        <v>54</v>
      </c>
    </row>
    <row r="700" spans="1:14" x14ac:dyDescent="0.2">
      <c r="A700">
        <v>3699</v>
      </c>
      <c r="B700" t="s">
        <v>547</v>
      </c>
      <c r="C700" t="s">
        <v>993</v>
      </c>
      <c r="D700">
        <v>1931</v>
      </c>
      <c r="E700" t="s">
        <v>37</v>
      </c>
      <c r="F700" s="1">
        <v>45545</v>
      </c>
      <c r="G700">
        <v>1</v>
      </c>
      <c r="H700" t="s">
        <v>52</v>
      </c>
      <c r="I700" t="s">
        <v>47</v>
      </c>
      <c r="J700">
        <v>0.3</v>
      </c>
      <c r="K700">
        <v>490.79999999999995</v>
      </c>
      <c r="L700">
        <v>1636</v>
      </c>
      <c r="M700">
        <v>1145.2</v>
      </c>
      <c r="N700" t="s">
        <v>48</v>
      </c>
    </row>
    <row r="701" spans="1:14" x14ac:dyDescent="0.2">
      <c r="A701">
        <v>3700</v>
      </c>
      <c r="B701" t="s">
        <v>112</v>
      </c>
      <c r="C701" t="s">
        <v>994</v>
      </c>
      <c r="D701">
        <v>1932</v>
      </c>
      <c r="E701" t="s">
        <v>92</v>
      </c>
      <c r="F701" s="1">
        <v>45516</v>
      </c>
      <c r="G701">
        <v>2</v>
      </c>
      <c r="H701" t="s">
        <v>52</v>
      </c>
      <c r="I701" t="s">
        <v>33</v>
      </c>
      <c r="J701">
        <v>0.3</v>
      </c>
      <c r="K701">
        <v>11.7</v>
      </c>
      <c r="L701">
        <v>39</v>
      </c>
      <c r="M701">
        <v>27.3</v>
      </c>
      <c r="N701" t="s">
        <v>48</v>
      </c>
    </row>
    <row r="702" spans="1:14" x14ac:dyDescent="0.2">
      <c r="A702">
        <v>3701</v>
      </c>
      <c r="B702" t="s">
        <v>426</v>
      </c>
      <c r="C702" t="s">
        <v>923</v>
      </c>
      <c r="D702">
        <v>1933</v>
      </c>
      <c r="E702" t="s">
        <v>51</v>
      </c>
      <c r="F702" s="1">
        <v>45463</v>
      </c>
      <c r="G702">
        <v>1</v>
      </c>
      <c r="H702" t="s">
        <v>32</v>
      </c>
      <c r="I702" t="s">
        <v>81</v>
      </c>
      <c r="J702">
        <v>0.2</v>
      </c>
      <c r="K702">
        <v>332</v>
      </c>
      <c r="L702">
        <v>1660</v>
      </c>
      <c r="M702">
        <v>1328</v>
      </c>
      <c r="N702" t="s">
        <v>114</v>
      </c>
    </row>
    <row r="703" spans="1:14" x14ac:dyDescent="0.2">
      <c r="A703">
        <v>3702</v>
      </c>
      <c r="B703" t="s">
        <v>995</v>
      </c>
      <c r="C703" t="s">
        <v>996</v>
      </c>
      <c r="D703">
        <v>1934</v>
      </c>
      <c r="E703" t="s">
        <v>37</v>
      </c>
      <c r="F703" s="1">
        <v>45315</v>
      </c>
      <c r="G703">
        <v>2</v>
      </c>
      <c r="H703" t="s">
        <v>38</v>
      </c>
      <c r="I703" t="s">
        <v>81</v>
      </c>
      <c r="J703">
        <v>0.3</v>
      </c>
      <c r="K703">
        <v>78.599999999999994</v>
      </c>
      <c r="L703">
        <v>262</v>
      </c>
      <c r="M703">
        <v>183.4</v>
      </c>
      <c r="N703" t="s">
        <v>44</v>
      </c>
    </row>
    <row r="704" spans="1:14" x14ac:dyDescent="0.2">
      <c r="A704">
        <v>3703</v>
      </c>
      <c r="B704" t="s">
        <v>460</v>
      </c>
      <c r="C704" t="s">
        <v>391</v>
      </c>
      <c r="D704">
        <v>1935</v>
      </c>
      <c r="E704" t="s">
        <v>31</v>
      </c>
      <c r="F704" s="1">
        <v>45357</v>
      </c>
      <c r="G704">
        <v>3</v>
      </c>
      <c r="H704" t="s">
        <v>38</v>
      </c>
      <c r="I704" t="s">
        <v>57</v>
      </c>
      <c r="J704">
        <v>0.1</v>
      </c>
      <c r="K704">
        <v>96.100000000000009</v>
      </c>
      <c r="L704">
        <v>961</v>
      </c>
      <c r="M704">
        <v>864.9</v>
      </c>
      <c r="N704" t="s">
        <v>44</v>
      </c>
    </row>
    <row r="705" spans="1:14" x14ac:dyDescent="0.2">
      <c r="A705">
        <v>3704</v>
      </c>
      <c r="B705" t="s">
        <v>984</v>
      </c>
      <c r="C705" t="s">
        <v>862</v>
      </c>
      <c r="D705">
        <v>1936</v>
      </c>
      <c r="E705" t="s">
        <v>37</v>
      </c>
      <c r="F705" s="1">
        <v>45411</v>
      </c>
      <c r="G705">
        <v>2</v>
      </c>
      <c r="H705" t="s">
        <v>52</v>
      </c>
      <c r="I705" t="s">
        <v>39</v>
      </c>
      <c r="J705">
        <v>0.3</v>
      </c>
      <c r="K705">
        <v>166.2</v>
      </c>
      <c r="L705">
        <v>554</v>
      </c>
      <c r="M705">
        <v>387.8</v>
      </c>
      <c r="N705" t="s">
        <v>48</v>
      </c>
    </row>
    <row r="706" spans="1:14" x14ac:dyDescent="0.2">
      <c r="A706">
        <v>3705</v>
      </c>
      <c r="B706" t="s">
        <v>997</v>
      </c>
      <c r="C706" t="s">
        <v>998</v>
      </c>
      <c r="D706">
        <v>1937</v>
      </c>
      <c r="E706" t="s">
        <v>31</v>
      </c>
      <c r="F706" s="1">
        <v>45398</v>
      </c>
      <c r="G706">
        <v>3</v>
      </c>
      <c r="H706" t="s">
        <v>32</v>
      </c>
      <c r="I706" t="s">
        <v>39</v>
      </c>
      <c r="J706">
        <v>0.1</v>
      </c>
      <c r="K706">
        <v>5.2</v>
      </c>
      <c r="L706">
        <v>52</v>
      </c>
      <c r="M706">
        <v>46.8</v>
      </c>
      <c r="N706" t="s">
        <v>114</v>
      </c>
    </row>
    <row r="707" spans="1:14" x14ac:dyDescent="0.2">
      <c r="A707">
        <v>3706</v>
      </c>
      <c r="B707" t="s">
        <v>999</v>
      </c>
      <c r="C707" t="s">
        <v>1000</v>
      </c>
      <c r="D707">
        <v>1938</v>
      </c>
      <c r="E707" t="s">
        <v>76</v>
      </c>
      <c r="F707" s="1">
        <v>45373</v>
      </c>
      <c r="G707">
        <v>2</v>
      </c>
      <c r="H707" t="s">
        <v>32</v>
      </c>
      <c r="I707" t="s">
        <v>64</v>
      </c>
      <c r="J707">
        <v>0.25</v>
      </c>
      <c r="K707">
        <v>262</v>
      </c>
      <c r="L707">
        <v>1048</v>
      </c>
      <c r="M707">
        <v>786</v>
      </c>
      <c r="N707" t="s">
        <v>48</v>
      </c>
    </row>
    <row r="708" spans="1:14" x14ac:dyDescent="0.2">
      <c r="A708">
        <v>3707</v>
      </c>
      <c r="B708" t="s">
        <v>1001</v>
      </c>
      <c r="C708" t="s">
        <v>384</v>
      </c>
      <c r="D708">
        <v>1939</v>
      </c>
      <c r="E708" t="s">
        <v>31</v>
      </c>
      <c r="F708" s="1">
        <v>45515</v>
      </c>
      <c r="G708">
        <v>1</v>
      </c>
      <c r="H708" t="s">
        <v>32</v>
      </c>
      <c r="I708" t="s">
        <v>43</v>
      </c>
      <c r="J708">
        <v>0.1</v>
      </c>
      <c r="K708">
        <v>48.2</v>
      </c>
      <c r="L708">
        <v>482</v>
      </c>
      <c r="M708">
        <v>433.8</v>
      </c>
      <c r="N708" t="s">
        <v>44</v>
      </c>
    </row>
    <row r="709" spans="1:14" x14ac:dyDescent="0.2">
      <c r="A709">
        <v>3708</v>
      </c>
      <c r="B709" t="s">
        <v>558</v>
      </c>
      <c r="C709" t="s">
        <v>380</v>
      </c>
      <c r="D709">
        <v>1940</v>
      </c>
      <c r="E709" t="s">
        <v>31</v>
      </c>
      <c r="F709" s="1">
        <v>45322</v>
      </c>
      <c r="G709">
        <v>1</v>
      </c>
      <c r="H709" t="s">
        <v>32</v>
      </c>
      <c r="I709" t="s">
        <v>47</v>
      </c>
      <c r="J709">
        <v>0.1</v>
      </c>
      <c r="K709">
        <v>160.30000000000001</v>
      </c>
      <c r="L709">
        <v>1603</v>
      </c>
      <c r="M709">
        <v>1442.7</v>
      </c>
      <c r="N709" t="s">
        <v>114</v>
      </c>
    </row>
    <row r="710" spans="1:14" x14ac:dyDescent="0.2">
      <c r="A710">
        <v>3709</v>
      </c>
      <c r="B710" t="s">
        <v>1002</v>
      </c>
      <c r="C710" t="s">
        <v>259</v>
      </c>
      <c r="D710">
        <v>1941</v>
      </c>
      <c r="E710" t="s">
        <v>42</v>
      </c>
      <c r="F710" s="1">
        <v>45477</v>
      </c>
      <c r="G710">
        <v>3</v>
      </c>
      <c r="H710" t="s">
        <v>38</v>
      </c>
      <c r="I710" t="s">
        <v>64</v>
      </c>
      <c r="J710">
        <v>0.25</v>
      </c>
      <c r="K710">
        <v>285.75</v>
      </c>
      <c r="L710">
        <v>1143</v>
      </c>
      <c r="M710">
        <v>857.25</v>
      </c>
      <c r="N710" t="s">
        <v>44</v>
      </c>
    </row>
    <row r="711" spans="1:14" x14ac:dyDescent="0.2">
      <c r="A711">
        <v>3710</v>
      </c>
      <c r="B711" t="s">
        <v>1003</v>
      </c>
      <c r="C711" t="s">
        <v>68</v>
      </c>
      <c r="D711">
        <v>1942</v>
      </c>
      <c r="E711" t="s">
        <v>76</v>
      </c>
      <c r="F711" s="1">
        <v>45466</v>
      </c>
      <c r="G711">
        <v>1</v>
      </c>
      <c r="H711" t="s">
        <v>32</v>
      </c>
      <c r="I711" t="s">
        <v>47</v>
      </c>
      <c r="J711">
        <v>0.25</v>
      </c>
      <c r="K711">
        <v>164</v>
      </c>
      <c r="L711">
        <v>656</v>
      </c>
      <c r="M711">
        <v>492</v>
      </c>
      <c r="N711" t="s">
        <v>48</v>
      </c>
    </row>
    <row r="712" spans="1:14" x14ac:dyDescent="0.2">
      <c r="A712">
        <v>3711</v>
      </c>
      <c r="B712" t="s">
        <v>1004</v>
      </c>
      <c r="C712" t="s">
        <v>68</v>
      </c>
      <c r="D712">
        <v>1943</v>
      </c>
      <c r="E712" t="s">
        <v>92</v>
      </c>
      <c r="F712" s="1">
        <v>45513</v>
      </c>
      <c r="G712">
        <v>1</v>
      </c>
      <c r="H712" t="s">
        <v>52</v>
      </c>
      <c r="I712" t="s">
        <v>43</v>
      </c>
      <c r="J712">
        <v>0.3</v>
      </c>
      <c r="K712">
        <v>144.6</v>
      </c>
      <c r="L712">
        <v>482</v>
      </c>
      <c r="M712">
        <v>337.4</v>
      </c>
      <c r="N712" t="s">
        <v>54</v>
      </c>
    </row>
    <row r="713" spans="1:14" x14ac:dyDescent="0.2">
      <c r="A713">
        <v>3712</v>
      </c>
      <c r="B713" t="s">
        <v>521</v>
      </c>
      <c r="C713" t="s">
        <v>800</v>
      </c>
      <c r="D713">
        <v>1944</v>
      </c>
      <c r="E713" t="s">
        <v>31</v>
      </c>
      <c r="F713" s="1">
        <v>45571</v>
      </c>
      <c r="G713">
        <v>1</v>
      </c>
      <c r="H713" t="s">
        <v>32</v>
      </c>
      <c r="I713" t="s">
        <v>64</v>
      </c>
      <c r="J713">
        <v>0.1</v>
      </c>
      <c r="K713">
        <v>26.700000000000003</v>
      </c>
      <c r="L713">
        <v>267</v>
      </c>
      <c r="M713">
        <v>240.3</v>
      </c>
      <c r="N713" t="s">
        <v>48</v>
      </c>
    </row>
    <row r="714" spans="1:14" x14ac:dyDescent="0.2">
      <c r="A714">
        <v>3713</v>
      </c>
      <c r="B714" t="s">
        <v>686</v>
      </c>
      <c r="C714" t="s">
        <v>934</v>
      </c>
      <c r="D714">
        <v>1945</v>
      </c>
      <c r="E714" t="s">
        <v>37</v>
      </c>
      <c r="F714" s="1">
        <v>45294</v>
      </c>
      <c r="G714">
        <v>1</v>
      </c>
      <c r="H714" t="s">
        <v>38</v>
      </c>
      <c r="I714" t="s">
        <v>47</v>
      </c>
      <c r="J714">
        <v>0.3</v>
      </c>
      <c r="K714">
        <v>263.09999999999997</v>
      </c>
      <c r="L714">
        <v>877</v>
      </c>
      <c r="M714">
        <v>613.90000000000009</v>
      </c>
      <c r="N714" t="s">
        <v>114</v>
      </c>
    </row>
    <row r="715" spans="1:14" x14ac:dyDescent="0.2">
      <c r="A715">
        <v>3714</v>
      </c>
      <c r="B715" t="s">
        <v>1005</v>
      </c>
      <c r="C715" t="s">
        <v>1006</v>
      </c>
      <c r="D715">
        <v>1946</v>
      </c>
      <c r="E715" t="s">
        <v>42</v>
      </c>
      <c r="F715" s="1">
        <v>45575</v>
      </c>
      <c r="G715">
        <v>2</v>
      </c>
      <c r="H715" t="s">
        <v>32</v>
      </c>
      <c r="I715" t="s">
        <v>81</v>
      </c>
      <c r="J715">
        <v>0.25</v>
      </c>
      <c r="K715">
        <v>67</v>
      </c>
      <c r="L715">
        <v>268</v>
      </c>
      <c r="M715">
        <v>201</v>
      </c>
      <c r="N715" t="s">
        <v>54</v>
      </c>
    </row>
    <row r="716" spans="1:14" x14ac:dyDescent="0.2">
      <c r="A716">
        <v>3715</v>
      </c>
      <c r="B716" t="s">
        <v>173</v>
      </c>
      <c r="C716" t="s">
        <v>507</v>
      </c>
      <c r="D716">
        <v>1947</v>
      </c>
      <c r="E716" t="s">
        <v>37</v>
      </c>
      <c r="F716" s="1">
        <v>45483</v>
      </c>
      <c r="G716">
        <v>1</v>
      </c>
      <c r="H716" t="s">
        <v>32</v>
      </c>
      <c r="I716" t="s">
        <v>39</v>
      </c>
      <c r="J716">
        <v>0.3</v>
      </c>
      <c r="K716">
        <v>393.3</v>
      </c>
      <c r="L716">
        <v>1311</v>
      </c>
      <c r="M716">
        <v>917.7</v>
      </c>
      <c r="N716" t="s">
        <v>44</v>
      </c>
    </row>
    <row r="717" spans="1:14" x14ac:dyDescent="0.2">
      <c r="A717">
        <v>3716</v>
      </c>
      <c r="B717" t="s">
        <v>1007</v>
      </c>
      <c r="C717" t="s">
        <v>981</v>
      </c>
      <c r="D717">
        <v>1948</v>
      </c>
      <c r="E717" t="s">
        <v>92</v>
      </c>
      <c r="F717" s="1">
        <v>45424</v>
      </c>
      <c r="G717">
        <v>3</v>
      </c>
      <c r="H717" t="s">
        <v>32</v>
      </c>
      <c r="I717" t="s">
        <v>43</v>
      </c>
      <c r="J717">
        <v>0.3</v>
      </c>
      <c r="K717">
        <v>388.2</v>
      </c>
      <c r="L717">
        <v>1294</v>
      </c>
      <c r="M717">
        <v>905.8</v>
      </c>
      <c r="N717" t="s">
        <v>48</v>
      </c>
    </row>
    <row r="718" spans="1:14" x14ac:dyDescent="0.2">
      <c r="A718">
        <v>3717</v>
      </c>
      <c r="B718" t="s">
        <v>1008</v>
      </c>
      <c r="C718" t="s">
        <v>1009</v>
      </c>
      <c r="D718">
        <v>1949</v>
      </c>
      <c r="E718" t="s">
        <v>37</v>
      </c>
      <c r="F718" s="1">
        <v>45591</v>
      </c>
      <c r="G718">
        <v>3</v>
      </c>
      <c r="H718" t="s">
        <v>52</v>
      </c>
      <c r="I718" t="s">
        <v>43</v>
      </c>
      <c r="J718">
        <v>0.3</v>
      </c>
      <c r="K718">
        <v>523.19999999999993</v>
      </c>
      <c r="L718">
        <v>1744</v>
      </c>
      <c r="M718">
        <v>1220.8000000000002</v>
      </c>
      <c r="N718" t="s">
        <v>34</v>
      </c>
    </row>
    <row r="719" spans="1:14" x14ac:dyDescent="0.2">
      <c r="A719">
        <v>3718</v>
      </c>
      <c r="B719" t="s">
        <v>985</v>
      </c>
      <c r="C719" t="s">
        <v>326</v>
      </c>
      <c r="D719">
        <v>1950</v>
      </c>
      <c r="E719" t="s">
        <v>42</v>
      </c>
      <c r="F719" s="1">
        <v>45363</v>
      </c>
      <c r="G719">
        <v>2</v>
      </c>
      <c r="H719" t="s">
        <v>32</v>
      </c>
      <c r="I719" t="s">
        <v>64</v>
      </c>
      <c r="J719">
        <v>0.25</v>
      </c>
      <c r="K719">
        <v>321.25</v>
      </c>
      <c r="L719">
        <v>1285</v>
      </c>
      <c r="M719">
        <v>963.75</v>
      </c>
      <c r="N719" t="s">
        <v>48</v>
      </c>
    </row>
    <row r="720" spans="1:14" x14ac:dyDescent="0.2">
      <c r="A720">
        <v>3719</v>
      </c>
      <c r="B720" t="s">
        <v>864</v>
      </c>
      <c r="C720" t="s">
        <v>1010</v>
      </c>
      <c r="D720">
        <v>1951</v>
      </c>
      <c r="E720" t="s">
        <v>37</v>
      </c>
      <c r="F720" s="1">
        <v>45427</v>
      </c>
      <c r="G720">
        <v>1</v>
      </c>
      <c r="H720" t="s">
        <v>32</v>
      </c>
      <c r="I720" t="s">
        <v>81</v>
      </c>
      <c r="J720">
        <v>0.3</v>
      </c>
      <c r="K720">
        <v>272.7</v>
      </c>
      <c r="L720">
        <v>909</v>
      </c>
      <c r="M720">
        <v>636.29999999999995</v>
      </c>
      <c r="N720" t="s">
        <v>48</v>
      </c>
    </row>
    <row r="721" spans="1:14" x14ac:dyDescent="0.2">
      <c r="A721">
        <v>3720</v>
      </c>
      <c r="B721" t="s">
        <v>1011</v>
      </c>
      <c r="C721" t="s">
        <v>811</v>
      </c>
      <c r="D721">
        <v>1952</v>
      </c>
      <c r="E721" t="s">
        <v>37</v>
      </c>
      <c r="F721" s="1">
        <v>45522</v>
      </c>
      <c r="G721">
        <v>1</v>
      </c>
      <c r="H721" t="s">
        <v>32</v>
      </c>
      <c r="I721" t="s">
        <v>39</v>
      </c>
      <c r="J721">
        <v>0.3</v>
      </c>
      <c r="K721">
        <v>33.299999999999997</v>
      </c>
      <c r="L721">
        <v>111</v>
      </c>
      <c r="M721">
        <v>77.7</v>
      </c>
      <c r="N721" t="s">
        <v>44</v>
      </c>
    </row>
    <row r="722" spans="1:14" x14ac:dyDescent="0.2">
      <c r="A722">
        <v>3721</v>
      </c>
      <c r="B722" t="s">
        <v>302</v>
      </c>
      <c r="C722" t="s">
        <v>853</v>
      </c>
      <c r="D722">
        <v>1953</v>
      </c>
      <c r="E722" t="s">
        <v>51</v>
      </c>
      <c r="F722" s="1">
        <v>45414</v>
      </c>
      <c r="G722">
        <v>2</v>
      </c>
      <c r="H722" t="s">
        <v>32</v>
      </c>
      <c r="I722" t="s">
        <v>64</v>
      </c>
      <c r="J722">
        <v>0.2</v>
      </c>
      <c r="K722">
        <v>83.800000000000011</v>
      </c>
      <c r="L722">
        <v>419</v>
      </c>
      <c r="M722">
        <v>335.2</v>
      </c>
      <c r="N722" t="s">
        <v>54</v>
      </c>
    </row>
    <row r="723" spans="1:14" x14ac:dyDescent="0.2">
      <c r="A723">
        <v>3722</v>
      </c>
      <c r="B723" t="s">
        <v>235</v>
      </c>
      <c r="C723" t="s">
        <v>353</v>
      </c>
      <c r="D723">
        <v>1954</v>
      </c>
      <c r="E723" t="s">
        <v>76</v>
      </c>
      <c r="F723" s="1">
        <v>45322</v>
      </c>
      <c r="G723">
        <v>3</v>
      </c>
      <c r="H723" t="s">
        <v>52</v>
      </c>
      <c r="I723" t="s">
        <v>53</v>
      </c>
      <c r="J723">
        <v>0.25</v>
      </c>
      <c r="K723">
        <v>314.5</v>
      </c>
      <c r="L723">
        <v>1258</v>
      </c>
      <c r="M723">
        <v>943.5</v>
      </c>
      <c r="N723" t="s">
        <v>48</v>
      </c>
    </row>
    <row r="724" spans="1:14" x14ac:dyDescent="0.2">
      <c r="A724">
        <v>3723</v>
      </c>
      <c r="B724" t="s">
        <v>870</v>
      </c>
      <c r="C724" t="s">
        <v>1012</v>
      </c>
      <c r="D724">
        <v>1955</v>
      </c>
      <c r="E724" t="s">
        <v>42</v>
      </c>
      <c r="F724" s="1">
        <v>45417</v>
      </c>
      <c r="G724">
        <v>3</v>
      </c>
      <c r="H724" t="s">
        <v>71</v>
      </c>
      <c r="I724" t="s">
        <v>53</v>
      </c>
      <c r="J724">
        <v>0.25</v>
      </c>
      <c r="K724">
        <v>58</v>
      </c>
      <c r="L724">
        <v>232</v>
      </c>
      <c r="M724">
        <v>174</v>
      </c>
      <c r="N724" t="s">
        <v>48</v>
      </c>
    </row>
    <row r="725" spans="1:14" x14ac:dyDescent="0.2">
      <c r="A725">
        <v>3724</v>
      </c>
      <c r="B725" t="s">
        <v>268</v>
      </c>
      <c r="C725" t="s">
        <v>486</v>
      </c>
      <c r="D725">
        <v>1956</v>
      </c>
      <c r="E725" t="s">
        <v>42</v>
      </c>
      <c r="F725" s="1">
        <v>45615</v>
      </c>
      <c r="G725">
        <v>3</v>
      </c>
      <c r="H725" t="s">
        <v>52</v>
      </c>
      <c r="I725" t="s">
        <v>64</v>
      </c>
      <c r="J725">
        <v>0.25</v>
      </c>
      <c r="K725">
        <v>373.75</v>
      </c>
      <c r="L725">
        <v>1495</v>
      </c>
      <c r="M725">
        <v>1121.25</v>
      </c>
      <c r="N725" t="s">
        <v>54</v>
      </c>
    </row>
    <row r="726" spans="1:14" x14ac:dyDescent="0.2">
      <c r="A726">
        <v>3725</v>
      </c>
      <c r="B726" t="s">
        <v>933</v>
      </c>
      <c r="C726" t="s">
        <v>1013</v>
      </c>
      <c r="D726">
        <v>1957</v>
      </c>
      <c r="E726" t="s">
        <v>31</v>
      </c>
      <c r="F726" s="1">
        <v>45365</v>
      </c>
      <c r="G726">
        <v>3</v>
      </c>
      <c r="H726" t="s">
        <v>32</v>
      </c>
      <c r="I726" t="s">
        <v>43</v>
      </c>
      <c r="J726">
        <v>0.1</v>
      </c>
      <c r="K726">
        <v>66.8</v>
      </c>
      <c r="L726">
        <v>668</v>
      </c>
      <c r="M726">
        <v>601.20000000000005</v>
      </c>
      <c r="N726" t="s">
        <v>54</v>
      </c>
    </row>
    <row r="727" spans="1:14" x14ac:dyDescent="0.2">
      <c r="A727">
        <v>3726</v>
      </c>
      <c r="B727" t="s">
        <v>224</v>
      </c>
      <c r="C727" t="s">
        <v>293</v>
      </c>
      <c r="D727">
        <v>1958</v>
      </c>
      <c r="E727" t="s">
        <v>31</v>
      </c>
      <c r="F727" s="1">
        <v>45600</v>
      </c>
      <c r="G727">
        <v>3</v>
      </c>
      <c r="H727" t="s">
        <v>52</v>
      </c>
      <c r="I727" t="s">
        <v>64</v>
      </c>
      <c r="J727">
        <v>0.1</v>
      </c>
      <c r="K727">
        <v>46.800000000000004</v>
      </c>
      <c r="L727">
        <v>468</v>
      </c>
      <c r="M727">
        <v>421.2</v>
      </c>
      <c r="N727" t="s">
        <v>34</v>
      </c>
    </row>
    <row r="728" spans="1:14" x14ac:dyDescent="0.2">
      <c r="A728">
        <v>3727</v>
      </c>
      <c r="B728" t="s">
        <v>1003</v>
      </c>
      <c r="C728" t="s">
        <v>212</v>
      </c>
      <c r="D728">
        <v>1959</v>
      </c>
      <c r="E728" t="s">
        <v>37</v>
      </c>
      <c r="F728" s="1">
        <v>45476</v>
      </c>
      <c r="G728">
        <v>3</v>
      </c>
      <c r="H728" t="s">
        <v>32</v>
      </c>
      <c r="I728" t="s">
        <v>81</v>
      </c>
      <c r="J728">
        <v>0.3</v>
      </c>
      <c r="K728">
        <v>424.8</v>
      </c>
      <c r="L728">
        <v>1416</v>
      </c>
      <c r="M728">
        <v>991.2</v>
      </c>
      <c r="N728" t="s">
        <v>54</v>
      </c>
    </row>
    <row r="729" spans="1:14" x14ac:dyDescent="0.2">
      <c r="A729">
        <v>3728</v>
      </c>
      <c r="B729" t="s">
        <v>1014</v>
      </c>
      <c r="C729" t="s">
        <v>1015</v>
      </c>
      <c r="D729">
        <v>1960</v>
      </c>
      <c r="E729" t="s">
        <v>31</v>
      </c>
      <c r="F729" s="1">
        <v>45506</v>
      </c>
      <c r="G729">
        <v>1</v>
      </c>
      <c r="H729" t="s">
        <v>52</v>
      </c>
      <c r="I729" t="s">
        <v>57</v>
      </c>
      <c r="J729">
        <v>0.1</v>
      </c>
      <c r="K729">
        <v>178.3</v>
      </c>
      <c r="L729">
        <v>1783</v>
      </c>
      <c r="M729">
        <v>1604.7</v>
      </c>
      <c r="N729" t="s">
        <v>34</v>
      </c>
    </row>
    <row r="730" spans="1:14" x14ac:dyDescent="0.2">
      <c r="A730">
        <v>3729</v>
      </c>
      <c r="B730" t="s">
        <v>1016</v>
      </c>
      <c r="C730" t="s">
        <v>649</v>
      </c>
      <c r="D730">
        <v>1961</v>
      </c>
      <c r="E730" t="s">
        <v>31</v>
      </c>
      <c r="F730" s="1">
        <v>45547</v>
      </c>
      <c r="G730">
        <v>3</v>
      </c>
      <c r="H730" t="s">
        <v>52</v>
      </c>
      <c r="I730" t="s">
        <v>47</v>
      </c>
      <c r="J730">
        <v>0.1</v>
      </c>
      <c r="K730">
        <v>123.30000000000001</v>
      </c>
      <c r="L730">
        <v>1233</v>
      </c>
      <c r="M730">
        <v>1109.7</v>
      </c>
      <c r="N730" t="s">
        <v>44</v>
      </c>
    </row>
    <row r="731" spans="1:14" x14ac:dyDescent="0.2">
      <c r="A731">
        <v>3730</v>
      </c>
      <c r="B731" t="s">
        <v>269</v>
      </c>
      <c r="C731" t="s">
        <v>883</v>
      </c>
      <c r="D731">
        <v>1962</v>
      </c>
      <c r="E731" t="s">
        <v>92</v>
      </c>
      <c r="F731" s="1">
        <v>45395</v>
      </c>
      <c r="G731">
        <v>1</v>
      </c>
      <c r="H731" t="s">
        <v>71</v>
      </c>
      <c r="I731" t="s">
        <v>47</v>
      </c>
      <c r="J731">
        <v>0.3</v>
      </c>
      <c r="K731">
        <v>375</v>
      </c>
      <c r="L731">
        <v>1250</v>
      </c>
      <c r="M731">
        <v>875</v>
      </c>
      <c r="N731" t="s">
        <v>34</v>
      </c>
    </row>
    <row r="732" spans="1:14" x14ac:dyDescent="0.2">
      <c r="A732">
        <v>3731</v>
      </c>
      <c r="B732" t="s">
        <v>692</v>
      </c>
      <c r="C732" t="s">
        <v>1017</v>
      </c>
      <c r="D732">
        <v>1963</v>
      </c>
      <c r="E732" t="s">
        <v>51</v>
      </c>
      <c r="F732" s="1">
        <v>45454</v>
      </c>
      <c r="G732">
        <v>2</v>
      </c>
      <c r="H732" t="s">
        <v>38</v>
      </c>
      <c r="I732" t="s">
        <v>53</v>
      </c>
      <c r="J732">
        <v>0.2</v>
      </c>
      <c r="K732">
        <v>68.2</v>
      </c>
      <c r="L732">
        <v>341</v>
      </c>
      <c r="M732">
        <v>272.8</v>
      </c>
      <c r="N732" t="s">
        <v>44</v>
      </c>
    </row>
    <row r="733" spans="1:14" x14ac:dyDescent="0.2">
      <c r="A733">
        <v>3732</v>
      </c>
      <c r="B733" t="s">
        <v>1018</v>
      </c>
      <c r="C733" t="s">
        <v>1019</v>
      </c>
      <c r="D733">
        <v>1964</v>
      </c>
      <c r="E733" t="s">
        <v>31</v>
      </c>
      <c r="F733" s="1">
        <v>45355</v>
      </c>
      <c r="G733">
        <v>1</v>
      </c>
      <c r="H733" t="s">
        <v>52</v>
      </c>
      <c r="I733" t="s">
        <v>43</v>
      </c>
      <c r="J733">
        <v>0.1</v>
      </c>
      <c r="K733">
        <v>70.400000000000006</v>
      </c>
      <c r="L733">
        <v>704</v>
      </c>
      <c r="M733">
        <v>633.6</v>
      </c>
      <c r="N733" t="s">
        <v>54</v>
      </c>
    </row>
    <row r="734" spans="1:14" x14ac:dyDescent="0.2">
      <c r="A734">
        <v>3733</v>
      </c>
      <c r="B734" t="s">
        <v>103</v>
      </c>
      <c r="C734" t="s">
        <v>176</v>
      </c>
      <c r="D734">
        <v>1965</v>
      </c>
      <c r="E734" t="s">
        <v>76</v>
      </c>
      <c r="F734" s="1">
        <v>45514</v>
      </c>
      <c r="G734">
        <v>3</v>
      </c>
      <c r="H734" t="s">
        <v>32</v>
      </c>
      <c r="I734" t="s">
        <v>43</v>
      </c>
      <c r="J734">
        <v>0.25</v>
      </c>
      <c r="K734">
        <v>331.75</v>
      </c>
      <c r="L734">
        <v>1327</v>
      </c>
      <c r="M734">
        <v>995.25</v>
      </c>
      <c r="N734" t="s">
        <v>48</v>
      </c>
    </row>
    <row r="735" spans="1:14" x14ac:dyDescent="0.2">
      <c r="A735">
        <v>3734</v>
      </c>
      <c r="B735" t="s">
        <v>369</v>
      </c>
      <c r="C735" t="s">
        <v>315</v>
      </c>
      <c r="D735">
        <v>1966</v>
      </c>
      <c r="E735" t="s">
        <v>51</v>
      </c>
      <c r="F735" s="1">
        <v>45505</v>
      </c>
      <c r="G735">
        <v>1</v>
      </c>
      <c r="H735" t="s">
        <v>52</v>
      </c>
      <c r="I735" t="s">
        <v>39</v>
      </c>
      <c r="J735">
        <v>0.2</v>
      </c>
      <c r="K735">
        <v>318.60000000000002</v>
      </c>
      <c r="L735">
        <v>1593</v>
      </c>
      <c r="M735">
        <v>1274.4000000000001</v>
      </c>
      <c r="N735" t="s">
        <v>34</v>
      </c>
    </row>
    <row r="736" spans="1:14" x14ac:dyDescent="0.2">
      <c r="A736">
        <v>3735</v>
      </c>
      <c r="B736" t="s">
        <v>351</v>
      </c>
      <c r="C736" t="s">
        <v>354</v>
      </c>
      <c r="D736">
        <v>1967</v>
      </c>
      <c r="E736" t="s">
        <v>92</v>
      </c>
      <c r="F736" s="1">
        <v>45359</v>
      </c>
      <c r="G736">
        <v>1</v>
      </c>
      <c r="H736" t="s">
        <v>32</v>
      </c>
      <c r="I736" t="s">
        <v>43</v>
      </c>
      <c r="J736">
        <v>0.3</v>
      </c>
      <c r="K736">
        <v>378</v>
      </c>
      <c r="L736">
        <v>1260</v>
      </c>
      <c r="M736">
        <v>882</v>
      </c>
      <c r="N736" t="s">
        <v>54</v>
      </c>
    </row>
    <row r="737" spans="1:14" x14ac:dyDescent="0.2">
      <c r="A737">
        <v>3736</v>
      </c>
      <c r="B737" t="s">
        <v>362</v>
      </c>
      <c r="C737" t="s">
        <v>1020</v>
      </c>
      <c r="D737">
        <v>1968</v>
      </c>
      <c r="E737" t="s">
        <v>31</v>
      </c>
      <c r="F737" s="1">
        <v>45625</v>
      </c>
      <c r="G737">
        <v>3</v>
      </c>
      <c r="H737" t="s">
        <v>71</v>
      </c>
      <c r="I737" t="s">
        <v>81</v>
      </c>
      <c r="J737">
        <v>0.1</v>
      </c>
      <c r="K737">
        <v>132.9</v>
      </c>
      <c r="L737">
        <v>1329</v>
      </c>
      <c r="M737">
        <v>1196.0999999999999</v>
      </c>
      <c r="N737" t="s">
        <v>54</v>
      </c>
    </row>
    <row r="738" spans="1:14" x14ac:dyDescent="0.2">
      <c r="A738">
        <v>3737</v>
      </c>
      <c r="B738" t="s">
        <v>1021</v>
      </c>
      <c r="C738" t="s">
        <v>1022</v>
      </c>
      <c r="D738">
        <v>1969</v>
      </c>
      <c r="E738" t="s">
        <v>42</v>
      </c>
      <c r="F738" s="1">
        <v>45374</v>
      </c>
      <c r="G738">
        <v>2</v>
      </c>
      <c r="H738" t="s">
        <v>32</v>
      </c>
      <c r="I738" t="s">
        <v>33</v>
      </c>
      <c r="J738">
        <v>0.25</v>
      </c>
      <c r="K738">
        <v>189</v>
      </c>
      <c r="L738">
        <v>756</v>
      </c>
      <c r="M738">
        <v>567</v>
      </c>
      <c r="N738" t="s">
        <v>44</v>
      </c>
    </row>
    <row r="739" spans="1:14" x14ac:dyDescent="0.2">
      <c r="A739">
        <v>3738</v>
      </c>
      <c r="B739" t="s">
        <v>229</v>
      </c>
      <c r="C739" t="s">
        <v>1023</v>
      </c>
      <c r="D739">
        <v>1970</v>
      </c>
      <c r="E739" t="s">
        <v>92</v>
      </c>
      <c r="F739" s="1">
        <v>45483</v>
      </c>
      <c r="G739">
        <v>2</v>
      </c>
      <c r="H739" t="s">
        <v>52</v>
      </c>
      <c r="I739" t="s">
        <v>57</v>
      </c>
      <c r="J739">
        <v>0.3</v>
      </c>
      <c r="K739">
        <v>325.5</v>
      </c>
      <c r="L739">
        <v>1085</v>
      </c>
      <c r="M739">
        <v>759.5</v>
      </c>
      <c r="N739" t="s">
        <v>48</v>
      </c>
    </row>
    <row r="740" spans="1:14" x14ac:dyDescent="0.2">
      <c r="A740">
        <v>3739</v>
      </c>
      <c r="B740" t="s">
        <v>35</v>
      </c>
      <c r="C740" t="s">
        <v>107</v>
      </c>
      <c r="D740">
        <v>1971</v>
      </c>
      <c r="E740" t="s">
        <v>76</v>
      </c>
      <c r="F740" s="1">
        <v>45358</v>
      </c>
      <c r="G740">
        <v>1</v>
      </c>
      <c r="H740" t="s">
        <v>32</v>
      </c>
      <c r="I740" t="s">
        <v>39</v>
      </c>
      <c r="J740">
        <v>0.25</v>
      </c>
      <c r="K740">
        <v>365.25</v>
      </c>
      <c r="L740">
        <v>1461</v>
      </c>
      <c r="M740">
        <v>1095.75</v>
      </c>
      <c r="N740" t="s">
        <v>114</v>
      </c>
    </row>
    <row r="741" spans="1:14" x14ac:dyDescent="0.2">
      <c r="A741">
        <v>3740</v>
      </c>
      <c r="B741" t="s">
        <v>811</v>
      </c>
      <c r="C741" t="s">
        <v>617</v>
      </c>
      <c r="D741">
        <v>1972</v>
      </c>
      <c r="E741" t="s">
        <v>42</v>
      </c>
      <c r="F741" s="1">
        <v>45303</v>
      </c>
      <c r="G741">
        <v>2</v>
      </c>
      <c r="H741" t="s">
        <v>32</v>
      </c>
      <c r="I741" t="s">
        <v>64</v>
      </c>
      <c r="J741">
        <v>0.25</v>
      </c>
      <c r="K741">
        <v>48.75</v>
      </c>
      <c r="L741">
        <v>195</v>
      </c>
      <c r="M741">
        <v>146.25</v>
      </c>
      <c r="N741" t="s">
        <v>114</v>
      </c>
    </row>
    <row r="742" spans="1:14" x14ac:dyDescent="0.2">
      <c r="A742">
        <v>3741</v>
      </c>
      <c r="B742" t="s">
        <v>182</v>
      </c>
      <c r="C742" t="s">
        <v>113</v>
      </c>
      <c r="D742">
        <v>1973</v>
      </c>
      <c r="E742" t="s">
        <v>76</v>
      </c>
      <c r="F742" s="1">
        <v>45574</v>
      </c>
      <c r="G742">
        <v>3</v>
      </c>
      <c r="H742" t="s">
        <v>52</v>
      </c>
      <c r="I742" t="s">
        <v>39</v>
      </c>
      <c r="J742">
        <v>0.25</v>
      </c>
      <c r="K742">
        <v>30.5</v>
      </c>
      <c r="L742">
        <v>122</v>
      </c>
      <c r="M742">
        <v>91.5</v>
      </c>
      <c r="N742" t="s">
        <v>44</v>
      </c>
    </row>
    <row r="743" spans="1:14" x14ac:dyDescent="0.2">
      <c r="A743">
        <v>3742</v>
      </c>
      <c r="B743" t="s">
        <v>408</v>
      </c>
      <c r="C743" t="s">
        <v>382</v>
      </c>
      <c r="D743">
        <v>1974</v>
      </c>
      <c r="E743" t="s">
        <v>76</v>
      </c>
      <c r="F743" s="1">
        <v>45376</v>
      </c>
      <c r="G743">
        <v>1</v>
      </c>
      <c r="H743" t="s">
        <v>32</v>
      </c>
      <c r="I743" t="s">
        <v>81</v>
      </c>
      <c r="J743">
        <v>0.25</v>
      </c>
      <c r="K743">
        <v>301.75</v>
      </c>
      <c r="L743">
        <v>1207</v>
      </c>
      <c r="M743">
        <v>905.25</v>
      </c>
      <c r="N743" t="s">
        <v>34</v>
      </c>
    </row>
    <row r="744" spans="1:14" x14ac:dyDescent="0.2">
      <c r="A744">
        <v>3743</v>
      </c>
      <c r="B744" t="s">
        <v>637</v>
      </c>
      <c r="C744" t="s">
        <v>345</v>
      </c>
      <c r="D744">
        <v>1975</v>
      </c>
      <c r="E744" t="s">
        <v>76</v>
      </c>
      <c r="F744" s="1">
        <v>45640</v>
      </c>
      <c r="G744">
        <v>3</v>
      </c>
      <c r="H744" t="s">
        <v>52</v>
      </c>
      <c r="I744" t="s">
        <v>43</v>
      </c>
      <c r="J744">
        <v>0.25</v>
      </c>
      <c r="K744">
        <v>397.5</v>
      </c>
      <c r="L744">
        <v>1590</v>
      </c>
      <c r="M744">
        <v>1192.5</v>
      </c>
      <c r="N744" t="s">
        <v>44</v>
      </c>
    </row>
    <row r="745" spans="1:14" x14ac:dyDescent="0.2">
      <c r="A745">
        <v>3744</v>
      </c>
      <c r="B745" t="s">
        <v>1024</v>
      </c>
      <c r="C745" t="s">
        <v>1025</v>
      </c>
      <c r="D745">
        <v>1976</v>
      </c>
      <c r="E745" t="s">
        <v>76</v>
      </c>
      <c r="F745" s="1">
        <v>45363</v>
      </c>
      <c r="G745">
        <v>2</v>
      </c>
      <c r="H745" t="s">
        <v>71</v>
      </c>
      <c r="I745" t="s">
        <v>57</v>
      </c>
      <c r="J745">
        <v>0.25</v>
      </c>
      <c r="K745">
        <v>208</v>
      </c>
      <c r="L745">
        <v>832</v>
      </c>
      <c r="M745">
        <v>624</v>
      </c>
      <c r="N745" t="s">
        <v>44</v>
      </c>
    </row>
    <row r="746" spans="1:14" x14ac:dyDescent="0.2">
      <c r="A746">
        <v>3745</v>
      </c>
      <c r="B746" t="s">
        <v>898</v>
      </c>
      <c r="C746" t="s">
        <v>1026</v>
      </c>
      <c r="D746">
        <v>1977</v>
      </c>
      <c r="E746" t="s">
        <v>31</v>
      </c>
      <c r="F746" s="1">
        <v>45537</v>
      </c>
      <c r="G746">
        <v>1</v>
      </c>
      <c r="H746" t="s">
        <v>52</v>
      </c>
      <c r="I746" t="s">
        <v>39</v>
      </c>
      <c r="J746">
        <v>0.1</v>
      </c>
      <c r="K746">
        <v>55.5</v>
      </c>
      <c r="L746">
        <v>555</v>
      </c>
      <c r="M746">
        <v>499.5</v>
      </c>
      <c r="N746" t="s">
        <v>54</v>
      </c>
    </row>
    <row r="747" spans="1:14" x14ac:dyDescent="0.2">
      <c r="A747">
        <v>3746</v>
      </c>
      <c r="B747" t="s">
        <v>526</v>
      </c>
      <c r="C747" t="s">
        <v>1027</v>
      </c>
      <c r="D747">
        <v>1978</v>
      </c>
      <c r="E747" t="s">
        <v>51</v>
      </c>
      <c r="F747" s="1">
        <v>45574</v>
      </c>
      <c r="G747">
        <v>3</v>
      </c>
      <c r="H747" t="s">
        <v>71</v>
      </c>
      <c r="I747" t="s">
        <v>81</v>
      </c>
      <c r="J747">
        <v>0.2</v>
      </c>
      <c r="K747">
        <v>45.400000000000006</v>
      </c>
      <c r="L747">
        <v>227</v>
      </c>
      <c r="M747">
        <v>181.6</v>
      </c>
      <c r="N747" t="s">
        <v>44</v>
      </c>
    </row>
    <row r="748" spans="1:14" x14ac:dyDescent="0.2">
      <c r="A748">
        <v>3747</v>
      </c>
      <c r="B748" t="s">
        <v>1028</v>
      </c>
      <c r="C748" t="s">
        <v>663</v>
      </c>
      <c r="D748">
        <v>1979</v>
      </c>
      <c r="E748" t="s">
        <v>31</v>
      </c>
      <c r="F748" s="1">
        <v>45529</v>
      </c>
      <c r="G748">
        <v>2</v>
      </c>
      <c r="H748" t="s">
        <v>71</v>
      </c>
      <c r="I748" t="s">
        <v>33</v>
      </c>
      <c r="J748">
        <v>0.1</v>
      </c>
      <c r="K748">
        <v>165.3</v>
      </c>
      <c r="L748">
        <v>1653</v>
      </c>
      <c r="M748">
        <v>1487.7</v>
      </c>
      <c r="N748" t="s">
        <v>114</v>
      </c>
    </row>
    <row r="749" spans="1:14" x14ac:dyDescent="0.2">
      <c r="A749">
        <v>3748</v>
      </c>
      <c r="B749" t="s">
        <v>718</v>
      </c>
      <c r="C749" t="s">
        <v>792</v>
      </c>
      <c r="D749">
        <v>1980</v>
      </c>
      <c r="E749" t="s">
        <v>76</v>
      </c>
      <c r="F749" s="1">
        <v>45455</v>
      </c>
      <c r="G749">
        <v>3</v>
      </c>
      <c r="H749" t="s">
        <v>32</v>
      </c>
      <c r="I749" t="s">
        <v>53</v>
      </c>
      <c r="J749">
        <v>0.25</v>
      </c>
      <c r="K749">
        <v>411.75</v>
      </c>
      <c r="L749">
        <v>1647</v>
      </c>
      <c r="M749">
        <v>1235.25</v>
      </c>
      <c r="N749" t="s">
        <v>54</v>
      </c>
    </row>
    <row r="750" spans="1:14" x14ac:dyDescent="0.2">
      <c r="A750">
        <v>3749</v>
      </c>
      <c r="B750" t="s">
        <v>1029</v>
      </c>
      <c r="C750" t="s">
        <v>282</v>
      </c>
      <c r="D750">
        <v>1981</v>
      </c>
      <c r="E750" t="s">
        <v>76</v>
      </c>
      <c r="F750" s="1">
        <v>45633</v>
      </c>
      <c r="G750">
        <v>3</v>
      </c>
      <c r="H750" t="s">
        <v>52</v>
      </c>
      <c r="I750" t="s">
        <v>81</v>
      </c>
      <c r="J750">
        <v>0.25</v>
      </c>
      <c r="K750">
        <v>116.25</v>
      </c>
      <c r="L750">
        <v>465</v>
      </c>
      <c r="M750">
        <v>348.75</v>
      </c>
      <c r="N750" t="s">
        <v>114</v>
      </c>
    </row>
    <row r="751" spans="1:14" x14ac:dyDescent="0.2">
      <c r="A751">
        <v>3750</v>
      </c>
      <c r="B751" t="s">
        <v>364</v>
      </c>
      <c r="C751" t="s">
        <v>1030</v>
      </c>
      <c r="D751">
        <v>1982</v>
      </c>
      <c r="E751" t="s">
        <v>42</v>
      </c>
      <c r="F751" s="1">
        <v>45615</v>
      </c>
      <c r="G751">
        <v>2</v>
      </c>
      <c r="H751" t="s">
        <v>32</v>
      </c>
      <c r="I751" t="s">
        <v>81</v>
      </c>
      <c r="J751">
        <v>0.25</v>
      </c>
      <c r="K751">
        <v>77.25</v>
      </c>
      <c r="L751">
        <v>309</v>
      </c>
      <c r="M751">
        <v>231.75</v>
      </c>
      <c r="N751" t="s">
        <v>34</v>
      </c>
    </row>
    <row r="752" spans="1:14" x14ac:dyDescent="0.2">
      <c r="A752">
        <v>3751</v>
      </c>
      <c r="B752" t="s">
        <v>34</v>
      </c>
      <c r="C752" t="s">
        <v>1031</v>
      </c>
      <c r="D752">
        <v>1983</v>
      </c>
      <c r="E752" t="s">
        <v>37</v>
      </c>
      <c r="F752" s="1">
        <v>45359</v>
      </c>
      <c r="G752">
        <v>1</v>
      </c>
      <c r="H752" t="s">
        <v>38</v>
      </c>
      <c r="I752" t="s">
        <v>47</v>
      </c>
      <c r="J752">
        <v>0.3</v>
      </c>
      <c r="K752">
        <v>311.7</v>
      </c>
      <c r="L752">
        <v>1039</v>
      </c>
      <c r="M752">
        <v>727.3</v>
      </c>
      <c r="N752" t="s">
        <v>48</v>
      </c>
    </row>
    <row r="753" spans="1:14" x14ac:dyDescent="0.2">
      <c r="A753">
        <v>3752</v>
      </c>
      <c r="B753" t="s">
        <v>1032</v>
      </c>
      <c r="C753" t="s">
        <v>1033</v>
      </c>
      <c r="D753">
        <v>1984</v>
      </c>
      <c r="E753" t="s">
        <v>76</v>
      </c>
      <c r="F753" s="1">
        <v>45599</v>
      </c>
      <c r="G753">
        <v>1</v>
      </c>
      <c r="H753" t="s">
        <v>38</v>
      </c>
      <c r="I753" t="s">
        <v>57</v>
      </c>
      <c r="J753">
        <v>0.25</v>
      </c>
      <c r="K753">
        <v>88.25</v>
      </c>
      <c r="L753">
        <v>353</v>
      </c>
      <c r="M753">
        <v>264.75</v>
      </c>
      <c r="N753" t="s">
        <v>114</v>
      </c>
    </row>
    <row r="754" spans="1:14" x14ac:dyDescent="0.2">
      <c r="A754">
        <v>3753</v>
      </c>
      <c r="B754" t="s">
        <v>562</v>
      </c>
      <c r="C754" t="s">
        <v>962</v>
      </c>
      <c r="D754">
        <v>1985</v>
      </c>
      <c r="E754" t="s">
        <v>51</v>
      </c>
      <c r="F754" s="1">
        <v>45313</v>
      </c>
      <c r="G754">
        <v>2</v>
      </c>
      <c r="H754" t="s">
        <v>32</v>
      </c>
      <c r="I754" t="s">
        <v>33</v>
      </c>
      <c r="J754">
        <v>0.2</v>
      </c>
      <c r="K754">
        <v>319.20000000000005</v>
      </c>
      <c r="L754">
        <v>1596</v>
      </c>
      <c r="M754">
        <v>1276.8</v>
      </c>
      <c r="N754" t="s">
        <v>54</v>
      </c>
    </row>
    <row r="755" spans="1:14" x14ac:dyDescent="0.2">
      <c r="A755">
        <v>3754</v>
      </c>
      <c r="B755" t="s">
        <v>1034</v>
      </c>
      <c r="C755" t="s">
        <v>1035</v>
      </c>
      <c r="D755">
        <v>1986</v>
      </c>
      <c r="E755" t="s">
        <v>37</v>
      </c>
      <c r="F755" s="1">
        <v>45510</v>
      </c>
      <c r="G755">
        <v>1</v>
      </c>
      <c r="H755" t="s">
        <v>52</v>
      </c>
      <c r="I755" t="s">
        <v>43</v>
      </c>
      <c r="J755">
        <v>0.3</v>
      </c>
      <c r="K755">
        <v>277.5</v>
      </c>
      <c r="L755">
        <v>925</v>
      </c>
      <c r="M755">
        <v>647.5</v>
      </c>
      <c r="N755" t="s">
        <v>34</v>
      </c>
    </row>
    <row r="756" spans="1:14" x14ac:dyDescent="0.2">
      <c r="A756">
        <v>3755</v>
      </c>
      <c r="B756" t="s">
        <v>1036</v>
      </c>
      <c r="C756" t="s">
        <v>1037</v>
      </c>
      <c r="D756">
        <v>1987</v>
      </c>
      <c r="E756" t="s">
        <v>37</v>
      </c>
      <c r="F756" s="1">
        <v>45585</v>
      </c>
      <c r="G756">
        <v>2</v>
      </c>
      <c r="H756" t="s">
        <v>32</v>
      </c>
      <c r="I756" t="s">
        <v>39</v>
      </c>
      <c r="J756">
        <v>0.3</v>
      </c>
      <c r="K756">
        <v>114.89999999999999</v>
      </c>
      <c r="L756">
        <v>383</v>
      </c>
      <c r="M756">
        <v>268.10000000000002</v>
      </c>
      <c r="N756" t="s">
        <v>114</v>
      </c>
    </row>
    <row r="757" spans="1:14" x14ac:dyDescent="0.2">
      <c r="A757">
        <v>3756</v>
      </c>
      <c r="B757" t="s">
        <v>1038</v>
      </c>
      <c r="C757" t="s">
        <v>134</v>
      </c>
      <c r="D757">
        <v>1988</v>
      </c>
      <c r="E757" t="s">
        <v>92</v>
      </c>
      <c r="F757" s="1">
        <v>45654</v>
      </c>
      <c r="G757">
        <v>3</v>
      </c>
      <c r="H757" t="s">
        <v>52</v>
      </c>
      <c r="I757" t="s">
        <v>81</v>
      </c>
      <c r="J757">
        <v>0.3</v>
      </c>
      <c r="K757">
        <v>210.6</v>
      </c>
      <c r="L757">
        <v>702</v>
      </c>
      <c r="M757">
        <v>491.4</v>
      </c>
      <c r="N757" t="s">
        <v>54</v>
      </c>
    </row>
    <row r="758" spans="1:14" x14ac:dyDescent="0.2">
      <c r="A758">
        <v>3757</v>
      </c>
      <c r="B758" t="s">
        <v>412</v>
      </c>
      <c r="C758" t="s">
        <v>1035</v>
      </c>
      <c r="D758">
        <v>1989</v>
      </c>
      <c r="E758" t="s">
        <v>92</v>
      </c>
      <c r="F758" s="1">
        <v>45647</v>
      </c>
      <c r="G758">
        <v>2</v>
      </c>
      <c r="H758" t="s">
        <v>52</v>
      </c>
      <c r="I758" t="s">
        <v>43</v>
      </c>
      <c r="J758">
        <v>0.3</v>
      </c>
      <c r="K758">
        <v>182.7</v>
      </c>
      <c r="L758">
        <v>609</v>
      </c>
      <c r="M758">
        <v>426.3</v>
      </c>
      <c r="N758" t="s">
        <v>34</v>
      </c>
    </row>
    <row r="759" spans="1:14" x14ac:dyDescent="0.2">
      <c r="A759">
        <v>3758</v>
      </c>
      <c r="B759" t="s">
        <v>677</v>
      </c>
      <c r="C759" t="s">
        <v>1039</v>
      </c>
      <c r="D759">
        <v>1990</v>
      </c>
      <c r="E759" t="s">
        <v>76</v>
      </c>
      <c r="F759" s="1">
        <v>45356</v>
      </c>
      <c r="G759">
        <v>1</v>
      </c>
      <c r="H759" t="s">
        <v>32</v>
      </c>
      <c r="I759" t="s">
        <v>33</v>
      </c>
      <c r="J759">
        <v>0.25</v>
      </c>
      <c r="K759">
        <v>66.75</v>
      </c>
      <c r="L759">
        <v>267</v>
      </c>
      <c r="M759">
        <v>200.25</v>
      </c>
      <c r="N759" t="s">
        <v>48</v>
      </c>
    </row>
    <row r="760" spans="1:14" x14ac:dyDescent="0.2">
      <c r="A760">
        <v>3759</v>
      </c>
      <c r="B760" t="s">
        <v>72</v>
      </c>
      <c r="C760" t="s">
        <v>1040</v>
      </c>
      <c r="D760">
        <v>1991</v>
      </c>
      <c r="E760" t="s">
        <v>42</v>
      </c>
      <c r="F760" s="1">
        <v>45419</v>
      </c>
      <c r="G760">
        <v>2</v>
      </c>
      <c r="H760" t="s">
        <v>32</v>
      </c>
      <c r="I760" t="s">
        <v>81</v>
      </c>
      <c r="J760">
        <v>0.25</v>
      </c>
      <c r="K760">
        <v>67.75</v>
      </c>
      <c r="L760">
        <v>271</v>
      </c>
      <c r="M760">
        <v>203.25</v>
      </c>
      <c r="N760" t="s">
        <v>54</v>
      </c>
    </row>
    <row r="761" spans="1:14" x14ac:dyDescent="0.2">
      <c r="A761">
        <v>3760</v>
      </c>
      <c r="B761" t="s">
        <v>547</v>
      </c>
      <c r="C761" t="s">
        <v>1041</v>
      </c>
      <c r="D761">
        <v>1992</v>
      </c>
      <c r="E761" t="s">
        <v>51</v>
      </c>
      <c r="F761" s="1">
        <v>45525</v>
      </c>
      <c r="G761">
        <v>3</v>
      </c>
      <c r="H761" t="s">
        <v>38</v>
      </c>
      <c r="I761" t="s">
        <v>53</v>
      </c>
      <c r="J761">
        <v>0.2</v>
      </c>
      <c r="K761">
        <v>50.6</v>
      </c>
      <c r="L761">
        <v>253</v>
      </c>
      <c r="M761">
        <v>202.4</v>
      </c>
      <c r="N761" t="s">
        <v>48</v>
      </c>
    </row>
    <row r="762" spans="1:14" x14ac:dyDescent="0.2">
      <c r="A762">
        <v>3761</v>
      </c>
      <c r="B762" t="s">
        <v>439</v>
      </c>
      <c r="C762" t="s">
        <v>382</v>
      </c>
      <c r="D762">
        <v>1993</v>
      </c>
      <c r="E762" t="s">
        <v>31</v>
      </c>
      <c r="F762" s="1">
        <v>45523</v>
      </c>
      <c r="G762">
        <v>3</v>
      </c>
      <c r="H762" t="s">
        <v>52</v>
      </c>
      <c r="I762" t="s">
        <v>53</v>
      </c>
      <c r="J762">
        <v>0.1</v>
      </c>
      <c r="K762">
        <v>80.900000000000006</v>
      </c>
      <c r="L762">
        <v>809</v>
      </c>
      <c r="M762">
        <v>728.1</v>
      </c>
      <c r="N762" t="s">
        <v>114</v>
      </c>
    </row>
    <row r="763" spans="1:14" x14ac:dyDescent="0.2">
      <c r="A763">
        <v>3762</v>
      </c>
      <c r="B763" t="s">
        <v>812</v>
      </c>
      <c r="C763" t="s">
        <v>492</v>
      </c>
      <c r="D763">
        <v>1994</v>
      </c>
      <c r="E763" t="s">
        <v>76</v>
      </c>
      <c r="F763" s="1">
        <v>45641</v>
      </c>
      <c r="G763">
        <v>1</v>
      </c>
      <c r="H763" t="s">
        <v>32</v>
      </c>
      <c r="I763" t="s">
        <v>64</v>
      </c>
      <c r="J763">
        <v>0.25</v>
      </c>
      <c r="K763">
        <v>166.25</v>
      </c>
      <c r="L763">
        <v>665</v>
      </c>
      <c r="M763">
        <v>498.75</v>
      </c>
      <c r="N763" t="s">
        <v>114</v>
      </c>
    </row>
    <row r="764" spans="1:14" x14ac:dyDescent="0.2">
      <c r="A764">
        <v>3763</v>
      </c>
      <c r="B764" t="s">
        <v>1042</v>
      </c>
      <c r="C764" t="s">
        <v>464</v>
      </c>
      <c r="D764">
        <v>1995</v>
      </c>
      <c r="E764" t="s">
        <v>31</v>
      </c>
      <c r="F764" s="1">
        <v>45452</v>
      </c>
      <c r="G764">
        <v>2</v>
      </c>
      <c r="H764" t="s">
        <v>32</v>
      </c>
      <c r="I764" t="s">
        <v>33</v>
      </c>
      <c r="J764">
        <v>0.1</v>
      </c>
      <c r="K764">
        <v>107.10000000000001</v>
      </c>
      <c r="L764">
        <v>1071</v>
      </c>
      <c r="M764">
        <v>963.9</v>
      </c>
      <c r="N764" t="s">
        <v>48</v>
      </c>
    </row>
    <row r="765" spans="1:14" x14ac:dyDescent="0.2">
      <c r="A765">
        <v>3764</v>
      </c>
      <c r="B765" t="s">
        <v>1043</v>
      </c>
      <c r="C765" t="s">
        <v>1040</v>
      </c>
      <c r="D765">
        <v>1996</v>
      </c>
      <c r="E765" t="s">
        <v>51</v>
      </c>
      <c r="F765" s="1">
        <v>45591</v>
      </c>
      <c r="G765">
        <v>2</v>
      </c>
      <c r="H765" t="s">
        <v>52</v>
      </c>
      <c r="I765" t="s">
        <v>53</v>
      </c>
      <c r="J765">
        <v>0.2</v>
      </c>
      <c r="K765">
        <v>149</v>
      </c>
      <c r="L765">
        <v>745</v>
      </c>
      <c r="M765">
        <v>596</v>
      </c>
      <c r="N765" t="s">
        <v>54</v>
      </c>
    </row>
    <row r="766" spans="1:14" x14ac:dyDescent="0.2">
      <c r="A766">
        <v>3765</v>
      </c>
      <c r="B766" t="s">
        <v>813</v>
      </c>
      <c r="C766" t="s">
        <v>1044</v>
      </c>
      <c r="D766">
        <v>1997</v>
      </c>
      <c r="E766" t="s">
        <v>31</v>
      </c>
      <c r="F766" s="1">
        <v>45364</v>
      </c>
      <c r="G766">
        <v>1</v>
      </c>
      <c r="H766" t="s">
        <v>52</v>
      </c>
      <c r="I766" t="s">
        <v>64</v>
      </c>
      <c r="J766">
        <v>0.1</v>
      </c>
      <c r="K766">
        <v>117.60000000000001</v>
      </c>
      <c r="L766">
        <v>1176</v>
      </c>
      <c r="M766">
        <v>1058.4000000000001</v>
      </c>
      <c r="N766" t="s">
        <v>114</v>
      </c>
    </row>
    <row r="767" spans="1:14" x14ac:dyDescent="0.2">
      <c r="A767">
        <v>3766</v>
      </c>
      <c r="B767" t="s">
        <v>104</v>
      </c>
      <c r="C767" t="s">
        <v>1045</v>
      </c>
      <c r="D767">
        <v>1998</v>
      </c>
      <c r="E767" t="s">
        <v>76</v>
      </c>
      <c r="F767" s="1">
        <v>45355</v>
      </c>
      <c r="G767">
        <v>2</v>
      </c>
      <c r="H767" t="s">
        <v>71</v>
      </c>
      <c r="I767" t="s">
        <v>81</v>
      </c>
      <c r="J767">
        <v>0.25</v>
      </c>
      <c r="K767">
        <v>261.25</v>
      </c>
      <c r="L767">
        <v>1045</v>
      </c>
      <c r="M767">
        <v>783.75</v>
      </c>
      <c r="N767" t="s">
        <v>54</v>
      </c>
    </row>
    <row r="768" spans="1:14" x14ac:dyDescent="0.2">
      <c r="A768">
        <v>3767</v>
      </c>
      <c r="B768" t="s">
        <v>718</v>
      </c>
      <c r="C768" t="s">
        <v>1041</v>
      </c>
      <c r="D768">
        <v>1999</v>
      </c>
      <c r="E768" t="s">
        <v>51</v>
      </c>
      <c r="F768" s="1">
        <v>45511</v>
      </c>
      <c r="G768">
        <v>3</v>
      </c>
      <c r="H768" t="s">
        <v>32</v>
      </c>
      <c r="I768" t="s">
        <v>33</v>
      </c>
      <c r="J768">
        <v>0.2</v>
      </c>
      <c r="K768">
        <v>11.4</v>
      </c>
      <c r="L768">
        <v>57</v>
      </c>
      <c r="M768">
        <v>45.6</v>
      </c>
      <c r="N768" t="s">
        <v>48</v>
      </c>
    </row>
    <row r="769" spans="1:14" x14ac:dyDescent="0.2">
      <c r="A769">
        <v>3768</v>
      </c>
      <c r="B769" t="s">
        <v>1046</v>
      </c>
      <c r="C769" t="s">
        <v>410</v>
      </c>
      <c r="D769">
        <v>2000</v>
      </c>
      <c r="E769" t="s">
        <v>76</v>
      </c>
      <c r="F769" s="1">
        <v>45653</v>
      </c>
      <c r="G769">
        <v>2</v>
      </c>
      <c r="H769" t="s">
        <v>52</v>
      </c>
      <c r="I769" t="s">
        <v>33</v>
      </c>
      <c r="J769">
        <v>0.25</v>
      </c>
      <c r="K769">
        <v>151.75</v>
      </c>
      <c r="L769">
        <v>607</v>
      </c>
      <c r="M769">
        <v>455.25</v>
      </c>
      <c r="N769" t="s">
        <v>34</v>
      </c>
    </row>
    <row r="770" spans="1:14" x14ac:dyDescent="0.2">
      <c r="A770">
        <v>3769</v>
      </c>
      <c r="B770" t="s">
        <v>137</v>
      </c>
      <c r="C770" t="s">
        <v>625</v>
      </c>
      <c r="D770">
        <v>2001</v>
      </c>
      <c r="E770" t="s">
        <v>76</v>
      </c>
      <c r="F770" s="1">
        <v>45369</v>
      </c>
      <c r="G770">
        <v>1</v>
      </c>
      <c r="H770" t="s">
        <v>32</v>
      </c>
      <c r="I770" t="s">
        <v>43</v>
      </c>
      <c r="J770">
        <v>0.25</v>
      </c>
      <c r="K770">
        <v>66.75</v>
      </c>
      <c r="L770">
        <v>267</v>
      </c>
      <c r="M770">
        <v>200.25</v>
      </c>
      <c r="N770" t="s">
        <v>54</v>
      </c>
    </row>
    <row r="771" spans="1:14" x14ac:dyDescent="0.2">
      <c r="A771">
        <v>3770</v>
      </c>
      <c r="B771" t="s">
        <v>396</v>
      </c>
      <c r="C771" t="s">
        <v>778</v>
      </c>
      <c r="D771">
        <v>2002</v>
      </c>
      <c r="E771" t="s">
        <v>76</v>
      </c>
      <c r="F771" s="1">
        <v>45552</v>
      </c>
      <c r="G771">
        <v>2</v>
      </c>
      <c r="H771" t="s">
        <v>52</v>
      </c>
      <c r="I771" t="s">
        <v>47</v>
      </c>
      <c r="J771">
        <v>0.25</v>
      </c>
      <c r="K771">
        <v>14</v>
      </c>
      <c r="L771">
        <v>56</v>
      </c>
      <c r="M771">
        <v>42</v>
      </c>
      <c r="N771" t="s">
        <v>114</v>
      </c>
    </row>
    <row r="772" spans="1:14" x14ac:dyDescent="0.2">
      <c r="A772">
        <v>3771</v>
      </c>
      <c r="B772" t="s">
        <v>269</v>
      </c>
      <c r="C772" t="s">
        <v>1047</v>
      </c>
      <c r="D772">
        <v>2003</v>
      </c>
      <c r="E772" t="s">
        <v>37</v>
      </c>
      <c r="F772" s="1">
        <v>45651</v>
      </c>
      <c r="G772">
        <v>2</v>
      </c>
      <c r="H772" t="s">
        <v>52</v>
      </c>
      <c r="I772" t="s">
        <v>43</v>
      </c>
      <c r="J772">
        <v>0.3</v>
      </c>
      <c r="K772">
        <v>276.3</v>
      </c>
      <c r="L772">
        <v>921</v>
      </c>
      <c r="M772">
        <v>644.70000000000005</v>
      </c>
      <c r="N772" t="s">
        <v>44</v>
      </c>
    </row>
    <row r="773" spans="1:14" x14ac:dyDescent="0.2">
      <c r="A773">
        <v>3772</v>
      </c>
      <c r="B773" t="s">
        <v>660</v>
      </c>
      <c r="C773" t="s">
        <v>973</v>
      </c>
      <c r="D773">
        <v>2004</v>
      </c>
      <c r="E773" t="s">
        <v>31</v>
      </c>
      <c r="F773" s="1">
        <v>45622</v>
      </c>
      <c r="G773">
        <v>3</v>
      </c>
      <c r="H773" t="s">
        <v>52</v>
      </c>
      <c r="I773" t="s">
        <v>43</v>
      </c>
      <c r="J773">
        <v>0.1</v>
      </c>
      <c r="K773">
        <v>143.20000000000002</v>
      </c>
      <c r="L773">
        <v>1432</v>
      </c>
      <c r="M773">
        <v>1288.8</v>
      </c>
      <c r="N773" t="s">
        <v>44</v>
      </c>
    </row>
    <row r="774" spans="1:14" x14ac:dyDescent="0.2">
      <c r="A774">
        <v>3773</v>
      </c>
      <c r="B774" t="s">
        <v>349</v>
      </c>
      <c r="C774" t="s">
        <v>1048</v>
      </c>
      <c r="D774">
        <v>2005</v>
      </c>
      <c r="E774" t="s">
        <v>92</v>
      </c>
      <c r="F774" s="1">
        <v>45327</v>
      </c>
      <c r="G774">
        <v>2</v>
      </c>
      <c r="H774" t="s">
        <v>32</v>
      </c>
      <c r="I774" t="s">
        <v>57</v>
      </c>
      <c r="J774">
        <v>0.3</v>
      </c>
      <c r="K774">
        <v>152.1</v>
      </c>
      <c r="L774">
        <v>507</v>
      </c>
      <c r="M774">
        <v>354.9</v>
      </c>
      <c r="N774" t="s">
        <v>34</v>
      </c>
    </row>
    <row r="775" spans="1:14" x14ac:dyDescent="0.2">
      <c r="A775">
        <v>3774</v>
      </c>
      <c r="B775" t="s">
        <v>848</v>
      </c>
      <c r="C775" t="s">
        <v>203</v>
      </c>
      <c r="D775">
        <v>2006</v>
      </c>
      <c r="E775" t="s">
        <v>51</v>
      </c>
      <c r="F775" s="1">
        <v>45591</v>
      </c>
      <c r="G775">
        <v>3</v>
      </c>
      <c r="H775" t="s">
        <v>52</v>
      </c>
      <c r="I775" t="s">
        <v>43</v>
      </c>
      <c r="J775">
        <v>0.2</v>
      </c>
      <c r="K775">
        <v>93.600000000000009</v>
      </c>
      <c r="L775">
        <v>468</v>
      </c>
      <c r="M775">
        <v>374.4</v>
      </c>
      <c r="N775" t="s">
        <v>44</v>
      </c>
    </row>
    <row r="776" spans="1:14" x14ac:dyDescent="0.2">
      <c r="A776">
        <v>3775</v>
      </c>
      <c r="B776" t="s">
        <v>396</v>
      </c>
      <c r="C776" t="s">
        <v>920</v>
      </c>
      <c r="D776">
        <v>2007</v>
      </c>
      <c r="E776" t="s">
        <v>51</v>
      </c>
      <c r="F776" s="1">
        <v>45361</v>
      </c>
      <c r="G776">
        <v>1</v>
      </c>
      <c r="H776" t="s">
        <v>52</v>
      </c>
      <c r="I776" t="s">
        <v>43</v>
      </c>
      <c r="J776">
        <v>0.2</v>
      </c>
      <c r="K776">
        <v>141</v>
      </c>
      <c r="L776">
        <v>705</v>
      </c>
      <c r="M776">
        <v>564</v>
      </c>
      <c r="N776" t="s">
        <v>54</v>
      </c>
    </row>
    <row r="777" spans="1:14" x14ac:dyDescent="0.2">
      <c r="A777">
        <v>3776</v>
      </c>
      <c r="B777" t="s">
        <v>566</v>
      </c>
      <c r="C777" t="s">
        <v>63</v>
      </c>
      <c r="D777">
        <v>2008</v>
      </c>
      <c r="E777" t="s">
        <v>37</v>
      </c>
      <c r="F777" s="1">
        <v>45617</v>
      </c>
      <c r="G777">
        <v>2</v>
      </c>
      <c r="H777" t="s">
        <v>52</v>
      </c>
      <c r="I777" t="s">
        <v>33</v>
      </c>
      <c r="J777">
        <v>0.3</v>
      </c>
      <c r="K777">
        <v>187.5</v>
      </c>
      <c r="L777">
        <v>625</v>
      </c>
      <c r="M777">
        <v>437.5</v>
      </c>
      <c r="N777" t="s">
        <v>114</v>
      </c>
    </row>
    <row r="778" spans="1:14" x14ac:dyDescent="0.2">
      <c r="A778">
        <v>3777</v>
      </c>
      <c r="B778" t="s">
        <v>30</v>
      </c>
      <c r="C778" t="s">
        <v>96</v>
      </c>
      <c r="D778">
        <v>2009</v>
      </c>
      <c r="E778" t="s">
        <v>92</v>
      </c>
      <c r="F778" s="1">
        <v>45293</v>
      </c>
      <c r="G778">
        <v>2</v>
      </c>
      <c r="H778" t="s">
        <v>38</v>
      </c>
      <c r="I778" t="s">
        <v>57</v>
      </c>
      <c r="J778">
        <v>0.3</v>
      </c>
      <c r="K778">
        <v>429.59999999999997</v>
      </c>
      <c r="L778">
        <v>1432</v>
      </c>
      <c r="M778">
        <v>1002.4000000000001</v>
      </c>
      <c r="N778" t="s">
        <v>34</v>
      </c>
    </row>
    <row r="779" spans="1:14" x14ac:dyDescent="0.2">
      <c r="A779">
        <v>3778</v>
      </c>
      <c r="B779" t="s">
        <v>1049</v>
      </c>
      <c r="C779" t="s">
        <v>1050</v>
      </c>
      <c r="D779">
        <v>2010</v>
      </c>
      <c r="E779" t="s">
        <v>31</v>
      </c>
      <c r="F779" s="1">
        <v>45323</v>
      </c>
      <c r="G779">
        <v>1</v>
      </c>
      <c r="H779" t="s">
        <v>52</v>
      </c>
      <c r="I779" t="s">
        <v>64</v>
      </c>
      <c r="J779">
        <v>0.1</v>
      </c>
      <c r="K779">
        <v>34.4</v>
      </c>
      <c r="L779">
        <v>344</v>
      </c>
      <c r="M779">
        <v>309.60000000000002</v>
      </c>
      <c r="N779" t="s">
        <v>48</v>
      </c>
    </row>
    <row r="780" spans="1:14" x14ac:dyDescent="0.2">
      <c r="A780">
        <v>3779</v>
      </c>
      <c r="B780" t="s">
        <v>992</v>
      </c>
      <c r="C780" t="s">
        <v>1051</v>
      </c>
      <c r="D780">
        <v>2011</v>
      </c>
      <c r="E780" t="s">
        <v>92</v>
      </c>
      <c r="F780" s="1">
        <v>45557</v>
      </c>
      <c r="G780">
        <v>1</v>
      </c>
      <c r="H780" t="s">
        <v>32</v>
      </c>
      <c r="I780" t="s">
        <v>47</v>
      </c>
      <c r="J780">
        <v>0.3</v>
      </c>
      <c r="K780">
        <v>354.59999999999997</v>
      </c>
      <c r="L780">
        <v>1182</v>
      </c>
      <c r="M780">
        <v>827.40000000000009</v>
      </c>
      <c r="N780" t="s">
        <v>34</v>
      </c>
    </row>
    <row r="781" spans="1:14" x14ac:dyDescent="0.2">
      <c r="A781">
        <v>3780</v>
      </c>
      <c r="B781" t="s">
        <v>1036</v>
      </c>
      <c r="C781" t="s">
        <v>246</v>
      </c>
      <c r="D781">
        <v>2012</v>
      </c>
      <c r="E781" t="s">
        <v>51</v>
      </c>
      <c r="F781" s="1">
        <v>45450</v>
      </c>
      <c r="G781">
        <v>2</v>
      </c>
      <c r="H781" t="s">
        <v>32</v>
      </c>
      <c r="I781" t="s">
        <v>81</v>
      </c>
      <c r="J781">
        <v>0.2</v>
      </c>
      <c r="K781">
        <v>304.2</v>
      </c>
      <c r="L781">
        <v>1521</v>
      </c>
      <c r="M781">
        <v>1216.8</v>
      </c>
      <c r="N781" t="s">
        <v>114</v>
      </c>
    </row>
    <row r="782" spans="1:14" x14ac:dyDescent="0.2">
      <c r="A782">
        <v>3781</v>
      </c>
      <c r="B782" t="s">
        <v>696</v>
      </c>
      <c r="C782" t="s">
        <v>1052</v>
      </c>
      <c r="D782">
        <v>2013</v>
      </c>
      <c r="E782" t="s">
        <v>76</v>
      </c>
      <c r="F782" s="1">
        <v>45585</v>
      </c>
      <c r="G782">
        <v>3</v>
      </c>
      <c r="H782" t="s">
        <v>32</v>
      </c>
      <c r="I782" t="s">
        <v>47</v>
      </c>
      <c r="J782">
        <v>0.25</v>
      </c>
      <c r="K782">
        <v>63.25</v>
      </c>
      <c r="L782">
        <v>253</v>
      </c>
      <c r="M782">
        <v>189.75</v>
      </c>
      <c r="N782" t="s">
        <v>34</v>
      </c>
    </row>
    <row r="783" spans="1:14" x14ac:dyDescent="0.2">
      <c r="A783">
        <v>3782</v>
      </c>
      <c r="B783" t="s">
        <v>1053</v>
      </c>
      <c r="C783" t="s">
        <v>711</v>
      </c>
      <c r="D783">
        <v>2014</v>
      </c>
      <c r="E783" t="s">
        <v>92</v>
      </c>
      <c r="F783" s="1">
        <v>45333</v>
      </c>
      <c r="G783">
        <v>3</v>
      </c>
      <c r="H783" t="s">
        <v>32</v>
      </c>
      <c r="I783" t="s">
        <v>33</v>
      </c>
      <c r="J783">
        <v>0.3</v>
      </c>
      <c r="K783">
        <v>384.9</v>
      </c>
      <c r="L783">
        <v>1283</v>
      </c>
      <c r="M783">
        <v>898.1</v>
      </c>
      <c r="N783" t="s">
        <v>44</v>
      </c>
    </row>
    <row r="784" spans="1:14" x14ac:dyDescent="0.2">
      <c r="A784">
        <v>3783</v>
      </c>
      <c r="B784" t="s">
        <v>1054</v>
      </c>
      <c r="C784" t="s">
        <v>126</v>
      </c>
      <c r="D784">
        <v>2015</v>
      </c>
      <c r="E784" t="s">
        <v>42</v>
      </c>
      <c r="F784" s="1">
        <v>45456</v>
      </c>
      <c r="G784">
        <v>1</v>
      </c>
      <c r="H784" t="s">
        <v>32</v>
      </c>
      <c r="I784" t="s">
        <v>47</v>
      </c>
      <c r="J784">
        <v>0.25</v>
      </c>
      <c r="K784">
        <v>287.5</v>
      </c>
      <c r="L784">
        <v>1150</v>
      </c>
      <c r="M784">
        <v>862.5</v>
      </c>
      <c r="N784" t="s">
        <v>54</v>
      </c>
    </row>
    <row r="785" spans="1:14" x14ac:dyDescent="0.2">
      <c r="A785">
        <v>3784</v>
      </c>
      <c r="B785" t="s">
        <v>1055</v>
      </c>
      <c r="C785" t="s">
        <v>1056</v>
      </c>
      <c r="D785">
        <v>2016</v>
      </c>
      <c r="E785" t="s">
        <v>76</v>
      </c>
      <c r="F785" s="1">
        <v>45426</v>
      </c>
      <c r="G785">
        <v>2</v>
      </c>
      <c r="H785" t="s">
        <v>32</v>
      </c>
      <c r="I785" t="s">
        <v>33</v>
      </c>
      <c r="J785">
        <v>0.25</v>
      </c>
      <c r="K785">
        <v>312</v>
      </c>
      <c r="L785">
        <v>1248</v>
      </c>
      <c r="M785">
        <v>936</v>
      </c>
      <c r="N785" t="s">
        <v>48</v>
      </c>
    </row>
    <row r="786" spans="1:14" x14ac:dyDescent="0.2">
      <c r="A786">
        <v>3785</v>
      </c>
      <c r="B786" t="s">
        <v>1057</v>
      </c>
      <c r="C786" t="s">
        <v>1058</v>
      </c>
      <c r="D786">
        <v>2017</v>
      </c>
      <c r="E786" t="s">
        <v>92</v>
      </c>
      <c r="F786" s="1">
        <v>45642</v>
      </c>
      <c r="G786">
        <v>3</v>
      </c>
      <c r="H786" t="s">
        <v>32</v>
      </c>
      <c r="I786" t="s">
        <v>47</v>
      </c>
      <c r="J786">
        <v>0.3</v>
      </c>
      <c r="K786">
        <v>434.09999999999997</v>
      </c>
      <c r="L786">
        <v>1447</v>
      </c>
      <c r="M786">
        <v>1012.9000000000001</v>
      </c>
      <c r="N786" t="s">
        <v>114</v>
      </c>
    </row>
    <row r="787" spans="1:14" x14ac:dyDescent="0.2">
      <c r="A787">
        <v>3786</v>
      </c>
      <c r="B787" t="s">
        <v>562</v>
      </c>
      <c r="C787" t="s">
        <v>1056</v>
      </c>
      <c r="D787">
        <v>2018</v>
      </c>
      <c r="E787" t="s">
        <v>51</v>
      </c>
      <c r="F787" s="1">
        <v>45470</v>
      </c>
      <c r="G787">
        <v>3</v>
      </c>
      <c r="H787" t="s">
        <v>32</v>
      </c>
      <c r="I787" t="s">
        <v>53</v>
      </c>
      <c r="J787">
        <v>0.2</v>
      </c>
      <c r="K787">
        <v>106</v>
      </c>
      <c r="L787">
        <v>530</v>
      </c>
      <c r="M787">
        <v>424</v>
      </c>
      <c r="N787" t="s">
        <v>44</v>
      </c>
    </row>
    <row r="788" spans="1:14" x14ac:dyDescent="0.2">
      <c r="A788">
        <v>3787</v>
      </c>
      <c r="B788" t="s">
        <v>573</v>
      </c>
      <c r="C788" t="s">
        <v>891</v>
      </c>
      <c r="D788">
        <v>2019</v>
      </c>
      <c r="E788" t="s">
        <v>76</v>
      </c>
      <c r="F788" s="1">
        <v>45548</v>
      </c>
      <c r="G788">
        <v>1</v>
      </c>
      <c r="H788" t="s">
        <v>32</v>
      </c>
      <c r="I788" t="s">
        <v>43</v>
      </c>
      <c r="J788">
        <v>0.25</v>
      </c>
      <c r="K788">
        <v>205.75</v>
      </c>
      <c r="L788">
        <v>823</v>
      </c>
      <c r="M788">
        <v>617.25</v>
      </c>
      <c r="N788" t="s">
        <v>44</v>
      </c>
    </row>
    <row r="789" spans="1:14" x14ac:dyDescent="0.2">
      <c r="A789">
        <v>3788</v>
      </c>
      <c r="B789" t="s">
        <v>564</v>
      </c>
      <c r="C789" t="s">
        <v>841</v>
      </c>
      <c r="D789">
        <v>2020</v>
      </c>
      <c r="E789" t="s">
        <v>31</v>
      </c>
      <c r="F789" s="1">
        <v>45511</v>
      </c>
      <c r="G789">
        <v>1</v>
      </c>
      <c r="H789" t="s">
        <v>52</v>
      </c>
      <c r="I789" t="s">
        <v>57</v>
      </c>
      <c r="J789">
        <v>0.1</v>
      </c>
      <c r="K789">
        <v>122.7</v>
      </c>
      <c r="L789">
        <v>1227</v>
      </c>
      <c r="M789">
        <v>1104.3</v>
      </c>
      <c r="N789" t="s">
        <v>44</v>
      </c>
    </row>
    <row r="790" spans="1:14" x14ac:dyDescent="0.2">
      <c r="A790">
        <v>3789</v>
      </c>
      <c r="B790" t="s">
        <v>1059</v>
      </c>
      <c r="C790" t="s">
        <v>798</v>
      </c>
      <c r="D790">
        <v>2021</v>
      </c>
      <c r="E790" t="s">
        <v>42</v>
      </c>
      <c r="F790" s="1">
        <v>45594</v>
      </c>
      <c r="G790">
        <v>1</v>
      </c>
      <c r="H790" t="s">
        <v>38</v>
      </c>
      <c r="I790" t="s">
        <v>53</v>
      </c>
      <c r="J790">
        <v>0.25</v>
      </c>
      <c r="K790">
        <v>262.25</v>
      </c>
      <c r="L790">
        <v>1049</v>
      </c>
      <c r="M790">
        <v>786.75</v>
      </c>
      <c r="N790" t="s">
        <v>44</v>
      </c>
    </row>
    <row r="791" spans="1:14" x14ac:dyDescent="0.2">
      <c r="A791">
        <v>3790</v>
      </c>
      <c r="B791" t="s">
        <v>1060</v>
      </c>
      <c r="C791" t="s">
        <v>236</v>
      </c>
      <c r="D791">
        <v>2022</v>
      </c>
      <c r="E791" t="s">
        <v>37</v>
      </c>
      <c r="F791" s="1">
        <v>45556</v>
      </c>
      <c r="G791">
        <v>3</v>
      </c>
      <c r="H791" t="s">
        <v>52</v>
      </c>
      <c r="I791" t="s">
        <v>39</v>
      </c>
      <c r="J791">
        <v>0.3</v>
      </c>
      <c r="K791">
        <v>195.9</v>
      </c>
      <c r="L791">
        <v>653</v>
      </c>
      <c r="M791">
        <v>457.1</v>
      </c>
      <c r="N791" t="s">
        <v>114</v>
      </c>
    </row>
    <row r="792" spans="1:14" x14ac:dyDescent="0.2">
      <c r="A792">
        <v>3791</v>
      </c>
      <c r="B792" t="s">
        <v>1061</v>
      </c>
      <c r="C792" t="s">
        <v>1062</v>
      </c>
      <c r="D792">
        <v>2023</v>
      </c>
      <c r="E792" t="s">
        <v>92</v>
      </c>
      <c r="F792" s="1">
        <v>45528</v>
      </c>
      <c r="G792">
        <v>3</v>
      </c>
      <c r="H792" t="s">
        <v>52</v>
      </c>
      <c r="I792" t="s">
        <v>64</v>
      </c>
      <c r="J792">
        <v>0.3</v>
      </c>
      <c r="K792">
        <v>382.8</v>
      </c>
      <c r="L792">
        <v>1276</v>
      </c>
      <c r="M792">
        <v>893.2</v>
      </c>
      <c r="N792" t="s">
        <v>48</v>
      </c>
    </row>
    <row r="793" spans="1:14" x14ac:dyDescent="0.2">
      <c r="A793">
        <v>3792</v>
      </c>
      <c r="B793" t="s">
        <v>905</v>
      </c>
      <c r="C793" t="s">
        <v>835</v>
      </c>
      <c r="D793">
        <v>2024</v>
      </c>
      <c r="E793" t="s">
        <v>76</v>
      </c>
      <c r="F793" s="1">
        <v>45475</v>
      </c>
      <c r="G793">
        <v>2</v>
      </c>
      <c r="H793" t="s">
        <v>71</v>
      </c>
      <c r="I793" t="s">
        <v>64</v>
      </c>
      <c r="J793">
        <v>0.25</v>
      </c>
      <c r="K793">
        <v>245.25</v>
      </c>
      <c r="L793">
        <v>981</v>
      </c>
      <c r="M793">
        <v>735.75</v>
      </c>
      <c r="N793" t="s">
        <v>48</v>
      </c>
    </row>
    <row r="794" spans="1:14" x14ac:dyDescent="0.2">
      <c r="A794">
        <v>3793</v>
      </c>
      <c r="B794" t="s">
        <v>1063</v>
      </c>
      <c r="C794" t="s">
        <v>602</v>
      </c>
      <c r="D794">
        <v>2025</v>
      </c>
      <c r="E794" t="s">
        <v>76</v>
      </c>
      <c r="F794" s="1">
        <v>45612</v>
      </c>
      <c r="G794">
        <v>1</v>
      </c>
      <c r="H794" t="s">
        <v>32</v>
      </c>
      <c r="I794" t="s">
        <v>47</v>
      </c>
      <c r="J794">
        <v>0.25</v>
      </c>
      <c r="K794">
        <v>27.75</v>
      </c>
      <c r="L794">
        <v>111</v>
      </c>
      <c r="M794">
        <v>83.25</v>
      </c>
      <c r="N794" t="s">
        <v>54</v>
      </c>
    </row>
    <row r="795" spans="1:14" x14ac:dyDescent="0.2">
      <c r="A795">
        <v>3794</v>
      </c>
      <c r="B795" t="s">
        <v>674</v>
      </c>
      <c r="C795" t="s">
        <v>863</v>
      </c>
      <c r="D795">
        <v>2026</v>
      </c>
      <c r="E795" t="s">
        <v>92</v>
      </c>
      <c r="F795" s="1">
        <v>45478</v>
      </c>
      <c r="G795">
        <v>3</v>
      </c>
      <c r="H795" t="s">
        <v>32</v>
      </c>
      <c r="I795" t="s">
        <v>53</v>
      </c>
      <c r="J795">
        <v>0.3</v>
      </c>
      <c r="K795">
        <v>206.7</v>
      </c>
      <c r="L795">
        <v>689</v>
      </c>
      <c r="M795">
        <v>482.3</v>
      </c>
      <c r="N795" t="s">
        <v>48</v>
      </c>
    </row>
    <row r="796" spans="1:14" x14ac:dyDescent="0.2">
      <c r="A796">
        <v>3795</v>
      </c>
      <c r="B796" t="s">
        <v>1064</v>
      </c>
      <c r="C796" t="s">
        <v>1065</v>
      </c>
      <c r="D796">
        <v>2027</v>
      </c>
      <c r="E796" t="s">
        <v>76</v>
      </c>
      <c r="F796" s="1">
        <v>45623</v>
      </c>
      <c r="G796">
        <v>1</v>
      </c>
      <c r="H796" t="s">
        <v>32</v>
      </c>
      <c r="I796" t="s">
        <v>81</v>
      </c>
      <c r="J796">
        <v>0.25</v>
      </c>
      <c r="K796">
        <v>301.75</v>
      </c>
      <c r="L796">
        <v>1207</v>
      </c>
      <c r="M796">
        <v>905.25</v>
      </c>
      <c r="N796" t="s">
        <v>48</v>
      </c>
    </row>
    <row r="797" spans="1:14" x14ac:dyDescent="0.2">
      <c r="A797">
        <v>3796</v>
      </c>
      <c r="B797" t="s">
        <v>1066</v>
      </c>
      <c r="C797" t="s">
        <v>715</v>
      </c>
      <c r="D797">
        <v>2028</v>
      </c>
      <c r="E797" t="s">
        <v>31</v>
      </c>
      <c r="F797" s="1">
        <v>45370</v>
      </c>
      <c r="G797">
        <v>1</v>
      </c>
      <c r="H797" t="s">
        <v>32</v>
      </c>
      <c r="I797" t="s">
        <v>81</v>
      </c>
      <c r="J797">
        <v>0.1</v>
      </c>
      <c r="K797">
        <v>134.1</v>
      </c>
      <c r="L797">
        <v>1341</v>
      </c>
      <c r="M797">
        <v>1206.9000000000001</v>
      </c>
      <c r="N797" t="s">
        <v>114</v>
      </c>
    </row>
    <row r="798" spans="1:14" x14ac:dyDescent="0.2">
      <c r="A798">
        <v>3797</v>
      </c>
      <c r="B798" t="s">
        <v>1067</v>
      </c>
      <c r="C798" t="s">
        <v>1068</v>
      </c>
      <c r="D798">
        <v>2029</v>
      </c>
      <c r="E798" t="s">
        <v>31</v>
      </c>
      <c r="F798" s="1">
        <v>45539</v>
      </c>
      <c r="G798">
        <v>2</v>
      </c>
      <c r="H798" t="s">
        <v>52</v>
      </c>
      <c r="I798" t="s">
        <v>33</v>
      </c>
      <c r="J798">
        <v>0.1</v>
      </c>
      <c r="K798">
        <v>40.5</v>
      </c>
      <c r="L798">
        <v>405</v>
      </c>
      <c r="M798">
        <v>364.5</v>
      </c>
      <c r="N798" t="s">
        <v>44</v>
      </c>
    </row>
    <row r="799" spans="1:14" x14ac:dyDescent="0.2">
      <c r="A799">
        <v>3798</v>
      </c>
      <c r="B799" t="s">
        <v>708</v>
      </c>
      <c r="C799" t="s">
        <v>725</v>
      </c>
      <c r="D799">
        <v>2030</v>
      </c>
      <c r="E799" t="s">
        <v>76</v>
      </c>
      <c r="F799" s="1">
        <v>45546</v>
      </c>
      <c r="G799">
        <v>1</v>
      </c>
      <c r="H799" t="s">
        <v>52</v>
      </c>
      <c r="I799" t="s">
        <v>47</v>
      </c>
      <c r="J799">
        <v>0.25</v>
      </c>
      <c r="K799">
        <v>300.75</v>
      </c>
      <c r="L799">
        <v>1203</v>
      </c>
      <c r="M799">
        <v>902.25</v>
      </c>
      <c r="N799" t="s">
        <v>114</v>
      </c>
    </row>
    <row r="800" spans="1:14" x14ac:dyDescent="0.2">
      <c r="A800">
        <v>3799</v>
      </c>
      <c r="B800" t="s">
        <v>675</v>
      </c>
      <c r="C800" t="s">
        <v>1069</v>
      </c>
      <c r="D800">
        <v>2031</v>
      </c>
      <c r="E800" t="s">
        <v>31</v>
      </c>
      <c r="F800" s="1">
        <v>45492</v>
      </c>
      <c r="G800">
        <v>2</v>
      </c>
      <c r="H800" t="s">
        <v>32</v>
      </c>
      <c r="I800" t="s">
        <v>47</v>
      </c>
      <c r="J800">
        <v>0.1</v>
      </c>
      <c r="K800">
        <v>61.6</v>
      </c>
      <c r="L800">
        <v>616</v>
      </c>
      <c r="M800">
        <v>554.4</v>
      </c>
      <c r="N800" t="s">
        <v>44</v>
      </c>
    </row>
    <row r="801" spans="1:14" x14ac:dyDescent="0.2">
      <c r="A801">
        <v>3800</v>
      </c>
      <c r="B801" t="s">
        <v>842</v>
      </c>
      <c r="C801" t="s">
        <v>983</v>
      </c>
      <c r="D801">
        <v>2032</v>
      </c>
      <c r="E801" t="s">
        <v>42</v>
      </c>
      <c r="F801" s="1">
        <v>45389</v>
      </c>
      <c r="G801">
        <v>3</v>
      </c>
      <c r="H801" t="s">
        <v>32</v>
      </c>
      <c r="I801" t="s">
        <v>39</v>
      </c>
      <c r="J801">
        <v>0.25</v>
      </c>
      <c r="K801">
        <v>155.5</v>
      </c>
      <c r="L801">
        <v>622</v>
      </c>
      <c r="M801">
        <v>466.5</v>
      </c>
      <c r="N801" t="s">
        <v>54</v>
      </c>
    </row>
    <row r="802" spans="1:14" x14ac:dyDescent="0.2">
      <c r="A802">
        <v>3801</v>
      </c>
      <c r="B802" t="s">
        <v>1046</v>
      </c>
      <c r="C802" t="s">
        <v>845</v>
      </c>
      <c r="D802">
        <v>2033</v>
      </c>
      <c r="E802" t="s">
        <v>42</v>
      </c>
      <c r="F802" s="1">
        <v>45618</v>
      </c>
      <c r="G802">
        <v>1</v>
      </c>
      <c r="H802" t="s">
        <v>52</v>
      </c>
      <c r="I802" t="s">
        <v>47</v>
      </c>
      <c r="J802">
        <v>0.25</v>
      </c>
      <c r="K802">
        <v>120</v>
      </c>
      <c r="L802">
        <v>480</v>
      </c>
      <c r="M802">
        <v>360</v>
      </c>
      <c r="N802" t="s">
        <v>48</v>
      </c>
    </row>
    <row r="803" spans="1:14" x14ac:dyDescent="0.2">
      <c r="A803">
        <v>3802</v>
      </c>
      <c r="B803" t="s">
        <v>899</v>
      </c>
      <c r="C803" t="s">
        <v>319</v>
      </c>
      <c r="D803">
        <v>2034</v>
      </c>
      <c r="E803" t="s">
        <v>37</v>
      </c>
      <c r="F803" s="1">
        <v>45622</v>
      </c>
      <c r="G803">
        <v>3</v>
      </c>
      <c r="H803" t="s">
        <v>52</v>
      </c>
      <c r="I803" t="s">
        <v>33</v>
      </c>
      <c r="J803">
        <v>0.3</v>
      </c>
      <c r="K803">
        <v>6.8999999999999995</v>
      </c>
      <c r="L803">
        <v>23</v>
      </c>
      <c r="M803">
        <v>16.100000000000001</v>
      </c>
      <c r="N803" t="s">
        <v>34</v>
      </c>
    </row>
    <row r="804" spans="1:14" x14ac:dyDescent="0.2">
      <c r="A804">
        <v>3803</v>
      </c>
      <c r="B804" t="s">
        <v>623</v>
      </c>
      <c r="C804" t="s">
        <v>845</v>
      </c>
      <c r="D804">
        <v>2035</v>
      </c>
      <c r="E804" t="s">
        <v>76</v>
      </c>
      <c r="F804" s="1">
        <v>45614</v>
      </c>
      <c r="G804">
        <v>1</v>
      </c>
      <c r="H804" t="s">
        <v>32</v>
      </c>
      <c r="I804" t="s">
        <v>33</v>
      </c>
      <c r="J804">
        <v>0.25</v>
      </c>
      <c r="K804">
        <v>172</v>
      </c>
      <c r="L804">
        <v>688</v>
      </c>
      <c r="M804">
        <v>516</v>
      </c>
      <c r="N804" t="s">
        <v>48</v>
      </c>
    </row>
    <row r="805" spans="1:14" x14ac:dyDescent="0.2">
      <c r="A805">
        <v>3804</v>
      </c>
      <c r="B805" t="s">
        <v>1070</v>
      </c>
      <c r="C805" t="s">
        <v>1071</v>
      </c>
      <c r="D805">
        <v>2036</v>
      </c>
      <c r="E805" t="s">
        <v>76</v>
      </c>
      <c r="F805" s="1">
        <v>45479</v>
      </c>
      <c r="G805">
        <v>3</v>
      </c>
      <c r="H805" t="s">
        <v>52</v>
      </c>
      <c r="I805" t="s">
        <v>39</v>
      </c>
      <c r="J805">
        <v>0.25</v>
      </c>
      <c r="K805">
        <v>375</v>
      </c>
      <c r="L805">
        <v>1500</v>
      </c>
      <c r="M805">
        <v>1125</v>
      </c>
      <c r="N805" t="s">
        <v>34</v>
      </c>
    </row>
    <row r="806" spans="1:14" x14ac:dyDescent="0.2">
      <c r="A806">
        <v>3805</v>
      </c>
      <c r="B806" t="s">
        <v>1072</v>
      </c>
      <c r="C806" t="s">
        <v>1073</v>
      </c>
      <c r="D806">
        <v>2037</v>
      </c>
      <c r="E806" t="s">
        <v>42</v>
      </c>
      <c r="F806" s="1">
        <v>45404</v>
      </c>
      <c r="G806">
        <v>3</v>
      </c>
      <c r="H806" t="s">
        <v>52</v>
      </c>
      <c r="I806" t="s">
        <v>64</v>
      </c>
      <c r="J806">
        <v>0.25</v>
      </c>
      <c r="K806">
        <v>107</v>
      </c>
      <c r="L806">
        <v>428</v>
      </c>
      <c r="M806">
        <v>321</v>
      </c>
      <c r="N806" t="s">
        <v>48</v>
      </c>
    </row>
    <row r="807" spans="1:14" x14ac:dyDescent="0.2">
      <c r="A807">
        <v>3806</v>
      </c>
      <c r="B807" t="s">
        <v>686</v>
      </c>
      <c r="C807" t="s">
        <v>900</v>
      </c>
      <c r="D807">
        <v>2038</v>
      </c>
      <c r="E807" t="s">
        <v>42</v>
      </c>
      <c r="F807" s="1">
        <v>45511</v>
      </c>
      <c r="G807">
        <v>2</v>
      </c>
      <c r="H807" t="s">
        <v>32</v>
      </c>
      <c r="I807" t="s">
        <v>81</v>
      </c>
      <c r="J807">
        <v>0.25</v>
      </c>
      <c r="K807">
        <v>111.25</v>
      </c>
      <c r="L807">
        <v>445</v>
      </c>
      <c r="M807">
        <v>333.75</v>
      </c>
      <c r="N807" t="s">
        <v>34</v>
      </c>
    </row>
    <row r="808" spans="1:14" x14ac:dyDescent="0.2">
      <c r="A808">
        <v>3807</v>
      </c>
      <c r="B808" t="s">
        <v>1014</v>
      </c>
      <c r="C808" t="s">
        <v>456</v>
      </c>
      <c r="D808">
        <v>2039</v>
      </c>
      <c r="E808" t="s">
        <v>92</v>
      </c>
      <c r="F808" s="1">
        <v>45530</v>
      </c>
      <c r="G808">
        <v>1</v>
      </c>
      <c r="H808" t="s">
        <v>52</v>
      </c>
      <c r="I808" t="s">
        <v>53</v>
      </c>
      <c r="J808">
        <v>0.3</v>
      </c>
      <c r="K808">
        <v>26.4</v>
      </c>
      <c r="L808">
        <v>88</v>
      </c>
      <c r="M808">
        <v>61.6</v>
      </c>
      <c r="N808" t="s">
        <v>114</v>
      </c>
    </row>
    <row r="809" spans="1:14" x14ac:dyDescent="0.2">
      <c r="A809">
        <v>3808</v>
      </c>
      <c r="B809" t="s">
        <v>1074</v>
      </c>
      <c r="C809" t="s">
        <v>283</v>
      </c>
      <c r="D809">
        <v>2040</v>
      </c>
      <c r="E809" t="s">
        <v>51</v>
      </c>
      <c r="F809" s="1">
        <v>45360</v>
      </c>
      <c r="G809">
        <v>2</v>
      </c>
      <c r="H809" t="s">
        <v>71</v>
      </c>
      <c r="I809" t="s">
        <v>43</v>
      </c>
      <c r="J809">
        <v>0.2</v>
      </c>
      <c r="K809">
        <v>4.6000000000000005</v>
      </c>
      <c r="L809">
        <v>23</v>
      </c>
      <c r="M809">
        <v>18.399999999999999</v>
      </c>
      <c r="N809" t="s">
        <v>34</v>
      </c>
    </row>
    <row r="810" spans="1:14" x14ac:dyDescent="0.2">
      <c r="A810">
        <v>3809</v>
      </c>
      <c r="B810" t="s">
        <v>1075</v>
      </c>
      <c r="C810" t="s">
        <v>1076</v>
      </c>
      <c r="D810">
        <v>2041</v>
      </c>
      <c r="E810" t="s">
        <v>37</v>
      </c>
      <c r="F810" s="1">
        <v>45300</v>
      </c>
      <c r="G810">
        <v>1</v>
      </c>
      <c r="H810" t="s">
        <v>32</v>
      </c>
      <c r="I810" t="s">
        <v>57</v>
      </c>
      <c r="J810">
        <v>0.3</v>
      </c>
      <c r="K810">
        <v>414.3</v>
      </c>
      <c r="L810">
        <v>1381</v>
      </c>
      <c r="M810">
        <v>966.7</v>
      </c>
      <c r="N810" t="s">
        <v>44</v>
      </c>
    </row>
    <row r="811" spans="1:14" x14ac:dyDescent="0.2">
      <c r="A811">
        <v>3810</v>
      </c>
      <c r="B811" t="s">
        <v>704</v>
      </c>
      <c r="C811" t="s">
        <v>196</v>
      </c>
      <c r="D811">
        <v>2042</v>
      </c>
      <c r="E811" t="s">
        <v>42</v>
      </c>
      <c r="F811" s="1">
        <v>45393</v>
      </c>
      <c r="G811">
        <v>2</v>
      </c>
      <c r="H811" t="s">
        <v>32</v>
      </c>
      <c r="I811" t="s">
        <v>64</v>
      </c>
      <c r="J811">
        <v>0.25</v>
      </c>
      <c r="K811">
        <v>418.5</v>
      </c>
      <c r="L811">
        <v>1674</v>
      </c>
      <c r="M811">
        <v>1255.5</v>
      </c>
      <c r="N811" t="s">
        <v>34</v>
      </c>
    </row>
    <row r="812" spans="1:14" x14ac:dyDescent="0.2">
      <c r="A812">
        <v>3811</v>
      </c>
      <c r="B812" t="s">
        <v>1077</v>
      </c>
      <c r="C812" t="s">
        <v>1078</v>
      </c>
      <c r="D812">
        <v>2043</v>
      </c>
      <c r="E812" t="s">
        <v>51</v>
      </c>
      <c r="F812" s="1">
        <v>45543</v>
      </c>
      <c r="G812">
        <v>2</v>
      </c>
      <c r="H812" t="s">
        <v>38</v>
      </c>
      <c r="I812" t="s">
        <v>43</v>
      </c>
      <c r="J812">
        <v>0.2</v>
      </c>
      <c r="K812">
        <v>129</v>
      </c>
      <c r="L812">
        <v>645</v>
      </c>
      <c r="M812">
        <v>516</v>
      </c>
      <c r="N812" t="s">
        <v>48</v>
      </c>
    </row>
    <row r="813" spans="1:14" x14ac:dyDescent="0.2">
      <c r="A813">
        <v>3812</v>
      </c>
      <c r="B813" t="s">
        <v>203</v>
      </c>
      <c r="C813" t="s">
        <v>1079</v>
      </c>
      <c r="D813">
        <v>2044</v>
      </c>
      <c r="E813" t="s">
        <v>31</v>
      </c>
      <c r="F813" s="1">
        <v>45597</v>
      </c>
      <c r="G813">
        <v>1</v>
      </c>
      <c r="H813" t="s">
        <v>32</v>
      </c>
      <c r="I813" t="s">
        <v>47</v>
      </c>
      <c r="J813">
        <v>0.1</v>
      </c>
      <c r="K813">
        <v>20.3</v>
      </c>
      <c r="L813">
        <v>203</v>
      </c>
      <c r="M813">
        <v>182.7</v>
      </c>
      <c r="N813" t="s">
        <v>114</v>
      </c>
    </row>
    <row r="814" spans="1:14" x14ac:dyDescent="0.2">
      <c r="A814">
        <v>3813</v>
      </c>
      <c r="B814" t="s">
        <v>1080</v>
      </c>
      <c r="C814" t="s">
        <v>535</v>
      </c>
      <c r="D814">
        <v>2045</v>
      </c>
      <c r="E814" t="s">
        <v>37</v>
      </c>
      <c r="F814" s="1">
        <v>45295</v>
      </c>
      <c r="G814">
        <v>2</v>
      </c>
      <c r="H814" t="s">
        <v>32</v>
      </c>
      <c r="I814" t="s">
        <v>43</v>
      </c>
      <c r="J814">
        <v>0.3</v>
      </c>
      <c r="K814">
        <v>258.3</v>
      </c>
      <c r="L814">
        <v>861</v>
      </c>
      <c r="M814">
        <v>602.70000000000005</v>
      </c>
      <c r="N814" t="s">
        <v>48</v>
      </c>
    </row>
    <row r="815" spans="1:14" x14ac:dyDescent="0.2">
      <c r="A815">
        <v>3814</v>
      </c>
      <c r="B815" t="s">
        <v>818</v>
      </c>
      <c r="C815" t="s">
        <v>1081</v>
      </c>
      <c r="D815">
        <v>2046</v>
      </c>
      <c r="E815" t="s">
        <v>92</v>
      </c>
      <c r="F815" s="1">
        <v>45512</v>
      </c>
      <c r="G815">
        <v>1</v>
      </c>
      <c r="H815" t="s">
        <v>71</v>
      </c>
      <c r="I815" t="s">
        <v>47</v>
      </c>
      <c r="J815">
        <v>0.3</v>
      </c>
      <c r="K815">
        <v>269.09999999999997</v>
      </c>
      <c r="L815">
        <v>897</v>
      </c>
      <c r="M815">
        <v>627.90000000000009</v>
      </c>
      <c r="N815" t="s">
        <v>34</v>
      </c>
    </row>
    <row r="816" spans="1:14" x14ac:dyDescent="0.2">
      <c r="A816">
        <v>3815</v>
      </c>
      <c r="B816" t="s">
        <v>1082</v>
      </c>
      <c r="C816" t="s">
        <v>788</v>
      </c>
      <c r="D816">
        <v>2047</v>
      </c>
      <c r="E816" t="s">
        <v>37</v>
      </c>
      <c r="F816" s="1">
        <v>45376</v>
      </c>
      <c r="G816">
        <v>2</v>
      </c>
      <c r="H816" t="s">
        <v>52</v>
      </c>
      <c r="I816" t="s">
        <v>43</v>
      </c>
      <c r="J816">
        <v>0.3</v>
      </c>
      <c r="K816">
        <v>498.9</v>
      </c>
      <c r="L816">
        <v>1663</v>
      </c>
      <c r="M816">
        <v>1164.0999999999999</v>
      </c>
      <c r="N816" t="s">
        <v>44</v>
      </c>
    </row>
    <row r="817" spans="1:14" x14ac:dyDescent="0.2">
      <c r="A817">
        <v>3816</v>
      </c>
      <c r="B817" t="s">
        <v>60</v>
      </c>
      <c r="C817" t="s">
        <v>1083</v>
      </c>
      <c r="D817">
        <v>2048</v>
      </c>
      <c r="E817" t="s">
        <v>37</v>
      </c>
      <c r="F817" s="1">
        <v>45401</v>
      </c>
      <c r="G817">
        <v>2</v>
      </c>
      <c r="H817" t="s">
        <v>71</v>
      </c>
      <c r="I817" t="s">
        <v>53</v>
      </c>
      <c r="J817">
        <v>0.3</v>
      </c>
      <c r="K817">
        <v>35.1</v>
      </c>
      <c r="L817">
        <v>117</v>
      </c>
      <c r="M817">
        <v>81.900000000000006</v>
      </c>
      <c r="N817" t="s">
        <v>34</v>
      </c>
    </row>
    <row r="818" spans="1:14" x14ac:dyDescent="0.2">
      <c r="A818">
        <v>3817</v>
      </c>
      <c r="B818" t="s">
        <v>332</v>
      </c>
      <c r="C818" t="s">
        <v>1084</v>
      </c>
      <c r="D818">
        <v>2049</v>
      </c>
      <c r="E818" t="s">
        <v>76</v>
      </c>
      <c r="F818" s="1">
        <v>45436</v>
      </c>
      <c r="G818">
        <v>2</v>
      </c>
      <c r="H818" t="s">
        <v>52</v>
      </c>
      <c r="I818" t="s">
        <v>53</v>
      </c>
      <c r="J818">
        <v>0.25</v>
      </c>
      <c r="K818">
        <v>214.75</v>
      </c>
      <c r="L818">
        <v>859</v>
      </c>
      <c r="M818">
        <v>644.25</v>
      </c>
      <c r="N818" t="s">
        <v>34</v>
      </c>
    </row>
    <row r="819" spans="1:14" x14ac:dyDescent="0.2">
      <c r="A819">
        <v>3818</v>
      </c>
      <c r="B819" t="s">
        <v>1085</v>
      </c>
      <c r="C819" t="s">
        <v>1086</v>
      </c>
      <c r="D819">
        <v>2050</v>
      </c>
      <c r="E819" t="s">
        <v>76</v>
      </c>
      <c r="F819" s="1">
        <v>45313</v>
      </c>
      <c r="G819">
        <v>1</v>
      </c>
      <c r="H819" t="s">
        <v>38</v>
      </c>
      <c r="I819" t="s">
        <v>53</v>
      </c>
      <c r="J819">
        <v>0.25</v>
      </c>
      <c r="K819">
        <v>233.25</v>
      </c>
      <c r="L819">
        <v>933</v>
      </c>
      <c r="M819">
        <v>699.75</v>
      </c>
      <c r="N819" t="s">
        <v>48</v>
      </c>
    </row>
    <row r="820" spans="1:14" x14ac:dyDescent="0.2">
      <c r="A820">
        <v>3819</v>
      </c>
      <c r="B820" t="s">
        <v>1087</v>
      </c>
      <c r="C820" t="s">
        <v>991</v>
      </c>
      <c r="D820">
        <v>2051</v>
      </c>
      <c r="E820" t="s">
        <v>31</v>
      </c>
      <c r="F820" s="1">
        <v>45633</v>
      </c>
      <c r="G820">
        <v>1</v>
      </c>
      <c r="H820" t="s">
        <v>32</v>
      </c>
      <c r="I820" t="s">
        <v>39</v>
      </c>
      <c r="J820">
        <v>0.1</v>
      </c>
      <c r="K820">
        <v>170.3</v>
      </c>
      <c r="L820">
        <v>1703</v>
      </c>
      <c r="M820">
        <v>1532.7</v>
      </c>
      <c r="N820" t="s">
        <v>114</v>
      </c>
    </row>
    <row r="821" spans="1:14" x14ac:dyDescent="0.2">
      <c r="A821">
        <v>3820</v>
      </c>
      <c r="B821" t="s">
        <v>213</v>
      </c>
      <c r="C821" t="s">
        <v>1088</v>
      </c>
      <c r="D821">
        <v>2052</v>
      </c>
      <c r="E821" t="s">
        <v>51</v>
      </c>
      <c r="F821" s="1">
        <v>45615</v>
      </c>
      <c r="G821">
        <v>3</v>
      </c>
      <c r="H821" t="s">
        <v>32</v>
      </c>
      <c r="I821" t="s">
        <v>57</v>
      </c>
      <c r="J821">
        <v>0.2</v>
      </c>
      <c r="K821">
        <v>70.400000000000006</v>
      </c>
      <c r="L821">
        <v>352</v>
      </c>
      <c r="M821">
        <v>281.60000000000002</v>
      </c>
      <c r="N821" t="s">
        <v>114</v>
      </c>
    </row>
    <row r="822" spans="1:14" x14ac:dyDescent="0.2">
      <c r="A822">
        <v>3821</v>
      </c>
      <c r="B822" t="s">
        <v>1089</v>
      </c>
      <c r="C822" t="s">
        <v>1090</v>
      </c>
      <c r="D822">
        <v>2053</v>
      </c>
      <c r="E822" t="s">
        <v>37</v>
      </c>
      <c r="F822" s="1">
        <v>45642</v>
      </c>
      <c r="G822">
        <v>2</v>
      </c>
      <c r="H822" t="s">
        <v>38</v>
      </c>
      <c r="I822" t="s">
        <v>53</v>
      </c>
      <c r="J822">
        <v>0.3</v>
      </c>
      <c r="K822">
        <v>307.8</v>
      </c>
      <c r="L822">
        <v>1026</v>
      </c>
      <c r="M822">
        <v>718.2</v>
      </c>
      <c r="N822" t="s">
        <v>48</v>
      </c>
    </row>
    <row r="823" spans="1:14" x14ac:dyDescent="0.2">
      <c r="A823">
        <v>3822</v>
      </c>
      <c r="B823" t="s">
        <v>1091</v>
      </c>
      <c r="C823" t="s">
        <v>807</v>
      </c>
      <c r="D823">
        <v>2054</v>
      </c>
      <c r="E823" t="s">
        <v>51</v>
      </c>
      <c r="F823" s="1">
        <v>45500</v>
      </c>
      <c r="G823">
        <v>2</v>
      </c>
      <c r="H823" t="s">
        <v>52</v>
      </c>
      <c r="I823" t="s">
        <v>64</v>
      </c>
      <c r="J823">
        <v>0.2</v>
      </c>
      <c r="K823">
        <v>16.400000000000002</v>
      </c>
      <c r="L823">
        <v>82</v>
      </c>
      <c r="M823">
        <v>65.599999999999994</v>
      </c>
      <c r="N823" t="s">
        <v>44</v>
      </c>
    </row>
    <row r="824" spans="1:14" x14ac:dyDescent="0.2">
      <c r="A824">
        <v>3823</v>
      </c>
      <c r="B824" t="s">
        <v>1092</v>
      </c>
      <c r="C824" t="s">
        <v>664</v>
      </c>
      <c r="D824">
        <v>2055</v>
      </c>
      <c r="E824" t="s">
        <v>42</v>
      </c>
      <c r="F824" s="1">
        <v>45452</v>
      </c>
      <c r="G824">
        <v>2</v>
      </c>
      <c r="H824" t="s">
        <v>32</v>
      </c>
      <c r="I824" t="s">
        <v>47</v>
      </c>
      <c r="J824">
        <v>0.25</v>
      </c>
      <c r="K824">
        <v>427.75</v>
      </c>
      <c r="L824">
        <v>1711</v>
      </c>
      <c r="M824">
        <v>1283.25</v>
      </c>
      <c r="N824" t="s">
        <v>34</v>
      </c>
    </row>
    <row r="825" spans="1:14" x14ac:dyDescent="0.2">
      <c r="A825">
        <v>3824</v>
      </c>
      <c r="B825" t="s">
        <v>658</v>
      </c>
      <c r="C825" t="s">
        <v>624</v>
      </c>
      <c r="D825">
        <v>2056</v>
      </c>
      <c r="E825" t="s">
        <v>51</v>
      </c>
      <c r="F825" s="1">
        <v>45411</v>
      </c>
      <c r="G825">
        <v>3</v>
      </c>
      <c r="H825" t="s">
        <v>32</v>
      </c>
      <c r="I825" t="s">
        <v>64</v>
      </c>
      <c r="J825">
        <v>0.2</v>
      </c>
      <c r="K825">
        <v>201.8</v>
      </c>
      <c r="L825">
        <v>1009</v>
      </c>
      <c r="M825">
        <v>807.2</v>
      </c>
      <c r="N825" t="s">
        <v>114</v>
      </c>
    </row>
    <row r="826" spans="1:14" x14ac:dyDescent="0.2">
      <c r="A826">
        <v>3825</v>
      </c>
      <c r="B826" t="s">
        <v>733</v>
      </c>
      <c r="C826" t="s">
        <v>123</v>
      </c>
      <c r="D826">
        <v>2057</v>
      </c>
      <c r="E826" t="s">
        <v>42</v>
      </c>
      <c r="F826" s="1">
        <v>45370</v>
      </c>
      <c r="G826">
        <v>2</v>
      </c>
      <c r="H826" t="s">
        <v>52</v>
      </c>
      <c r="I826" t="s">
        <v>53</v>
      </c>
      <c r="J826">
        <v>0.25</v>
      </c>
      <c r="K826">
        <v>7.5</v>
      </c>
      <c r="L826">
        <v>30</v>
      </c>
      <c r="M826">
        <v>22.5</v>
      </c>
      <c r="N826" t="s">
        <v>44</v>
      </c>
    </row>
    <row r="827" spans="1:14" x14ac:dyDescent="0.2">
      <c r="A827">
        <v>3826</v>
      </c>
      <c r="B827" t="s">
        <v>1093</v>
      </c>
      <c r="C827" t="s">
        <v>1094</v>
      </c>
      <c r="D827">
        <v>2058</v>
      </c>
      <c r="E827" t="s">
        <v>76</v>
      </c>
      <c r="F827" s="1">
        <v>45458</v>
      </c>
      <c r="G827">
        <v>3</v>
      </c>
      <c r="H827" t="s">
        <v>52</v>
      </c>
      <c r="I827" t="s">
        <v>43</v>
      </c>
      <c r="J827">
        <v>0.25</v>
      </c>
      <c r="K827">
        <v>126.75</v>
      </c>
      <c r="L827">
        <v>507</v>
      </c>
      <c r="M827">
        <v>380.25</v>
      </c>
      <c r="N827" t="s">
        <v>34</v>
      </c>
    </row>
    <row r="828" spans="1:14" x14ac:dyDescent="0.2">
      <c r="A828">
        <v>3827</v>
      </c>
      <c r="B828" t="s">
        <v>884</v>
      </c>
      <c r="C828" t="s">
        <v>1095</v>
      </c>
      <c r="D828">
        <v>2059</v>
      </c>
      <c r="E828" t="s">
        <v>51</v>
      </c>
      <c r="F828" s="1">
        <v>45299</v>
      </c>
      <c r="G828">
        <v>3</v>
      </c>
      <c r="H828" t="s">
        <v>32</v>
      </c>
      <c r="I828" t="s">
        <v>43</v>
      </c>
      <c r="J828">
        <v>0.2</v>
      </c>
      <c r="K828">
        <v>217</v>
      </c>
      <c r="L828">
        <v>1085</v>
      </c>
      <c r="M828">
        <v>868</v>
      </c>
      <c r="N828" t="s">
        <v>44</v>
      </c>
    </row>
    <row r="829" spans="1:14" x14ac:dyDescent="0.2">
      <c r="A829">
        <v>3828</v>
      </c>
      <c r="B829" t="s">
        <v>547</v>
      </c>
      <c r="C829" t="s">
        <v>395</v>
      </c>
      <c r="D829">
        <v>2060</v>
      </c>
      <c r="E829" t="s">
        <v>51</v>
      </c>
      <c r="F829" s="1">
        <v>45631</v>
      </c>
      <c r="G829">
        <v>1</v>
      </c>
      <c r="H829" t="s">
        <v>71</v>
      </c>
      <c r="I829" t="s">
        <v>47</v>
      </c>
      <c r="J829">
        <v>0.2</v>
      </c>
      <c r="K829">
        <v>261.60000000000002</v>
      </c>
      <c r="L829">
        <v>1308</v>
      </c>
      <c r="M829">
        <v>1046.4000000000001</v>
      </c>
      <c r="N829" t="s">
        <v>54</v>
      </c>
    </row>
    <row r="830" spans="1:14" x14ac:dyDescent="0.2">
      <c r="A830">
        <v>3829</v>
      </c>
      <c r="B830" t="s">
        <v>175</v>
      </c>
      <c r="C830" t="s">
        <v>1096</v>
      </c>
      <c r="D830">
        <v>2061</v>
      </c>
      <c r="E830" t="s">
        <v>76</v>
      </c>
      <c r="F830" s="1">
        <v>45353</v>
      </c>
      <c r="G830">
        <v>3</v>
      </c>
      <c r="H830" t="s">
        <v>38</v>
      </c>
      <c r="I830" t="s">
        <v>53</v>
      </c>
      <c r="J830">
        <v>0.25</v>
      </c>
      <c r="K830">
        <v>127.75</v>
      </c>
      <c r="L830">
        <v>511</v>
      </c>
      <c r="M830">
        <v>383.25</v>
      </c>
      <c r="N830" t="s">
        <v>54</v>
      </c>
    </row>
    <row r="831" spans="1:14" x14ac:dyDescent="0.2">
      <c r="A831">
        <v>3830</v>
      </c>
      <c r="B831" t="s">
        <v>1097</v>
      </c>
      <c r="C831" t="s">
        <v>1098</v>
      </c>
      <c r="D831">
        <v>2062</v>
      </c>
      <c r="E831" t="s">
        <v>76</v>
      </c>
      <c r="F831" s="1">
        <v>45485</v>
      </c>
      <c r="G831">
        <v>1</v>
      </c>
      <c r="H831" t="s">
        <v>52</v>
      </c>
      <c r="I831" t="s">
        <v>33</v>
      </c>
      <c r="J831">
        <v>0.25</v>
      </c>
      <c r="K831">
        <v>59.75</v>
      </c>
      <c r="L831">
        <v>239</v>
      </c>
      <c r="M831">
        <v>179.25</v>
      </c>
      <c r="N831" t="s">
        <v>48</v>
      </c>
    </row>
    <row r="832" spans="1:14" x14ac:dyDescent="0.2">
      <c r="A832">
        <v>3831</v>
      </c>
      <c r="B832" t="s">
        <v>198</v>
      </c>
      <c r="C832" t="s">
        <v>1099</v>
      </c>
      <c r="D832">
        <v>2063</v>
      </c>
      <c r="E832" t="s">
        <v>37</v>
      </c>
      <c r="F832" s="1">
        <v>45444</v>
      </c>
      <c r="G832">
        <v>1</v>
      </c>
      <c r="H832" t="s">
        <v>52</v>
      </c>
      <c r="I832" t="s">
        <v>43</v>
      </c>
      <c r="J832">
        <v>0.3</v>
      </c>
      <c r="K832">
        <v>96.6</v>
      </c>
      <c r="L832">
        <v>322</v>
      </c>
      <c r="M832">
        <v>225.4</v>
      </c>
      <c r="N832" t="s">
        <v>54</v>
      </c>
    </row>
    <row r="833" spans="1:14" x14ac:dyDescent="0.2">
      <c r="A833">
        <v>3832</v>
      </c>
      <c r="B833" t="s">
        <v>884</v>
      </c>
      <c r="C833" t="s">
        <v>672</v>
      </c>
      <c r="D833">
        <v>2064</v>
      </c>
      <c r="E833" t="s">
        <v>76</v>
      </c>
      <c r="F833" s="1">
        <v>45357</v>
      </c>
      <c r="G833">
        <v>1</v>
      </c>
      <c r="H833" t="s">
        <v>52</v>
      </c>
      <c r="I833" t="s">
        <v>43</v>
      </c>
      <c r="J833">
        <v>0.25</v>
      </c>
      <c r="K833">
        <v>373.5</v>
      </c>
      <c r="L833">
        <v>1494</v>
      </c>
      <c r="M833">
        <v>1120.5</v>
      </c>
      <c r="N833" t="s">
        <v>54</v>
      </c>
    </row>
    <row r="834" spans="1:14" x14ac:dyDescent="0.2">
      <c r="A834">
        <v>3833</v>
      </c>
      <c r="B834" t="s">
        <v>672</v>
      </c>
      <c r="C834" t="s">
        <v>1100</v>
      </c>
      <c r="D834">
        <v>2065</v>
      </c>
      <c r="E834" t="s">
        <v>37</v>
      </c>
      <c r="F834" s="1">
        <v>45480</v>
      </c>
      <c r="G834">
        <v>3</v>
      </c>
      <c r="H834" t="s">
        <v>32</v>
      </c>
      <c r="I834" t="s">
        <v>53</v>
      </c>
      <c r="J834">
        <v>0.3</v>
      </c>
      <c r="K834">
        <v>36.9</v>
      </c>
      <c r="L834">
        <v>123</v>
      </c>
      <c r="M834">
        <v>86.1</v>
      </c>
      <c r="N834" t="s">
        <v>114</v>
      </c>
    </row>
    <row r="835" spans="1:14" x14ac:dyDescent="0.2">
      <c r="A835">
        <v>3834</v>
      </c>
      <c r="B835" t="s">
        <v>610</v>
      </c>
      <c r="C835" t="s">
        <v>199</v>
      </c>
      <c r="D835">
        <v>2066</v>
      </c>
      <c r="E835" t="s">
        <v>76</v>
      </c>
      <c r="F835" s="1">
        <v>45535</v>
      </c>
      <c r="G835">
        <v>2</v>
      </c>
      <c r="H835" t="s">
        <v>38</v>
      </c>
      <c r="I835" t="s">
        <v>81</v>
      </c>
      <c r="J835">
        <v>0.25</v>
      </c>
      <c r="K835">
        <v>116</v>
      </c>
      <c r="L835">
        <v>464</v>
      </c>
      <c r="M835">
        <v>348</v>
      </c>
      <c r="N835" t="s">
        <v>44</v>
      </c>
    </row>
    <row r="836" spans="1:14" x14ac:dyDescent="0.2">
      <c r="A836">
        <v>3835</v>
      </c>
      <c r="B836" t="s">
        <v>1101</v>
      </c>
      <c r="C836" t="s">
        <v>1102</v>
      </c>
      <c r="D836">
        <v>2067</v>
      </c>
      <c r="E836" t="s">
        <v>76</v>
      </c>
      <c r="F836" s="1">
        <v>45343</v>
      </c>
      <c r="G836">
        <v>1</v>
      </c>
      <c r="H836" t="s">
        <v>71</v>
      </c>
      <c r="I836" t="s">
        <v>33</v>
      </c>
      <c r="J836">
        <v>0.25</v>
      </c>
      <c r="K836">
        <v>294.5</v>
      </c>
      <c r="L836">
        <v>1178</v>
      </c>
      <c r="M836">
        <v>883.5</v>
      </c>
      <c r="N836" t="s">
        <v>44</v>
      </c>
    </row>
    <row r="837" spans="1:14" x14ac:dyDescent="0.2">
      <c r="A837">
        <v>3836</v>
      </c>
      <c r="B837" t="s">
        <v>1103</v>
      </c>
      <c r="C837" t="s">
        <v>1104</v>
      </c>
      <c r="D837">
        <v>2068</v>
      </c>
      <c r="E837" t="s">
        <v>51</v>
      </c>
      <c r="F837" s="1">
        <v>45419</v>
      </c>
      <c r="G837">
        <v>3</v>
      </c>
      <c r="H837" t="s">
        <v>32</v>
      </c>
      <c r="I837" t="s">
        <v>33</v>
      </c>
      <c r="J837">
        <v>0.2</v>
      </c>
      <c r="K837">
        <v>86.600000000000009</v>
      </c>
      <c r="L837">
        <v>433</v>
      </c>
      <c r="M837">
        <v>346.4</v>
      </c>
      <c r="N837" t="s">
        <v>48</v>
      </c>
    </row>
    <row r="838" spans="1:14" x14ac:dyDescent="0.2">
      <c r="A838">
        <v>3837</v>
      </c>
      <c r="B838" t="s">
        <v>720</v>
      </c>
      <c r="C838" t="s">
        <v>1105</v>
      </c>
      <c r="D838">
        <v>2069</v>
      </c>
      <c r="E838" t="s">
        <v>76</v>
      </c>
      <c r="F838" s="1">
        <v>45470</v>
      </c>
      <c r="G838">
        <v>2</v>
      </c>
      <c r="H838" t="s">
        <v>52</v>
      </c>
      <c r="I838" t="s">
        <v>39</v>
      </c>
      <c r="J838">
        <v>0.25</v>
      </c>
      <c r="K838">
        <v>76.5</v>
      </c>
      <c r="L838">
        <v>306</v>
      </c>
      <c r="M838">
        <v>229.5</v>
      </c>
      <c r="N838" t="s">
        <v>54</v>
      </c>
    </row>
    <row r="839" spans="1:14" x14ac:dyDescent="0.2">
      <c r="A839">
        <v>3838</v>
      </c>
      <c r="B839" t="s">
        <v>1106</v>
      </c>
      <c r="C839" t="s">
        <v>68</v>
      </c>
      <c r="D839">
        <v>2070</v>
      </c>
      <c r="E839" t="s">
        <v>37</v>
      </c>
      <c r="F839" s="1">
        <v>45546</v>
      </c>
      <c r="G839">
        <v>3</v>
      </c>
      <c r="H839" t="s">
        <v>52</v>
      </c>
      <c r="I839" t="s">
        <v>33</v>
      </c>
      <c r="J839">
        <v>0.3</v>
      </c>
      <c r="K839">
        <v>292.8</v>
      </c>
      <c r="L839">
        <v>976</v>
      </c>
      <c r="M839">
        <v>683.2</v>
      </c>
      <c r="N839" t="s">
        <v>34</v>
      </c>
    </row>
    <row r="840" spans="1:14" x14ac:dyDescent="0.2">
      <c r="A840">
        <v>3839</v>
      </c>
      <c r="B840" t="s">
        <v>1107</v>
      </c>
      <c r="C840" t="s">
        <v>107</v>
      </c>
      <c r="D840">
        <v>2071</v>
      </c>
      <c r="E840" t="s">
        <v>76</v>
      </c>
      <c r="F840" s="1">
        <v>45529</v>
      </c>
      <c r="G840">
        <v>1</v>
      </c>
      <c r="H840" t="s">
        <v>52</v>
      </c>
      <c r="I840" t="s">
        <v>33</v>
      </c>
      <c r="J840">
        <v>0.25</v>
      </c>
      <c r="K840">
        <v>47</v>
      </c>
      <c r="L840">
        <v>188</v>
      </c>
      <c r="M840">
        <v>141</v>
      </c>
      <c r="N840" t="s">
        <v>114</v>
      </c>
    </row>
    <row r="841" spans="1:14" x14ac:dyDescent="0.2">
      <c r="A841">
        <v>3840</v>
      </c>
      <c r="B841" t="s">
        <v>239</v>
      </c>
      <c r="C841" t="s">
        <v>104</v>
      </c>
      <c r="D841">
        <v>2072</v>
      </c>
      <c r="E841" t="s">
        <v>76</v>
      </c>
      <c r="F841" s="1">
        <v>45350</v>
      </c>
      <c r="G841">
        <v>3</v>
      </c>
      <c r="H841" t="s">
        <v>52</v>
      </c>
      <c r="I841" t="s">
        <v>57</v>
      </c>
      <c r="J841">
        <v>0.25</v>
      </c>
      <c r="K841">
        <v>40.5</v>
      </c>
      <c r="L841">
        <v>162</v>
      </c>
      <c r="M841">
        <v>121.5</v>
      </c>
      <c r="N841" t="s">
        <v>114</v>
      </c>
    </row>
    <row r="842" spans="1:14" x14ac:dyDescent="0.2">
      <c r="A842">
        <v>3841</v>
      </c>
      <c r="B842" t="s">
        <v>656</v>
      </c>
      <c r="C842" t="s">
        <v>1108</v>
      </c>
      <c r="D842">
        <v>2073</v>
      </c>
      <c r="E842" t="s">
        <v>31</v>
      </c>
      <c r="F842" s="1">
        <v>45619</v>
      </c>
      <c r="G842">
        <v>3</v>
      </c>
      <c r="H842" t="s">
        <v>32</v>
      </c>
      <c r="I842" t="s">
        <v>43</v>
      </c>
      <c r="J842">
        <v>0.1</v>
      </c>
      <c r="K842">
        <v>72.600000000000009</v>
      </c>
      <c r="L842">
        <v>726</v>
      </c>
      <c r="M842">
        <v>653.4</v>
      </c>
      <c r="N842" t="s">
        <v>48</v>
      </c>
    </row>
    <row r="843" spans="1:14" x14ac:dyDescent="0.2">
      <c r="A843">
        <v>3842</v>
      </c>
      <c r="B843" t="s">
        <v>589</v>
      </c>
      <c r="C843" t="s">
        <v>721</v>
      </c>
      <c r="D843">
        <v>2074</v>
      </c>
      <c r="E843" t="s">
        <v>31</v>
      </c>
      <c r="F843" s="1">
        <v>45648</v>
      </c>
      <c r="G843">
        <v>2</v>
      </c>
      <c r="H843" t="s">
        <v>38</v>
      </c>
      <c r="I843" t="s">
        <v>47</v>
      </c>
      <c r="J843">
        <v>0.1</v>
      </c>
      <c r="K843">
        <v>113.10000000000001</v>
      </c>
      <c r="L843">
        <v>1131</v>
      </c>
      <c r="M843">
        <v>1017.9</v>
      </c>
      <c r="N843" t="s">
        <v>54</v>
      </c>
    </row>
    <row r="844" spans="1:14" x14ac:dyDescent="0.2">
      <c r="A844">
        <v>3843</v>
      </c>
      <c r="B844" t="s">
        <v>656</v>
      </c>
      <c r="C844" t="s">
        <v>1109</v>
      </c>
      <c r="D844">
        <v>2075</v>
      </c>
      <c r="E844" t="s">
        <v>92</v>
      </c>
      <c r="F844" s="1">
        <v>45544</v>
      </c>
      <c r="G844">
        <v>2</v>
      </c>
      <c r="H844" t="s">
        <v>71</v>
      </c>
      <c r="I844" t="s">
        <v>81</v>
      </c>
      <c r="J844">
        <v>0.3</v>
      </c>
      <c r="K844">
        <v>64.2</v>
      </c>
      <c r="L844">
        <v>214</v>
      </c>
      <c r="M844">
        <v>149.80000000000001</v>
      </c>
      <c r="N844" t="s">
        <v>54</v>
      </c>
    </row>
    <row r="845" spans="1:14" x14ac:dyDescent="0.2">
      <c r="A845">
        <v>3844</v>
      </c>
      <c r="B845" t="s">
        <v>1110</v>
      </c>
      <c r="C845" t="s">
        <v>922</v>
      </c>
      <c r="D845">
        <v>2076</v>
      </c>
      <c r="E845" t="s">
        <v>92</v>
      </c>
      <c r="F845" s="1">
        <v>45543</v>
      </c>
      <c r="G845">
        <v>3</v>
      </c>
      <c r="H845" t="s">
        <v>52</v>
      </c>
      <c r="I845" t="s">
        <v>43</v>
      </c>
      <c r="J845">
        <v>0.3</v>
      </c>
      <c r="K845">
        <v>425.09999999999997</v>
      </c>
      <c r="L845">
        <v>1417</v>
      </c>
      <c r="M845">
        <v>991.90000000000009</v>
      </c>
      <c r="N845" t="s">
        <v>48</v>
      </c>
    </row>
    <row r="846" spans="1:14" x14ac:dyDescent="0.2">
      <c r="A846">
        <v>3845</v>
      </c>
      <c r="B846" t="s">
        <v>1111</v>
      </c>
      <c r="C846" t="s">
        <v>1112</v>
      </c>
      <c r="D846">
        <v>2077</v>
      </c>
      <c r="E846" t="s">
        <v>42</v>
      </c>
      <c r="F846" s="1">
        <v>45501</v>
      </c>
      <c r="G846">
        <v>3</v>
      </c>
      <c r="H846" t="s">
        <v>32</v>
      </c>
      <c r="I846" t="s">
        <v>43</v>
      </c>
      <c r="J846">
        <v>0.25</v>
      </c>
      <c r="K846">
        <v>59.75</v>
      </c>
      <c r="L846">
        <v>239</v>
      </c>
      <c r="M846">
        <v>179.25</v>
      </c>
      <c r="N846" t="s">
        <v>44</v>
      </c>
    </row>
    <row r="847" spans="1:14" x14ac:dyDescent="0.2">
      <c r="A847">
        <v>3846</v>
      </c>
      <c r="B847" t="s">
        <v>417</v>
      </c>
      <c r="C847" t="s">
        <v>659</v>
      </c>
      <c r="D847">
        <v>2078</v>
      </c>
      <c r="E847" t="s">
        <v>76</v>
      </c>
      <c r="F847" s="1">
        <v>45431</v>
      </c>
      <c r="G847">
        <v>2</v>
      </c>
      <c r="H847" t="s">
        <v>71</v>
      </c>
      <c r="I847" t="s">
        <v>64</v>
      </c>
      <c r="J847">
        <v>0.25</v>
      </c>
      <c r="K847">
        <v>66.75</v>
      </c>
      <c r="L847">
        <v>267</v>
      </c>
      <c r="M847">
        <v>200.25</v>
      </c>
      <c r="N847" t="s">
        <v>48</v>
      </c>
    </row>
    <row r="848" spans="1:14" x14ac:dyDescent="0.2">
      <c r="A848">
        <v>3847</v>
      </c>
      <c r="B848" t="s">
        <v>1113</v>
      </c>
      <c r="C848" t="s">
        <v>711</v>
      </c>
      <c r="D848">
        <v>2079</v>
      </c>
      <c r="E848" t="s">
        <v>92</v>
      </c>
      <c r="F848" s="1">
        <v>45462</v>
      </c>
      <c r="G848">
        <v>3</v>
      </c>
      <c r="H848" t="s">
        <v>38</v>
      </c>
      <c r="I848" t="s">
        <v>57</v>
      </c>
      <c r="J848">
        <v>0.3</v>
      </c>
      <c r="K848">
        <v>216</v>
      </c>
      <c r="L848">
        <v>720</v>
      </c>
      <c r="M848">
        <v>504</v>
      </c>
      <c r="N848" t="s">
        <v>44</v>
      </c>
    </row>
    <row r="849" spans="1:14" x14ac:dyDescent="0.2">
      <c r="A849">
        <v>3848</v>
      </c>
      <c r="B849" t="s">
        <v>485</v>
      </c>
      <c r="C849" t="s">
        <v>1114</v>
      </c>
      <c r="D849">
        <v>2080</v>
      </c>
      <c r="E849" t="s">
        <v>42</v>
      </c>
      <c r="F849" s="1">
        <v>45308</v>
      </c>
      <c r="G849">
        <v>3</v>
      </c>
      <c r="H849" t="s">
        <v>52</v>
      </c>
      <c r="I849" t="s">
        <v>47</v>
      </c>
      <c r="J849">
        <v>0.25</v>
      </c>
      <c r="K849">
        <v>175.25</v>
      </c>
      <c r="L849">
        <v>701</v>
      </c>
      <c r="M849">
        <v>525.75</v>
      </c>
      <c r="N849" t="s">
        <v>44</v>
      </c>
    </row>
    <row r="850" spans="1:14" x14ac:dyDescent="0.2">
      <c r="A850">
        <v>3849</v>
      </c>
      <c r="B850" t="s">
        <v>1115</v>
      </c>
      <c r="C850" t="s">
        <v>153</v>
      </c>
      <c r="D850">
        <v>2081</v>
      </c>
      <c r="E850" t="s">
        <v>51</v>
      </c>
      <c r="F850" s="1">
        <v>45637</v>
      </c>
      <c r="G850">
        <v>1</v>
      </c>
      <c r="H850" t="s">
        <v>38</v>
      </c>
      <c r="I850" t="s">
        <v>33</v>
      </c>
      <c r="J850">
        <v>0.2</v>
      </c>
      <c r="K850">
        <v>142.6</v>
      </c>
      <c r="L850">
        <v>713</v>
      </c>
      <c r="M850">
        <v>570.4</v>
      </c>
      <c r="N850" t="s">
        <v>34</v>
      </c>
    </row>
    <row r="851" spans="1:14" x14ac:dyDescent="0.2">
      <c r="A851">
        <v>3850</v>
      </c>
      <c r="B851" t="s">
        <v>763</v>
      </c>
      <c r="C851" t="s">
        <v>1116</v>
      </c>
      <c r="D851">
        <v>2082</v>
      </c>
      <c r="E851" t="s">
        <v>76</v>
      </c>
      <c r="F851" s="1">
        <v>45489</v>
      </c>
      <c r="G851">
        <v>1</v>
      </c>
      <c r="H851" t="s">
        <v>52</v>
      </c>
      <c r="I851" t="s">
        <v>43</v>
      </c>
      <c r="J851">
        <v>0.25</v>
      </c>
      <c r="K851">
        <v>117.5</v>
      </c>
      <c r="L851">
        <v>470</v>
      </c>
      <c r="M851">
        <v>352.5</v>
      </c>
      <c r="N851" t="s">
        <v>54</v>
      </c>
    </row>
    <row r="852" spans="1:14" x14ac:dyDescent="0.2">
      <c r="A852">
        <v>3851</v>
      </c>
      <c r="B852" t="s">
        <v>1117</v>
      </c>
      <c r="C852" t="s">
        <v>315</v>
      </c>
      <c r="D852">
        <v>2083</v>
      </c>
      <c r="E852" t="s">
        <v>76</v>
      </c>
      <c r="F852" s="1">
        <v>45567</v>
      </c>
      <c r="G852">
        <v>2</v>
      </c>
      <c r="H852" t="s">
        <v>71</v>
      </c>
      <c r="I852" t="s">
        <v>64</v>
      </c>
      <c r="J852">
        <v>0.25</v>
      </c>
      <c r="K852">
        <v>125.5</v>
      </c>
      <c r="L852">
        <v>502</v>
      </c>
      <c r="M852">
        <v>376.5</v>
      </c>
      <c r="N852" t="s">
        <v>114</v>
      </c>
    </row>
    <row r="853" spans="1:14" x14ac:dyDescent="0.2">
      <c r="A853">
        <v>3852</v>
      </c>
      <c r="B853" t="s">
        <v>1118</v>
      </c>
      <c r="C853" t="s">
        <v>499</v>
      </c>
      <c r="D853">
        <v>2084</v>
      </c>
      <c r="E853" t="s">
        <v>31</v>
      </c>
      <c r="F853" s="1">
        <v>45292</v>
      </c>
      <c r="G853">
        <v>3</v>
      </c>
      <c r="H853" t="s">
        <v>32</v>
      </c>
      <c r="I853" t="s">
        <v>53</v>
      </c>
      <c r="J853">
        <v>0.1</v>
      </c>
      <c r="K853">
        <v>23.400000000000002</v>
      </c>
      <c r="L853">
        <v>234</v>
      </c>
      <c r="M853">
        <v>210.6</v>
      </c>
      <c r="N853" t="s">
        <v>114</v>
      </c>
    </row>
    <row r="854" spans="1:14" x14ac:dyDescent="0.2">
      <c r="A854">
        <v>3853</v>
      </c>
      <c r="B854" t="s">
        <v>1119</v>
      </c>
      <c r="C854" t="s">
        <v>1120</v>
      </c>
      <c r="D854">
        <v>2085</v>
      </c>
      <c r="E854" t="s">
        <v>31</v>
      </c>
      <c r="F854" s="1">
        <v>45335</v>
      </c>
      <c r="G854">
        <v>3</v>
      </c>
      <c r="H854" t="s">
        <v>38</v>
      </c>
      <c r="I854" t="s">
        <v>33</v>
      </c>
      <c r="J854">
        <v>0.1</v>
      </c>
      <c r="K854">
        <v>171.3</v>
      </c>
      <c r="L854">
        <v>1713</v>
      </c>
      <c r="M854">
        <v>1541.7</v>
      </c>
      <c r="N854" t="s">
        <v>54</v>
      </c>
    </row>
    <row r="855" spans="1:14" x14ac:dyDescent="0.2">
      <c r="A855">
        <v>3854</v>
      </c>
      <c r="B855" t="s">
        <v>406</v>
      </c>
      <c r="C855" t="s">
        <v>1062</v>
      </c>
      <c r="D855">
        <v>2086</v>
      </c>
      <c r="E855" t="s">
        <v>92</v>
      </c>
      <c r="F855" s="1">
        <v>45413</v>
      </c>
      <c r="G855">
        <v>3</v>
      </c>
      <c r="H855" t="s">
        <v>52</v>
      </c>
      <c r="I855" t="s">
        <v>47</v>
      </c>
      <c r="J855">
        <v>0.3</v>
      </c>
      <c r="K855">
        <v>510.59999999999997</v>
      </c>
      <c r="L855">
        <v>1702</v>
      </c>
      <c r="M855">
        <v>1191.4000000000001</v>
      </c>
      <c r="N855" t="s">
        <v>34</v>
      </c>
    </row>
    <row r="856" spans="1:14" x14ac:dyDescent="0.2">
      <c r="A856">
        <v>3855</v>
      </c>
      <c r="B856" t="s">
        <v>1103</v>
      </c>
      <c r="C856" t="s">
        <v>316</v>
      </c>
      <c r="D856">
        <v>2087</v>
      </c>
      <c r="E856" t="s">
        <v>51</v>
      </c>
      <c r="F856" s="1">
        <v>45443</v>
      </c>
      <c r="G856">
        <v>2</v>
      </c>
      <c r="H856" t="s">
        <v>32</v>
      </c>
      <c r="I856" t="s">
        <v>53</v>
      </c>
      <c r="J856">
        <v>0.2</v>
      </c>
      <c r="K856">
        <v>164.8</v>
      </c>
      <c r="L856">
        <v>824</v>
      </c>
      <c r="M856">
        <v>659.2</v>
      </c>
      <c r="N856" t="s">
        <v>34</v>
      </c>
    </row>
    <row r="857" spans="1:14" x14ac:dyDescent="0.2">
      <c r="A857">
        <v>3856</v>
      </c>
      <c r="B857" t="s">
        <v>1121</v>
      </c>
      <c r="C857" t="s">
        <v>1122</v>
      </c>
      <c r="D857">
        <v>2088</v>
      </c>
      <c r="E857" t="s">
        <v>31</v>
      </c>
      <c r="F857" s="1">
        <v>45518</v>
      </c>
      <c r="G857">
        <v>1</v>
      </c>
      <c r="H857" t="s">
        <v>32</v>
      </c>
      <c r="I857" t="s">
        <v>47</v>
      </c>
      <c r="J857">
        <v>0.1</v>
      </c>
      <c r="K857">
        <v>130.5</v>
      </c>
      <c r="L857">
        <v>1305</v>
      </c>
      <c r="M857">
        <v>1174.5</v>
      </c>
      <c r="N857" t="s">
        <v>114</v>
      </c>
    </row>
    <row r="858" spans="1:14" x14ac:dyDescent="0.2">
      <c r="A858">
        <v>3857</v>
      </c>
      <c r="B858" t="s">
        <v>679</v>
      </c>
      <c r="C858" t="s">
        <v>1123</v>
      </c>
      <c r="D858">
        <v>2089</v>
      </c>
      <c r="E858" t="s">
        <v>31</v>
      </c>
      <c r="F858" s="1">
        <v>45421</v>
      </c>
      <c r="G858">
        <v>2</v>
      </c>
      <c r="H858" t="s">
        <v>71</v>
      </c>
      <c r="I858" t="s">
        <v>47</v>
      </c>
      <c r="J858">
        <v>0.1</v>
      </c>
      <c r="K858">
        <v>43.6</v>
      </c>
      <c r="L858">
        <v>436</v>
      </c>
      <c r="M858">
        <v>392.4</v>
      </c>
      <c r="N858" t="s">
        <v>114</v>
      </c>
    </row>
    <row r="859" spans="1:14" x14ac:dyDescent="0.2">
      <c r="A859">
        <v>3858</v>
      </c>
      <c r="B859" t="s">
        <v>1124</v>
      </c>
      <c r="C859" t="s">
        <v>996</v>
      </c>
      <c r="D859">
        <v>2090</v>
      </c>
      <c r="E859" t="s">
        <v>37</v>
      </c>
      <c r="F859" s="1">
        <v>45657</v>
      </c>
      <c r="G859">
        <v>2</v>
      </c>
      <c r="H859" t="s">
        <v>32</v>
      </c>
      <c r="I859" t="s">
        <v>33</v>
      </c>
      <c r="J859">
        <v>0.3</v>
      </c>
      <c r="K859">
        <v>62.4</v>
      </c>
      <c r="L859">
        <v>208</v>
      </c>
      <c r="M859">
        <v>145.6</v>
      </c>
      <c r="N859" t="s">
        <v>54</v>
      </c>
    </row>
    <row r="860" spans="1:14" x14ac:dyDescent="0.2">
      <c r="A860">
        <v>3859</v>
      </c>
      <c r="B860" t="s">
        <v>615</v>
      </c>
      <c r="C860" t="s">
        <v>616</v>
      </c>
      <c r="D860">
        <v>1588</v>
      </c>
      <c r="E860" t="s">
        <v>42</v>
      </c>
      <c r="F860" s="1">
        <v>45317</v>
      </c>
      <c r="G860">
        <v>2</v>
      </c>
      <c r="H860" t="s">
        <v>52</v>
      </c>
      <c r="I860" t="s">
        <v>53</v>
      </c>
      <c r="J860">
        <v>0.25</v>
      </c>
      <c r="K860">
        <v>53.5</v>
      </c>
      <c r="L860">
        <v>214</v>
      </c>
      <c r="M860">
        <v>160.5</v>
      </c>
      <c r="N860" t="s">
        <v>34</v>
      </c>
    </row>
    <row r="861" spans="1:14" x14ac:dyDescent="0.2">
      <c r="A861">
        <v>3860</v>
      </c>
      <c r="B861" t="s">
        <v>1125</v>
      </c>
      <c r="C861" t="s">
        <v>172</v>
      </c>
      <c r="D861">
        <v>2091</v>
      </c>
      <c r="E861" t="s">
        <v>76</v>
      </c>
      <c r="F861" s="1">
        <v>45324</v>
      </c>
      <c r="G861">
        <v>2</v>
      </c>
      <c r="H861" t="s">
        <v>71</v>
      </c>
      <c r="I861" t="s">
        <v>39</v>
      </c>
      <c r="J861">
        <v>0.25</v>
      </c>
      <c r="K861">
        <v>272.75</v>
      </c>
      <c r="L861">
        <v>1091</v>
      </c>
      <c r="M861">
        <v>818.25</v>
      </c>
      <c r="N861" t="s">
        <v>34</v>
      </c>
    </row>
    <row r="862" spans="1:14" x14ac:dyDescent="0.2">
      <c r="A862">
        <v>3861</v>
      </c>
      <c r="B862" t="s">
        <v>1126</v>
      </c>
      <c r="C862" t="s">
        <v>1127</v>
      </c>
      <c r="D862">
        <v>2092</v>
      </c>
      <c r="E862" t="s">
        <v>31</v>
      </c>
      <c r="F862" s="1">
        <v>45312</v>
      </c>
      <c r="G862">
        <v>3</v>
      </c>
      <c r="H862" t="s">
        <v>32</v>
      </c>
      <c r="I862" t="s">
        <v>39</v>
      </c>
      <c r="J862">
        <v>0.1</v>
      </c>
      <c r="K862">
        <v>159.30000000000001</v>
      </c>
      <c r="L862">
        <v>1593</v>
      </c>
      <c r="M862">
        <v>1433.7</v>
      </c>
      <c r="N862" t="s">
        <v>48</v>
      </c>
    </row>
    <row r="863" spans="1:14" x14ac:dyDescent="0.2">
      <c r="A863">
        <v>3862</v>
      </c>
      <c r="B863" t="s">
        <v>1128</v>
      </c>
      <c r="C863" t="s">
        <v>541</v>
      </c>
      <c r="D863">
        <v>2093</v>
      </c>
      <c r="E863" t="s">
        <v>51</v>
      </c>
      <c r="F863" s="1">
        <v>45606</v>
      </c>
      <c r="G863">
        <v>3</v>
      </c>
      <c r="H863" t="s">
        <v>32</v>
      </c>
      <c r="I863" t="s">
        <v>57</v>
      </c>
      <c r="J863">
        <v>0.2</v>
      </c>
      <c r="K863">
        <v>64.600000000000009</v>
      </c>
      <c r="L863">
        <v>323</v>
      </c>
      <c r="M863">
        <v>258.39999999999998</v>
      </c>
      <c r="N863" t="s">
        <v>48</v>
      </c>
    </row>
    <row r="864" spans="1:14" x14ac:dyDescent="0.2">
      <c r="A864">
        <v>3863</v>
      </c>
      <c r="B864" t="s">
        <v>325</v>
      </c>
      <c r="C864" t="s">
        <v>918</v>
      </c>
      <c r="D864">
        <v>2094</v>
      </c>
      <c r="E864" t="s">
        <v>42</v>
      </c>
      <c r="F864" s="1">
        <v>45646</v>
      </c>
      <c r="G864">
        <v>2</v>
      </c>
      <c r="H864" t="s">
        <v>32</v>
      </c>
      <c r="I864" t="s">
        <v>57</v>
      </c>
      <c r="J864">
        <v>0.25</v>
      </c>
      <c r="K864">
        <v>339.5</v>
      </c>
      <c r="L864">
        <v>1358</v>
      </c>
      <c r="M864">
        <v>1018.5</v>
      </c>
      <c r="N864" t="s">
        <v>48</v>
      </c>
    </row>
    <row r="865" spans="1:14" x14ac:dyDescent="0.2">
      <c r="A865">
        <v>3864</v>
      </c>
      <c r="B865" t="s">
        <v>1129</v>
      </c>
      <c r="C865" t="s">
        <v>605</v>
      </c>
      <c r="D865">
        <v>2095</v>
      </c>
      <c r="E865" t="s">
        <v>31</v>
      </c>
      <c r="F865" s="1">
        <v>45455</v>
      </c>
      <c r="G865">
        <v>3</v>
      </c>
      <c r="H865" t="s">
        <v>32</v>
      </c>
      <c r="I865" t="s">
        <v>39</v>
      </c>
      <c r="J865">
        <v>0.1</v>
      </c>
      <c r="K865">
        <v>147.80000000000001</v>
      </c>
      <c r="L865">
        <v>1478</v>
      </c>
      <c r="M865">
        <v>1330.2</v>
      </c>
      <c r="N865" t="s">
        <v>54</v>
      </c>
    </row>
    <row r="866" spans="1:14" x14ac:dyDescent="0.2">
      <c r="A866">
        <v>3865</v>
      </c>
      <c r="B866" t="s">
        <v>634</v>
      </c>
      <c r="C866" t="s">
        <v>323</v>
      </c>
      <c r="D866">
        <v>2096</v>
      </c>
      <c r="E866" t="s">
        <v>31</v>
      </c>
      <c r="F866" s="1">
        <v>45620</v>
      </c>
      <c r="G866">
        <v>3</v>
      </c>
      <c r="H866" t="s">
        <v>32</v>
      </c>
      <c r="I866" t="s">
        <v>64</v>
      </c>
      <c r="J866">
        <v>0.1</v>
      </c>
      <c r="K866">
        <v>30.6</v>
      </c>
      <c r="L866">
        <v>306</v>
      </c>
      <c r="M866">
        <v>275.39999999999998</v>
      </c>
      <c r="N866" t="s">
        <v>44</v>
      </c>
    </row>
    <row r="867" spans="1:14" x14ac:dyDescent="0.2">
      <c r="A867">
        <v>3866</v>
      </c>
      <c r="B867" t="s">
        <v>86</v>
      </c>
      <c r="C867" t="s">
        <v>547</v>
      </c>
      <c r="D867">
        <v>2097</v>
      </c>
      <c r="E867" t="s">
        <v>42</v>
      </c>
      <c r="F867" s="1">
        <v>45586</v>
      </c>
      <c r="G867">
        <v>3</v>
      </c>
      <c r="H867" t="s">
        <v>71</v>
      </c>
      <c r="I867" t="s">
        <v>64</v>
      </c>
      <c r="J867">
        <v>0.25</v>
      </c>
      <c r="K867">
        <v>204.5</v>
      </c>
      <c r="L867">
        <v>818</v>
      </c>
      <c r="M867">
        <v>613.5</v>
      </c>
      <c r="N867" t="s">
        <v>34</v>
      </c>
    </row>
    <row r="868" spans="1:14" x14ac:dyDescent="0.2">
      <c r="A868">
        <v>3867</v>
      </c>
      <c r="B868" t="s">
        <v>613</v>
      </c>
      <c r="C868" t="s">
        <v>754</v>
      </c>
      <c r="D868">
        <v>2098</v>
      </c>
      <c r="E868" t="s">
        <v>76</v>
      </c>
      <c r="F868" s="1">
        <v>45519</v>
      </c>
      <c r="G868">
        <v>3</v>
      </c>
      <c r="H868" t="s">
        <v>32</v>
      </c>
      <c r="I868" t="s">
        <v>39</v>
      </c>
      <c r="J868">
        <v>0.25</v>
      </c>
      <c r="K868">
        <v>261.25</v>
      </c>
      <c r="L868">
        <v>1045</v>
      </c>
      <c r="M868">
        <v>783.75</v>
      </c>
      <c r="N868" t="s">
        <v>44</v>
      </c>
    </row>
    <row r="869" spans="1:14" x14ac:dyDescent="0.2">
      <c r="A869">
        <v>3868</v>
      </c>
      <c r="B869" t="s">
        <v>671</v>
      </c>
      <c r="C869" t="s">
        <v>1130</v>
      </c>
      <c r="D869">
        <v>2099</v>
      </c>
      <c r="E869" t="s">
        <v>37</v>
      </c>
      <c r="F869" s="1">
        <v>45511</v>
      </c>
      <c r="G869">
        <v>1</v>
      </c>
      <c r="H869" t="s">
        <v>71</v>
      </c>
      <c r="I869" t="s">
        <v>53</v>
      </c>
      <c r="J869">
        <v>0.3</v>
      </c>
      <c r="K869">
        <v>551.69999999999993</v>
      </c>
      <c r="L869">
        <v>1839</v>
      </c>
      <c r="M869">
        <v>1287.3000000000002</v>
      </c>
      <c r="N869" t="s">
        <v>54</v>
      </c>
    </row>
    <row r="870" spans="1:14" x14ac:dyDescent="0.2">
      <c r="A870">
        <v>3869</v>
      </c>
      <c r="B870" t="s">
        <v>694</v>
      </c>
      <c r="C870" t="s">
        <v>641</v>
      </c>
      <c r="D870">
        <v>2100</v>
      </c>
      <c r="E870" t="s">
        <v>76</v>
      </c>
      <c r="F870" s="1">
        <v>45293</v>
      </c>
      <c r="G870">
        <v>1</v>
      </c>
      <c r="H870" t="s">
        <v>38</v>
      </c>
      <c r="I870" t="s">
        <v>57</v>
      </c>
      <c r="J870">
        <v>0.25</v>
      </c>
      <c r="K870">
        <v>22.5</v>
      </c>
      <c r="L870">
        <v>90</v>
      </c>
      <c r="M870">
        <v>67.5</v>
      </c>
      <c r="N870" t="s">
        <v>54</v>
      </c>
    </row>
    <row r="871" spans="1:14" x14ac:dyDescent="0.2">
      <c r="A871">
        <v>3870</v>
      </c>
      <c r="B871" t="s">
        <v>334</v>
      </c>
      <c r="C871" t="s">
        <v>1131</v>
      </c>
      <c r="D871">
        <v>2101</v>
      </c>
      <c r="E871" t="s">
        <v>76</v>
      </c>
      <c r="F871" s="1">
        <v>45419</v>
      </c>
      <c r="G871">
        <v>1</v>
      </c>
      <c r="H871" t="s">
        <v>52</v>
      </c>
      <c r="I871" t="s">
        <v>57</v>
      </c>
      <c r="J871">
        <v>0.25</v>
      </c>
      <c r="K871">
        <v>410</v>
      </c>
      <c r="L871">
        <v>1640</v>
      </c>
      <c r="M871">
        <v>1230</v>
      </c>
      <c r="N871" t="s">
        <v>54</v>
      </c>
    </row>
    <row r="872" spans="1:14" x14ac:dyDescent="0.2">
      <c r="A872">
        <v>3871</v>
      </c>
      <c r="B872" t="s">
        <v>1132</v>
      </c>
      <c r="C872" t="s">
        <v>171</v>
      </c>
      <c r="D872">
        <v>2102</v>
      </c>
      <c r="E872" t="s">
        <v>42</v>
      </c>
      <c r="F872" s="1">
        <v>45387</v>
      </c>
      <c r="G872">
        <v>1</v>
      </c>
      <c r="H872" t="s">
        <v>32</v>
      </c>
      <c r="I872" t="s">
        <v>47</v>
      </c>
      <c r="J872">
        <v>0.25</v>
      </c>
      <c r="K872">
        <v>40.25</v>
      </c>
      <c r="L872">
        <v>161</v>
      </c>
      <c r="M872">
        <v>120.75</v>
      </c>
      <c r="N872" t="s">
        <v>54</v>
      </c>
    </row>
    <row r="873" spans="1:14" x14ac:dyDescent="0.2">
      <c r="A873">
        <v>3872</v>
      </c>
      <c r="B873" t="s">
        <v>159</v>
      </c>
      <c r="C873" t="s">
        <v>1133</v>
      </c>
      <c r="D873">
        <v>2103</v>
      </c>
      <c r="E873" t="s">
        <v>76</v>
      </c>
      <c r="F873" s="1">
        <v>45646</v>
      </c>
      <c r="G873">
        <v>3</v>
      </c>
      <c r="H873" t="s">
        <v>52</v>
      </c>
      <c r="I873" t="s">
        <v>64</v>
      </c>
      <c r="J873">
        <v>0.25</v>
      </c>
      <c r="K873">
        <v>464.75</v>
      </c>
      <c r="L873">
        <v>1859</v>
      </c>
      <c r="M873">
        <v>1394.25</v>
      </c>
      <c r="N873" t="s">
        <v>54</v>
      </c>
    </row>
    <row r="874" spans="1:14" x14ac:dyDescent="0.2">
      <c r="A874">
        <v>3873</v>
      </c>
      <c r="B874" t="s">
        <v>491</v>
      </c>
      <c r="C874" t="s">
        <v>951</v>
      </c>
      <c r="D874">
        <v>2104</v>
      </c>
      <c r="E874" t="s">
        <v>51</v>
      </c>
      <c r="F874" s="1">
        <v>45423</v>
      </c>
      <c r="G874">
        <v>3</v>
      </c>
      <c r="H874" t="s">
        <v>32</v>
      </c>
      <c r="I874" t="s">
        <v>43</v>
      </c>
      <c r="J874">
        <v>0.2</v>
      </c>
      <c r="K874">
        <v>253.4</v>
      </c>
      <c r="L874">
        <v>1267</v>
      </c>
      <c r="M874">
        <v>1013.6</v>
      </c>
      <c r="N874" t="s">
        <v>48</v>
      </c>
    </row>
    <row r="875" spans="1:14" x14ac:dyDescent="0.2">
      <c r="A875">
        <v>3874</v>
      </c>
      <c r="B875" t="s">
        <v>571</v>
      </c>
      <c r="C875" t="s">
        <v>1134</v>
      </c>
      <c r="D875">
        <v>2105</v>
      </c>
      <c r="E875" t="s">
        <v>76</v>
      </c>
      <c r="F875" s="1">
        <v>45378</v>
      </c>
      <c r="G875">
        <v>1</v>
      </c>
      <c r="H875" t="s">
        <v>38</v>
      </c>
      <c r="I875" t="s">
        <v>64</v>
      </c>
      <c r="J875">
        <v>0.25</v>
      </c>
      <c r="K875">
        <v>64</v>
      </c>
      <c r="L875">
        <v>256</v>
      </c>
      <c r="M875">
        <v>192</v>
      </c>
      <c r="N875" t="s">
        <v>34</v>
      </c>
    </row>
    <row r="876" spans="1:14" x14ac:dyDescent="0.2">
      <c r="A876">
        <v>3875</v>
      </c>
      <c r="B876" t="s">
        <v>1135</v>
      </c>
      <c r="C876" t="s">
        <v>752</v>
      </c>
      <c r="D876">
        <v>2106</v>
      </c>
      <c r="E876" t="s">
        <v>42</v>
      </c>
      <c r="F876" s="1">
        <v>45590</v>
      </c>
      <c r="G876">
        <v>1</v>
      </c>
      <c r="H876" t="s">
        <v>71</v>
      </c>
      <c r="I876" t="s">
        <v>64</v>
      </c>
      <c r="J876">
        <v>0.25</v>
      </c>
      <c r="K876">
        <v>302</v>
      </c>
      <c r="L876">
        <v>1208</v>
      </c>
      <c r="M876">
        <v>906</v>
      </c>
      <c r="N876" t="s">
        <v>48</v>
      </c>
    </row>
    <row r="877" spans="1:14" x14ac:dyDescent="0.2">
      <c r="A877">
        <v>3876</v>
      </c>
      <c r="B877" t="s">
        <v>744</v>
      </c>
      <c r="C877" t="s">
        <v>1136</v>
      </c>
      <c r="D877">
        <v>2107</v>
      </c>
      <c r="E877" t="s">
        <v>31</v>
      </c>
      <c r="F877" s="1">
        <v>45531</v>
      </c>
      <c r="G877">
        <v>2</v>
      </c>
      <c r="H877" t="s">
        <v>38</v>
      </c>
      <c r="I877" t="s">
        <v>39</v>
      </c>
      <c r="J877">
        <v>0.1</v>
      </c>
      <c r="K877">
        <v>31</v>
      </c>
      <c r="L877">
        <v>310</v>
      </c>
      <c r="M877">
        <v>279</v>
      </c>
      <c r="N877" t="s">
        <v>48</v>
      </c>
    </row>
    <row r="878" spans="1:14" x14ac:dyDescent="0.2">
      <c r="A878">
        <v>3877</v>
      </c>
      <c r="B878" t="s">
        <v>1137</v>
      </c>
      <c r="C878" t="s">
        <v>1138</v>
      </c>
      <c r="D878">
        <v>2108</v>
      </c>
      <c r="E878" t="s">
        <v>51</v>
      </c>
      <c r="F878" s="1">
        <v>45508</v>
      </c>
      <c r="G878">
        <v>3</v>
      </c>
      <c r="H878" t="s">
        <v>52</v>
      </c>
      <c r="I878" t="s">
        <v>39</v>
      </c>
      <c r="J878">
        <v>0.2</v>
      </c>
      <c r="K878">
        <v>216.60000000000002</v>
      </c>
      <c r="L878">
        <v>1083</v>
      </c>
      <c r="M878">
        <v>866.4</v>
      </c>
      <c r="N878" t="s">
        <v>34</v>
      </c>
    </row>
    <row r="879" spans="1:14" x14ac:dyDescent="0.2">
      <c r="A879">
        <v>3878</v>
      </c>
      <c r="B879" t="s">
        <v>357</v>
      </c>
      <c r="C879" t="s">
        <v>1139</v>
      </c>
      <c r="D879">
        <v>2109</v>
      </c>
      <c r="E879" t="s">
        <v>92</v>
      </c>
      <c r="F879" s="1">
        <v>45378</v>
      </c>
      <c r="G879">
        <v>1</v>
      </c>
      <c r="H879" t="s">
        <v>32</v>
      </c>
      <c r="I879" t="s">
        <v>39</v>
      </c>
      <c r="J879">
        <v>0.3</v>
      </c>
      <c r="K879">
        <v>121.19999999999999</v>
      </c>
      <c r="L879">
        <v>404</v>
      </c>
      <c r="M879">
        <v>282.8</v>
      </c>
      <c r="N879" t="s">
        <v>114</v>
      </c>
    </row>
    <row r="880" spans="1:14" x14ac:dyDescent="0.2">
      <c r="A880">
        <v>3879</v>
      </c>
      <c r="B880" t="s">
        <v>510</v>
      </c>
      <c r="C880" t="s">
        <v>443</v>
      </c>
      <c r="D880">
        <v>2110</v>
      </c>
      <c r="E880" t="s">
        <v>76</v>
      </c>
      <c r="F880" s="1">
        <v>45370</v>
      </c>
      <c r="G880">
        <v>1</v>
      </c>
      <c r="H880" t="s">
        <v>52</v>
      </c>
      <c r="I880" t="s">
        <v>33</v>
      </c>
      <c r="J880">
        <v>0.25</v>
      </c>
      <c r="K880">
        <v>414.5</v>
      </c>
      <c r="L880">
        <v>1658</v>
      </c>
      <c r="M880">
        <v>1243.5</v>
      </c>
      <c r="N880" t="s">
        <v>54</v>
      </c>
    </row>
    <row r="881" spans="1:14" x14ac:dyDescent="0.2">
      <c r="A881">
        <v>3880</v>
      </c>
      <c r="B881" t="s">
        <v>1140</v>
      </c>
      <c r="C881" t="s">
        <v>1141</v>
      </c>
      <c r="D881">
        <v>2111</v>
      </c>
      <c r="E881" t="s">
        <v>76</v>
      </c>
      <c r="F881" s="1">
        <v>45444</v>
      </c>
      <c r="G881">
        <v>2</v>
      </c>
      <c r="H881" t="s">
        <v>71</v>
      </c>
      <c r="I881" t="s">
        <v>53</v>
      </c>
      <c r="J881">
        <v>0.25</v>
      </c>
      <c r="K881">
        <v>181</v>
      </c>
      <c r="L881">
        <v>724</v>
      </c>
      <c r="M881">
        <v>543</v>
      </c>
      <c r="N881" t="s">
        <v>54</v>
      </c>
    </row>
    <row r="882" spans="1:14" x14ac:dyDescent="0.2">
      <c r="A882">
        <v>3881</v>
      </c>
      <c r="B882" t="s">
        <v>1142</v>
      </c>
      <c r="C882" t="s">
        <v>1143</v>
      </c>
      <c r="D882">
        <v>2112</v>
      </c>
      <c r="E882" t="s">
        <v>51</v>
      </c>
      <c r="F882" s="1">
        <v>45485</v>
      </c>
      <c r="G882">
        <v>2</v>
      </c>
      <c r="H882" t="s">
        <v>52</v>
      </c>
      <c r="I882" t="s">
        <v>33</v>
      </c>
      <c r="J882">
        <v>0.2</v>
      </c>
      <c r="K882">
        <v>210.8</v>
      </c>
      <c r="L882">
        <v>1054</v>
      </c>
      <c r="M882">
        <v>843.2</v>
      </c>
      <c r="N882" t="s">
        <v>114</v>
      </c>
    </row>
    <row r="883" spans="1:14" x14ac:dyDescent="0.2">
      <c r="A883">
        <v>3882</v>
      </c>
      <c r="B883" t="s">
        <v>1144</v>
      </c>
      <c r="C883" t="s">
        <v>1145</v>
      </c>
      <c r="D883">
        <v>2113</v>
      </c>
      <c r="E883" t="s">
        <v>76</v>
      </c>
      <c r="F883" s="1">
        <v>45599</v>
      </c>
      <c r="G883">
        <v>1</v>
      </c>
      <c r="H883" t="s">
        <v>52</v>
      </c>
      <c r="I883" t="s">
        <v>47</v>
      </c>
      <c r="J883">
        <v>0.25</v>
      </c>
      <c r="K883">
        <v>65.5</v>
      </c>
      <c r="L883">
        <v>262</v>
      </c>
      <c r="M883">
        <v>196.5</v>
      </c>
      <c r="N883" t="s">
        <v>44</v>
      </c>
    </row>
    <row r="884" spans="1:14" x14ac:dyDescent="0.2">
      <c r="A884">
        <v>3883</v>
      </c>
      <c r="B884" t="s">
        <v>736</v>
      </c>
      <c r="C884" t="s">
        <v>262</v>
      </c>
      <c r="D884">
        <v>2114</v>
      </c>
      <c r="E884" t="s">
        <v>31</v>
      </c>
      <c r="F884" s="1">
        <v>45442</v>
      </c>
      <c r="G884">
        <v>2</v>
      </c>
      <c r="H884" t="s">
        <v>32</v>
      </c>
      <c r="I884" t="s">
        <v>43</v>
      </c>
      <c r="J884">
        <v>0.1</v>
      </c>
      <c r="K884">
        <v>37.300000000000004</v>
      </c>
      <c r="L884">
        <v>373</v>
      </c>
      <c r="M884">
        <v>335.7</v>
      </c>
      <c r="N884" t="s">
        <v>54</v>
      </c>
    </row>
    <row r="885" spans="1:14" x14ac:dyDescent="0.2">
      <c r="A885">
        <v>3884</v>
      </c>
      <c r="B885" t="s">
        <v>502</v>
      </c>
      <c r="C885" t="s">
        <v>935</v>
      </c>
      <c r="D885">
        <v>2115</v>
      </c>
      <c r="E885" t="s">
        <v>42</v>
      </c>
      <c r="F885" s="1">
        <v>45614</v>
      </c>
      <c r="G885">
        <v>3</v>
      </c>
      <c r="H885" t="s">
        <v>32</v>
      </c>
      <c r="I885" t="s">
        <v>53</v>
      </c>
      <c r="J885">
        <v>0.25</v>
      </c>
      <c r="K885">
        <v>276</v>
      </c>
      <c r="L885">
        <v>1104</v>
      </c>
      <c r="M885">
        <v>828</v>
      </c>
      <c r="N885" t="s">
        <v>34</v>
      </c>
    </row>
    <row r="886" spans="1:14" x14ac:dyDescent="0.2">
      <c r="A886">
        <v>3885</v>
      </c>
      <c r="B886" t="s">
        <v>1146</v>
      </c>
      <c r="C886" t="s">
        <v>1147</v>
      </c>
      <c r="D886">
        <v>2116</v>
      </c>
      <c r="E886" t="s">
        <v>76</v>
      </c>
      <c r="F886" s="1">
        <v>45530</v>
      </c>
      <c r="G886">
        <v>1</v>
      </c>
      <c r="H886" t="s">
        <v>32</v>
      </c>
      <c r="I886" t="s">
        <v>43</v>
      </c>
      <c r="J886">
        <v>0.25</v>
      </c>
      <c r="K886">
        <v>320.75</v>
      </c>
      <c r="L886">
        <v>1283</v>
      </c>
      <c r="M886">
        <v>962.25</v>
      </c>
      <c r="N886" t="s">
        <v>44</v>
      </c>
    </row>
    <row r="887" spans="1:14" x14ac:dyDescent="0.2">
      <c r="A887">
        <v>3886</v>
      </c>
      <c r="B887" t="s">
        <v>1148</v>
      </c>
      <c r="C887" t="s">
        <v>1052</v>
      </c>
      <c r="D887">
        <v>2117</v>
      </c>
      <c r="E887" t="s">
        <v>31</v>
      </c>
      <c r="F887" s="1">
        <v>45640</v>
      </c>
      <c r="G887">
        <v>3</v>
      </c>
      <c r="H887" t="s">
        <v>71</v>
      </c>
      <c r="I887" t="s">
        <v>47</v>
      </c>
      <c r="J887">
        <v>0.1</v>
      </c>
      <c r="K887">
        <v>153.9</v>
      </c>
      <c r="L887">
        <v>1539</v>
      </c>
      <c r="M887">
        <v>1385.1</v>
      </c>
      <c r="N887" t="s">
        <v>48</v>
      </c>
    </row>
    <row r="888" spans="1:14" x14ac:dyDescent="0.2">
      <c r="A888">
        <v>3887</v>
      </c>
      <c r="B888" t="s">
        <v>1149</v>
      </c>
      <c r="C888" t="s">
        <v>778</v>
      </c>
      <c r="D888">
        <v>2118</v>
      </c>
      <c r="E888" t="s">
        <v>92</v>
      </c>
      <c r="F888" s="1">
        <v>45398</v>
      </c>
      <c r="G888">
        <v>2</v>
      </c>
      <c r="H888" t="s">
        <v>38</v>
      </c>
      <c r="I888" t="s">
        <v>64</v>
      </c>
      <c r="J888">
        <v>0.3</v>
      </c>
      <c r="K888">
        <v>403.5</v>
      </c>
      <c r="L888">
        <v>1345</v>
      </c>
      <c r="M888">
        <v>941.5</v>
      </c>
      <c r="N888" t="s">
        <v>44</v>
      </c>
    </row>
    <row r="889" spans="1:14" x14ac:dyDescent="0.2">
      <c r="A889">
        <v>3888</v>
      </c>
      <c r="B889" t="s">
        <v>665</v>
      </c>
      <c r="C889" t="s">
        <v>234</v>
      </c>
      <c r="D889">
        <v>2119</v>
      </c>
      <c r="E889" t="s">
        <v>51</v>
      </c>
      <c r="F889" s="1">
        <v>45313</v>
      </c>
      <c r="G889">
        <v>1</v>
      </c>
      <c r="H889" t="s">
        <v>38</v>
      </c>
      <c r="I889" t="s">
        <v>43</v>
      </c>
      <c r="J889">
        <v>0.2</v>
      </c>
      <c r="K889">
        <v>95.800000000000011</v>
      </c>
      <c r="L889">
        <v>479</v>
      </c>
      <c r="M889">
        <v>383.2</v>
      </c>
      <c r="N889" t="s">
        <v>114</v>
      </c>
    </row>
    <row r="890" spans="1:14" x14ac:dyDescent="0.2">
      <c r="A890">
        <v>3889</v>
      </c>
      <c r="B890" t="s">
        <v>213</v>
      </c>
      <c r="C890" t="s">
        <v>1150</v>
      </c>
      <c r="D890">
        <v>2120</v>
      </c>
      <c r="E890" t="s">
        <v>76</v>
      </c>
      <c r="F890" s="1">
        <v>45589</v>
      </c>
      <c r="G890">
        <v>1</v>
      </c>
      <c r="H890" t="s">
        <v>52</v>
      </c>
      <c r="I890" t="s">
        <v>43</v>
      </c>
      <c r="J890">
        <v>0.25</v>
      </c>
      <c r="K890">
        <v>373.25</v>
      </c>
      <c r="L890">
        <v>1493</v>
      </c>
      <c r="M890">
        <v>1119.75</v>
      </c>
      <c r="N890" t="s">
        <v>44</v>
      </c>
    </row>
    <row r="891" spans="1:14" x14ac:dyDescent="0.2">
      <c r="A891">
        <v>3890</v>
      </c>
      <c r="B891" t="s">
        <v>86</v>
      </c>
      <c r="C891" t="s">
        <v>702</v>
      </c>
      <c r="D891">
        <v>2121</v>
      </c>
      <c r="E891" t="s">
        <v>42</v>
      </c>
      <c r="F891" s="1">
        <v>45334</v>
      </c>
      <c r="G891">
        <v>2</v>
      </c>
      <c r="H891" t="s">
        <v>32</v>
      </c>
      <c r="I891" t="s">
        <v>64</v>
      </c>
      <c r="J891">
        <v>0.25</v>
      </c>
      <c r="K891">
        <v>259.5</v>
      </c>
      <c r="L891">
        <v>1038</v>
      </c>
      <c r="M891">
        <v>778.5</v>
      </c>
      <c r="N891" t="s">
        <v>54</v>
      </c>
    </row>
    <row r="892" spans="1:14" x14ac:dyDescent="0.2">
      <c r="A892">
        <v>3891</v>
      </c>
      <c r="B892" t="s">
        <v>1151</v>
      </c>
      <c r="C892" t="s">
        <v>1152</v>
      </c>
      <c r="D892">
        <v>2122</v>
      </c>
      <c r="E892" t="s">
        <v>42</v>
      </c>
      <c r="F892" s="1">
        <v>45506</v>
      </c>
      <c r="G892">
        <v>1</v>
      </c>
      <c r="H892" t="s">
        <v>32</v>
      </c>
      <c r="I892" t="s">
        <v>47</v>
      </c>
      <c r="J892">
        <v>0.25</v>
      </c>
      <c r="K892">
        <v>243.25</v>
      </c>
      <c r="L892">
        <v>973</v>
      </c>
      <c r="M892">
        <v>729.75</v>
      </c>
      <c r="N892" t="s">
        <v>54</v>
      </c>
    </row>
    <row r="893" spans="1:14" x14ac:dyDescent="0.2">
      <c r="A893">
        <v>3892</v>
      </c>
      <c r="B893" t="s">
        <v>1153</v>
      </c>
      <c r="C893" t="s">
        <v>1154</v>
      </c>
      <c r="D893">
        <v>2123</v>
      </c>
      <c r="E893" t="s">
        <v>76</v>
      </c>
      <c r="F893" s="1">
        <v>45639</v>
      </c>
      <c r="G893">
        <v>1</v>
      </c>
      <c r="H893" t="s">
        <v>32</v>
      </c>
      <c r="I893" t="s">
        <v>39</v>
      </c>
      <c r="J893">
        <v>0.25</v>
      </c>
      <c r="K893">
        <v>79.75</v>
      </c>
      <c r="L893">
        <v>319</v>
      </c>
      <c r="M893">
        <v>239.25</v>
      </c>
      <c r="N893" t="s">
        <v>54</v>
      </c>
    </row>
    <row r="894" spans="1:14" x14ac:dyDescent="0.2">
      <c r="A894">
        <v>3893</v>
      </c>
      <c r="B894" t="s">
        <v>172</v>
      </c>
      <c r="C894" t="s">
        <v>1155</v>
      </c>
      <c r="D894">
        <v>2124</v>
      </c>
      <c r="E894" t="s">
        <v>31</v>
      </c>
      <c r="F894" s="1">
        <v>45533</v>
      </c>
      <c r="G894">
        <v>2</v>
      </c>
      <c r="H894" t="s">
        <v>52</v>
      </c>
      <c r="I894" t="s">
        <v>33</v>
      </c>
      <c r="J894">
        <v>0.1</v>
      </c>
      <c r="K894">
        <v>143.6</v>
      </c>
      <c r="L894">
        <v>1436</v>
      </c>
      <c r="M894">
        <v>1292.4000000000001</v>
      </c>
      <c r="N894" t="s">
        <v>34</v>
      </c>
    </row>
    <row r="895" spans="1:14" x14ac:dyDescent="0.2">
      <c r="A895">
        <v>3894</v>
      </c>
      <c r="B895" t="s">
        <v>1156</v>
      </c>
      <c r="C895" t="s">
        <v>1157</v>
      </c>
      <c r="D895">
        <v>2125</v>
      </c>
      <c r="E895" t="s">
        <v>51</v>
      </c>
      <c r="F895" s="1">
        <v>45619</v>
      </c>
      <c r="G895">
        <v>3</v>
      </c>
      <c r="H895" t="s">
        <v>32</v>
      </c>
      <c r="I895" t="s">
        <v>43</v>
      </c>
      <c r="J895">
        <v>0.2</v>
      </c>
      <c r="K895">
        <v>290</v>
      </c>
      <c r="L895">
        <v>1450</v>
      </c>
      <c r="M895">
        <v>1160</v>
      </c>
      <c r="N895" t="s">
        <v>44</v>
      </c>
    </row>
    <row r="896" spans="1:14" x14ac:dyDescent="0.2">
      <c r="A896">
        <v>3895</v>
      </c>
      <c r="B896" t="s">
        <v>1158</v>
      </c>
      <c r="C896" t="s">
        <v>984</v>
      </c>
      <c r="D896">
        <v>2126</v>
      </c>
      <c r="E896" t="s">
        <v>51</v>
      </c>
      <c r="F896" s="1">
        <v>45323</v>
      </c>
      <c r="G896">
        <v>3</v>
      </c>
      <c r="H896" t="s">
        <v>71</v>
      </c>
      <c r="I896" t="s">
        <v>43</v>
      </c>
      <c r="J896">
        <v>0.2</v>
      </c>
      <c r="K896">
        <v>333.40000000000003</v>
      </c>
      <c r="L896">
        <v>1667</v>
      </c>
      <c r="M896">
        <v>1333.6</v>
      </c>
      <c r="N896" t="s">
        <v>44</v>
      </c>
    </row>
    <row r="897" spans="1:14" x14ac:dyDescent="0.2">
      <c r="A897">
        <v>3896</v>
      </c>
      <c r="B897" t="s">
        <v>951</v>
      </c>
      <c r="C897" t="s">
        <v>378</v>
      </c>
      <c r="D897">
        <v>2127</v>
      </c>
      <c r="E897" t="s">
        <v>42</v>
      </c>
      <c r="F897" s="1">
        <v>45448</v>
      </c>
      <c r="G897">
        <v>1</v>
      </c>
      <c r="H897" t="s">
        <v>38</v>
      </c>
      <c r="I897" t="s">
        <v>81</v>
      </c>
      <c r="J897">
        <v>0.25</v>
      </c>
      <c r="K897">
        <v>270</v>
      </c>
      <c r="L897">
        <v>1080</v>
      </c>
      <c r="M897">
        <v>810</v>
      </c>
      <c r="N897" t="s">
        <v>54</v>
      </c>
    </row>
    <row r="898" spans="1:14" x14ac:dyDescent="0.2">
      <c r="A898">
        <v>3897</v>
      </c>
      <c r="B898" t="s">
        <v>1159</v>
      </c>
      <c r="C898" t="s">
        <v>443</v>
      </c>
      <c r="D898">
        <v>2128</v>
      </c>
      <c r="E898" t="s">
        <v>37</v>
      </c>
      <c r="F898" s="1">
        <v>45610</v>
      </c>
      <c r="G898">
        <v>3</v>
      </c>
      <c r="H898" t="s">
        <v>32</v>
      </c>
      <c r="I898" t="s">
        <v>57</v>
      </c>
      <c r="J898">
        <v>0.3</v>
      </c>
      <c r="K898">
        <v>196.2</v>
      </c>
      <c r="L898">
        <v>654</v>
      </c>
      <c r="M898">
        <v>457.8</v>
      </c>
      <c r="N898" t="s">
        <v>34</v>
      </c>
    </row>
    <row r="899" spans="1:14" x14ac:dyDescent="0.2">
      <c r="A899">
        <v>3898</v>
      </c>
      <c r="B899" t="s">
        <v>72</v>
      </c>
      <c r="C899" t="s">
        <v>124</v>
      </c>
      <c r="D899">
        <v>2129</v>
      </c>
      <c r="E899" t="s">
        <v>51</v>
      </c>
      <c r="F899" s="1">
        <v>45644</v>
      </c>
      <c r="G899">
        <v>1</v>
      </c>
      <c r="H899" t="s">
        <v>32</v>
      </c>
      <c r="I899" t="s">
        <v>57</v>
      </c>
      <c r="J899">
        <v>0.2</v>
      </c>
      <c r="K899">
        <v>224.8</v>
      </c>
      <c r="L899">
        <v>1124</v>
      </c>
      <c r="M899">
        <v>899.2</v>
      </c>
      <c r="N899" t="s">
        <v>48</v>
      </c>
    </row>
    <row r="900" spans="1:14" x14ac:dyDescent="0.2">
      <c r="A900">
        <v>3899</v>
      </c>
      <c r="B900" t="s">
        <v>1160</v>
      </c>
      <c r="C900" t="s">
        <v>451</v>
      </c>
      <c r="D900">
        <v>2130</v>
      </c>
      <c r="E900" t="s">
        <v>76</v>
      </c>
      <c r="F900" s="1">
        <v>45465</v>
      </c>
      <c r="G900">
        <v>1</v>
      </c>
      <c r="H900" t="s">
        <v>71</v>
      </c>
      <c r="I900" t="s">
        <v>53</v>
      </c>
      <c r="J900">
        <v>0.25</v>
      </c>
      <c r="K900">
        <v>300</v>
      </c>
      <c r="L900">
        <v>1200</v>
      </c>
      <c r="M900">
        <v>900</v>
      </c>
      <c r="N900" t="s">
        <v>114</v>
      </c>
    </row>
    <row r="901" spans="1:14" x14ac:dyDescent="0.2">
      <c r="A901">
        <v>3900</v>
      </c>
      <c r="B901" t="s">
        <v>1161</v>
      </c>
      <c r="C901" t="s">
        <v>1162</v>
      </c>
      <c r="D901">
        <v>2131</v>
      </c>
      <c r="E901" t="s">
        <v>37</v>
      </c>
      <c r="F901" s="1">
        <v>45294</v>
      </c>
      <c r="G901">
        <v>3</v>
      </c>
      <c r="H901" t="s">
        <v>52</v>
      </c>
      <c r="I901" t="s">
        <v>53</v>
      </c>
      <c r="J901">
        <v>0.3</v>
      </c>
      <c r="K901">
        <v>3.3</v>
      </c>
      <c r="L901">
        <v>11</v>
      </c>
      <c r="M901">
        <v>7.7</v>
      </c>
      <c r="N901" t="s">
        <v>54</v>
      </c>
    </row>
    <row r="902" spans="1:14" x14ac:dyDescent="0.2">
      <c r="A902">
        <v>3901</v>
      </c>
      <c r="B902" t="s">
        <v>1163</v>
      </c>
      <c r="C902" t="s">
        <v>1164</v>
      </c>
      <c r="D902">
        <v>2132</v>
      </c>
      <c r="E902" t="s">
        <v>76</v>
      </c>
      <c r="F902" s="1">
        <v>45322</v>
      </c>
      <c r="G902">
        <v>3</v>
      </c>
      <c r="H902" t="s">
        <v>32</v>
      </c>
      <c r="I902" t="s">
        <v>39</v>
      </c>
      <c r="J902">
        <v>0.25</v>
      </c>
      <c r="K902">
        <v>95</v>
      </c>
      <c r="L902">
        <v>380</v>
      </c>
      <c r="M902">
        <v>285</v>
      </c>
      <c r="N902" t="s">
        <v>54</v>
      </c>
    </row>
    <row r="903" spans="1:14" x14ac:dyDescent="0.2">
      <c r="A903">
        <v>3902</v>
      </c>
      <c r="B903" t="s">
        <v>839</v>
      </c>
      <c r="C903" t="s">
        <v>107</v>
      </c>
      <c r="D903">
        <v>2133</v>
      </c>
      <c r="E903" t="s">
        <v>76</v>
      </c>
      <c r="F903" s="1">
        <v>45563</v>
      </c>
      <c r="G903">
        <v>3</v>
      </c>
      <c r="H903" t="s">
        <v>32</v>
      </c>
      <c r="I903" t="s">
        <v>81</v>
      </c>
      <c r="J903">
        <v>0.25</v>
      </c>
      <c r="K903">
        <v>458</v>
      </c>
      <c r="L903">
        <v>1832</v>
      </c>
      <c r="M903">
        <v>1374</v>
      </c>
      <c r="N903" t="s">
        <v>34</v>
      </c>
    </row>
    <row r="904" spans="1:14" x14ac:dyDescent="0.2">
      <c r="A904">
        <v>3903</v>
      </c>
      <c r="B904" t="s">
        <v>1165</v>
      </c>
      <c r="C904" t="s">
        <v>1166</v>
      </c>
      <c r="D904">
        <v>2134</v>
      </c>
      <c r="E904" t="s">
        <v>42</v>
      </c>
      <c r="F904" s="1">
        <v>45460</v>
      </c>
      <c r="G904">
        <v>1</v>
      </c>
      <c r="H904" t="s">
        <v>52</v>
      </c>
      <c r="I904" t="s">
        <v>33</v>
      </c>
      <c r="J904">
        <v>0.25</v>
      </c>
      <c r="K904">
        <v>49.5</v>
      </c>
      <c r="L904">
        <v>198</v>
      </c>
      <c r="M904">
        <v>148.5</v>
      </c>
      <c r="N904" t="s">
        <v>44</v>
      </c>
    </row>
    <row r="905" spans="1:14" x14ac:dyDescent="0.2">
      <c r="A905">
        <v>3904</v>
      </c>
      <c r="B905" t="s">
        <v>96</v>
      </c>
      <c r="C905" t="s">
        <v>102</v>
      </c>
      <c r="D905">
        <v>2135</v>
      </c>
      <c r="E905" t="s">
        <v>31</v>
      </c>
      <c r="F905" s="1">
        <v>45642</v>
      </c>
      <c r="G905">
        <v>3</v>
      </c>
      <c r="H905" t="s">
        <v>52</v>
      </c>
      <c r="I905" t="s">
        <v>43</v>
      </c>
      <c r="J905">
        <v>0.1</v>
      </c>
      <c r="K905">
        <v>159.60000000000002</v>
      </c>
      <c r="L905">
        <v>1596</v>
      </c>
      <c r="M905">
        <v>1436.4</v>
      </c>
      <c r="N905" t="s">
        <v>54</v>
      </c>
    </row>
    <row r="906" spans="1:14" x14ac:dyDescent="0.2">
      <c r="A906">
        <v>3905</v>
      </c>
      <c r="B906" t="s">
        <v>1167</v>
      </c>
      <c r="C906" t="s">
        <v>1168</v>
      </c>
      <c r="D906">
        <v>2136</v>
      </c>
      <c r="E906" t="s">
        <v>76</v>
      </c>
      <c r="F906" s="1">
        <v>45523</v>
      </c>
      <c r="G906">
        <v>1</v>
      </c>
      <c r="H906" t="s">
        <v>32</v>
      </c>
      <c r="I906" t="s">
        <v>47</v>
      </c>
      <c r="J906">
        <v>0.25</v>
      </c>
      <c r="K906">
        <v>323.25</v>
      </c>
      <c r="L906">
        <v>1293</v>
      </c>
      <c r="M906">
        <v>969.75</v>
      </c>
      <c r="N906" t="s">
        <v>44</v>
      </c>
    </row>
    <row r="907" spans="1:14" x14ac:dyDescent="0.2">
      <c r="A907">
        <v>3906</v>
      </c>
      <c r="B907" t="s">
        <v>1169</v>
      </c>
      <c r="C907" t="s">
        <v>826</v>
      </c>
      <c r="D907">
        <v>2137</v>
      </c>
      <c r="E907" t="s">
        <v>51</v>
      </c>
      <c r="F907" s="1">
        <v>45578</v>
      </c>
      <c r="G907">
        <v>3</v>
      </c>
      <c r="H907" t="s">
        <v>32</v>
      </c>
      <c r="I907" t="s">
        <v>53</v>
      </c>
      <c r="J907">
        <v>0.2</v>
      </c>
      <c r="K907">
        <v>201</v>
      </c>
      <c r="L907">
        <v>1005</v>
      </c>
      <c r="M907">
        <v>804</v>
      </c>
      <c r="N907" t="s">
        <v>34</v>
      </c>
    </row>
    <row r="908" spans="1:14" x14ac:dyDescent="0.2">
      <c r="A908">
        <v>3907</v>
      </c>
      <c r="B908" t="s">
        <v>334</v>
      </c>
      <c r="C908" t="s">
        <v>1170</v>
      </c>
      <c r="D908">
        <v>2138</v>
      </c>
      <c r="E908" t="s">
        <v>42</v>
      </c>
      <c r="F908" s="1">
        <v>45613</v>
      </c>
      <c r="G908">
        <v>2</v>
      </c>
      <c r="H908" t="s">
        <v>38</v>
      </c>
      <c r="I908" t="s">
        <v>81</v>
      </c>
      <c r="J908">
        <v>0.25</v>
      </c>
      <c r="K908">
        <v>396.25</v>
      </c>
      <c r="L908">
        <v>1585</v>
      </c>
      <c r="M908">
        <v>1188.75</v>
      </c>
      <c r="N908" t="s">
        <v>44</v>
      </c>
    </row>
    <row r="909" spans="1:14" x14ac:dyDescent="0.2">
      <c r="A909">
        <v>3908</v>
      </c>
      <c r="B909" t="s">
        <v>1171</v>
      </c>
      <c r="C909" t="s">
        <v>1130</v>
      </c>
      <c r="D909">
        <v>2139</v>
      </c>
      <c r="E909" t="s">
        <v>76</v>
      </c>
      <c r="F909" s="1">
        <v>45434</v>
      </c>
      <c r="G909">
        <v>2</v>
      </c>
      <c r="H909" t="s">
        <v>52</v>
      </c>
      <c r="I909" t="s">
        <v>43</v>
      </c>
      <c r="J909">
        <v>0.25</v>
      </c>
      <c r="K909">
        <v>21.25</v>
      </c>
      <c r="L909">
        <v>85</v>
      </c>
      <c r="M909">
        <v>63.75</v>
      </c>
      <c r="N909" t="s">
        <v>34</v>
      </c>
    </row>
    <row r="910" spans="1:14" x14ac:dyDescent="0.2">
      <c r="A910">
        <v>3909</v>
      </c>
      <c r="B910" t="s">
        <v>508</v>
      </c>
      <c r="C910" t="s">
        <v>705</v>
      </c>
      <c r="D910">
        <v>2140</v>
      </c>
      <c r="E910" t="s">
        <v>51</v>
      </c>
      <c r="F910" s="1">
        <v>45592</v>
      </c>
      <c r="G910">
        <v>1</v>
      </c>
      <c r="H910" t="s">
        <v>32</v>
      </c>
      <c r="I910" t="s">
        <v>39</v>
      </c>
      <c r="J910">
        <v>0.2</v>
      </c>
      <c r="K910">
        <v>115.60000000000001</v>
      </c>
      <c r="L910">
        <v>578</v>
      </c>
      <c r="M910">
        <v>462.4</v>
      </c>
      <c r="N910" t="s">
        <v>48</v>
      </c>
    </row>
    <row r="911" spans="1:14" x14ac:dyDescent="0.2">
      <c r="A911">
        <v>3910</v>
      </c>
      <c r="B911" t="s">
        <v>1172</v>
      </c>
      <c r="C911" t="s">
        <v>745</v>
      </c>
      <c r="D911">
        <v>2141</v>
      </c>
      <c r="E911" t="s">
        <v>37</v>
      </c>
      <c r="F911" s="1">
        <v>45612</v>
      </c>
      <c r="G911">
        <v>1</v>
      </c>
      <c r="H911" t="s">
        <v>52</v>
      </c>
      <c r="I911" t="s">
        <v>81</v>
      </c>
      <c r="J911">
        <v>0.3</v>
      </c>
      <c r="K911">
        <v>145.19999999999999</v>
      </c>
      <c r="L911">
        <v>484</v>
      </c>
      <c r="M911">
        <v>338.8</v>
      </c>
      <c r="N911" t="s">
        <v>54</v>
      </c>
    </row>
    <row r="912" spans="1:14" x14ac:dyDescent="0.2">
      <c r="A912">
        <v>3911</v>
      </c>
      <c r="B912" t="s">
        <v>1173</v>
      </c>
      <c r="C912" t="s">
        <v>519</v>
      </c>
      <c r="D912">
        <v>2142</v>
      </c>
      <c r="E912" t="s">
        <v>51</v>
      </c>
      <c r="F912" s="1">
        <v>45531</v>
      </c>
      <c r="G912">
        <v>2</v>
      </c>
      <c r="H912" t="s">
        <v>32</v>
      </c>
      <c r="I912" t="s">
        <v>57</v>
      </c>
      <c r="J912">
        <v>0.2</v>
      </c>
      <c r="K912">
        <v>109</v>
      </c>
      <c r="L912">
        <v>545</v>
      </c>
      <c r="M912">
        <v>436</v>
      </c>
      <c r="N912" t="s">
        <v>44</v>
      </c>
    </row>
    <row r="913" spans="1:14" x14ac:dyDescent="0.2">
      <c r="A913">
        <v>3912</v>
      </c>
      <c r="B913" t="s">
        <v>408</v>
      </c>
      <c r="C913" t="s">
        <v>327</v>
      </c>
      <c r="D913">
        <v>2143</v>
      </c>
      <c r="E913" t="s">
        <v>42</v>
      </c>
      <c r="F913" s="1">
        <v>45472</v>
      </c>
      <c r="G913">
        <v>2</v>
      </c>
      <c r="H913" t="s">
        <v>32</v>
      </c>
      <c r="I913" t="s">
        <v>53</v>
      </c>
      <c r="J913">
        <v>0.25</v>
      </c>
      <c r="K913">
        <v>208.5</v>
      </c>
      <c r="L913">
        <v>834</v>
      </c>
      <c r="M913">
        <v>625.5</v>
      </c>
      <c r="N913" t="s">
        <v>48</v>
      </c>
    </row>
    <row r="914" spans="1:14" x14ac:dyDescent="0.2">
      <c r="A914">
        <v>3913</v>
      </c>
      <c r="B914" t="s">
        <v>106</v>
      </c>
      <c r="C914" t="s">
        <v>375</v>
      </c>
      <c r="D914">
        <v>2144</v>
      </c>
      <c r="E914" t="s">
        <v>92</v>
      </c>
      <c r="F914" s="1">
        <v>45588</v>
      </c>
      <c r="G914">
        <v>1</v>
      </c>
      <c r="H914" t="s">
        <v>52</v>
      </c>
      <c r="I914" t="s">
        <v>33</v>
      </c>
      <c r="J914">
        <v>0.3</v>
      </c>
      <c r="K914">
        <v>4.8</v>
      </c>
      <c r="L914">
        <v>16</v>
      </c>
      <c r="M914">
        <v>11.2</v>
      </c>
      <c r="N914" t="s">
        <v>54</v>
      </c>
    </row>
    <row r="915" spans="1:14" x14ac:dyDescent="0.2">
      <c r="A915">
        <v>3914</v>
      </c>
      <c r="B915" t="s">
        <v>1021</v>
      </c>
      <c r="C915" t="s">
        <v>614</v>
      </c>
      <c r="D915">
        <v>2145</v>
      </c>
      <c r="E915" t="s">
        <v>76</v>
      </c>
      <c r="F915" s="1">
        <v>45456</v>
      </c>
      <c r="G915">
        <v>3</v>
      </c>
      <c r="H915" t="s">
        <v>52</v>
      </c>
      <c r="I915" t="s">
        <v>81</v>
      </c>
      <c r="J915">
        <v>0.25</v>
      </c>
      <c r="K915">
        <v>192</v>
      </c>
      <c r="L915">
        <v>768</v>
      </c>
      <c r="M915">
        <v>576</v>
      </c>
      <c r="N915" t="s">
        <v>34</v>
      </c>
    </row>
    <row r="916" spans="1:14" x14ac:dyDescent="0.2">
      <c r="A916">
        <v>3915</v>
      </c>
      <c r="B916" t="s">
        <v>1174</v>
      </c>
      <c r="C916" t="s">
        <v>1175</v>
      </c>
      <c r="D916">
        <v>2146</v>
      </c>
      <c r="E916" t="s">
        <v>37</v>
      </c>
      <c r="F916" s="1">
        <v>45517</v>
      </c>
      <c r="G916">
        <v>3</v>
      </c>
      <c r="H916" t="s">
        <v>32</v>
      </c>
      <c r="I916" t="s">
        <v>53</v>
      </c>
      <c r="J916">
        <v>0.3</v>
      </c>
      <c r="K916">
        <v>37.5</v>
      </c>
      <c r="L916">
        <v>125</v>
      </c>
      <c r="M916">
        <v>87.5</v>
      </c>
      <c r="N916" t="s">
        <v>48</v>
      </c>
    </row>
    <row r="917" spans="1:14" x14ac:dyDescent="0.2">
      <c r="A917">
        <v>3916</v>
      </c>
      <c r="B917" t="s">
        <v>240</v>
      </c>
      <c r="C917" t="s">
        <v>1176</v>
      </c>
      <c r="D917">
        <v>2147</v>
      </c>
      <c r="E917" t="s">
        <v>31</v>
      </c>
      <c r="F917" s="1">
        <v>45647</v>
      </c>
      <c r="G917">
        <v>3</v>
      </c>
      <c r="H917" t="s">
        <v>52</v>
      </c>
      <c r="I917" t="s">
        <v>53</v>
      </c>
      <c r="J917">
        <v>0.1</v>
      </c>
      <c r="K917">
        <v>37</v>
      </c>
      <c r="L917">
        <v>370</v>
      </c>
      <c r="M917">
        <v>333</v>
      </c>
      <c r="N917" t="s">
        <v>44</v>
      </c>
    </row>
    <row r="918" spans="1:14" x14ac:dyDescent="0.2">
      <c r="A918">
        <v>3917</v>
      </c>
      <c r="B918" t="s">
        <v>292</v>
      </c>
      <c r="C918" t="s">
        <v>284</v>
      </c>
      <c r="D918">
        <v>2148</v>
      </c>
      <c r="E918" t="s">
        <v>92</v>
      </c>
      <c r="F918" s="1">
        <v>45448</v>
      </c>
      <c r="G918">
        <v>3</v>
      </c>
      <c r="H918" t="s">
        <v>52</v>
      </c>
      <c r="I918" t="s">
        <v>53</v>
      </c>
      <c r="J918">
        <v>0.3</v>
      </c>
      <c r="K918">
        <v>461.4</v>
      </c>
      <c r="L918">
        <v>1538</v>
      </c>
      <c r="M918">
        <v>1076.5999999999999</v>
      </c>
      <c r="N918" t="s">
        <v>44</v>
      </c>
    </row>
    <row r="919" spans="1:14" x14ac:dyDescent="0.2">
      <c r="A919">
        <v>3918</v>
      </c>
      <c r="B919" t="s">
        <v>1132</v>
      </c>
      <c r="C919" t="s">
        <v>1177</v>
      </c>
      <c r="D919">
        <v>2149</v>
      </c>
      <c r="E919" t="s">
        <v>51</v>
      </c>
      <c r="F919" s="1">
        <v>45605</v>
      </c>
      <c r="G919">
        <v>1</v>
      </c>
      <c r="H919" t="s">
        <v>52</v>
      </c>
      <c r="I919" t="s">
        <v>43</v>
      </c>
      <c r="J919">
        <v>0.2</v>
      </c>
      <c r="K919">
        <v>56.6</v>
      </c>
      <c r="L919">
        <v>283</v>
      </c>
      <c r="M919">
        <v>226.4</v>
      </c>
      <c r="N919" t="s">
        <v>44</v>
      </c>
    </row>
    <row r="920" spans="1:14" x14ac:dyDescent="0.2">
      <c r="A920">
        <v>3919</v>
      </c>
      <c r="B920" t="s">
        <v>1178</v>
      </c>
      <c r="C920" t="s">
        <v>437</v>
      </c>
      <c r="D920">
        <v>2150</v>
      </c>
      <c r="E920" t="s">
        <v>37</v>
      </c>
      <c r="F920" s="1">
        <v>45502</v>
      </c>
      <c r="G920">
        <v>3</v>
      </c>
      <c r="H920" t="s">
        <v>32</v>
      </c>
      <c r="I920" t="s">
        <v>81</v>
      </c>
      <c r="J920">
        <v>0.3</v>
      </c>
      <c r="K920">
        <v>165.29999999999998</v>
      </c>
      <c r="L920">
        <v>551</v>
      </c>
      <c r="M920">
        <v>385.70000000000005</v>
      </c>
      <c r="N920" t="s">
        <v>54</v>
      </c>
    </row>
    <row r="921" spans="1:14" x14ac:dyDescent="0.2">
      <c r="A921">
        <v>3920</v>
      </c>
      <c r="B921" t="s">
        <v>1179</v>
      </c>
      <c r="C921" t="s">
        <v>1180</v>
      </c>
      <c r="D921">
        <v>2151</v>
      </c>
      <c r="E921" t="s">
        <v>42</v>
      </c>
      <c r="F921" s="1">
        <v>45616</v>
      </c>
      <c r="G921">
        <v>3</v>
      </c>
      <c r="H921" t="s">
        <v>32</v>
      </c>
      <c r="I921" t="s">
        <v>43</v>
      </c>
      <c r="J921">
        <v>0.25</v>
      </c>
      <c r="K921">
        <v>346</v>
      </c>
      <c r="L921">
        <v>1384</v>
      </c>
      <c r="M921">
        <v>1038</v>
      </c>
      <c r="N921" t="s">
        <v>48</v>
      </c>
    </row>
    <row r="922" spans="1:14" x14ac:dyDescent="0.2">
      <c r="A922">
        <v>3921</v>
      </c>
      <c r="B922" t="s">
        <v>1181</v>
      </c>
      <c r="C922" t="s">
        <v>1182</v>
      </c>
      <c r="D922">
        <v>2152</v>
      </c>
      <c r="E922" t="s">
        <v>76</v>
      </c>
      <c r="F922" s="1">
        <v>45591</v>
      </c>
      <c r="G922">
        <v>3</v>
      </c>
      <c r="H922" t="s">
        <v>32</v>
      </c>
      <c r="I922" t="s">
        <v>33</v>
      </c>
      <c r="J922">
        <v>0.25</v>
      </c>
      <c r="K922">
        <v>354.5</v>
      </c>
      <c r="L922">
        <v>1418</v>
      </c>
      <c r="M922">
        <v>1063.5</v>
      </c>
      <c r="N922" t="s">
        <v>54</v>
      </c>
    </row>
    <row r="923" spans="1:14" x14ac:dyDescent="0.2">
      <c r="A923">
        <v>3922</v>
      </c>
      <c r="B923" t="s">
        <v>1183</v>
      </c>
      <c r="C923" t="s">
        <v>1013</v>
      </c>
      <c r="D923">
        <v>2153</v>
      </c>
      <c r="E923" t="s">
        <v>37</v>
      </c>
      <c r="F923" s="1">
        <v>45491</v>
      </c>
      <c r="G923">
        <v>2</v>
      </c>
      <c r="H923" t="s">
        <v>38</v>
      </c>
      <c r="I923" t="s">
        <v>43</v>
      </c>
      <c r="J923">
        <v>0.3</v>
      </c>
      <c r="K923">
        <v>184.79999999999998</v>
      </c>
      <c r="L923">
        <v>616</v>
      </c>
      <c r="M923">
        <v>431.20000000000005</v>
      </c>
      <c r="N923" t="s">
        <v>34</v>
      </c>
    </row>
    <row r="924" spans="1:14" x14ac:dyDescent="0.2">
      <c r="A924">
        <v>3923</v>
      </c>
      <c r="B924" t="s">
        <v>813</v>
      </c>
      <c r="C924" t="s">
        <v>475</v>
      </c>
      <c r="D924">
        <v>2154</v>
      </c>
      <c r="E924" t="s">
        <v>42</v>
      </c>
      <c r="F924" s="1">
        <v>45439</v>
      </c>
      <c r="G924">
        <v>3</v>
      </c>
      <c r="H924" t="s">
        <v>71</v>
      </c>
      <c r="I924" t="s">
        <v>47</v>
      </c>
      <c r="J924">
        <v>0.25</v>
      </c>
      <c r="K924">
        <v>332.5</v>
      </c>
      <c r="L924">
        <v>1330</v>
      </c>
      <c r="M924">
        <v>997.5</v>
      </c>
      <c r="N924" t="s">
        <v>44</v>
      </c>
    </row>
    <row r="925" spans="1:14" x14ac:dyDescent="0.2">
      <c r="A925">
        <v>3924</v>
      </c>
      <c r="B925" t="s">
        <v>215</v>
      </c>
      <c r="C925" t="s">
        <v>1083</v>
      </c>
      <c r="D925">
        <v>2155</v>
      </c>
      <c r="E925" t="s">
        <v>92</v>
      </c>
      <c r="F925" s="1">
        <v>45558</v>
      </c>
      <c r="G925">
        <v>2</v>
      </c>
      <c r="H925" t="s">
        <v>32</v>
      </c>
      <c r="I925" t="s">
        <v>64</v>
      </c>
      <c r="J925">
        <v>0.3</v>
      </c>
      <c r="K925">
        <v>531</v>
      </c>
      <c r="L925">
        <v>1770</v>
      </c>
      <c r="M925">
        <v>1239</v>
      </c>
      <c r="N925" t="s">
        <v>44</v>
      </c>
    </row>
    <row r="926" spans="1:14" x14ac:dyDescent="0.2">
      <c r="A926">
        <v>3925</v>
      </c>
      <c r="B926" t="s">
        <v>1070</v>
      </c>
      <c r="C926" t="s">
        <v>966</v>
      </c>
      <c r="D926">
        <v>2156</v>
      </c>
      <c r="E926" t="s">
        <v>92</v>
      </c>
      <c r="F926" s="1">
        <v>45343</v>
      </c>
      <c r="G926">
        <v>3</v>
      </c>
      <c r="H926" t="s">
        <v>52</v>
      </c>
      <c r="I926" t="s">
        <v>81</v>
      </c>
      <c r="J926">
        <v>0.3</v>
      </c>
      <c r="K926">
        <v>309.3</v>
      </c>
      <c r="L926">
        <v>1031</v>
      </c>
      <c r="M926">
        <v>721.7</v>
      </c>
      <c r="N926" t="s">
        <v>34</v>
      </c>
    </row>
    <row r="927" spans="1:14" x14ac:dyDescent="0.2">
      <c r="A927">
        <v>3926</v>
      </c>
      <c r="B927" t="s">
        <v>1184</v>
      </c>
      <c r="C927" t="s">
        <v>318</v>
      </c>
      <c r="D927">
        <v>2157</v>
      </c>
      <c r="E927" t="s">
        <v>76</v>
      </c>
      <c r="F927" s="1">
        <v>45488</v>
      </c>
      <c r="G927">
        <v>1</v>
      </c>
      <c r="H927" t="s">
        <v>32</v>
      </c>
      <c r="I927" t="s">
        <v>53</v>
      </c>
      <c r="J927">
        <v>0.25</v>
      </c>
      <c r="K927">
        <v>248.75</v>
      </c>
      <c r="L927">
        <v>995</v>
      </c>
      <c r="M927">
        <v>746.25</v>
      </c>
      <c r="N927" t="s">
        <v>34</v>
      </c>
    </row>
    <row r="928" spans="1:14" x14ac:dyDescent="0.2">
      <c r="A928">
        <v>3927</v>
      </c>
      <c r="B928" t="s">
        <v>203</v>
      </c>
      <c r="C928" t="s">
        <v>1185</v>
      </c>
      <c r="D928">
        <v>2158</v>
      </c>
      <c r="E928" t="s">
        <v>76</v>
      </c>
      <c r="F928" s="1">
        <v>45620</v>
      </c>
      <c r="G928">
        <v>2</v>
      </c>
      <c r="H928" t="s">
        <v>38</v>
      </c>
      <c r="I928" t="s">
        <v>81</v>
      </c>
      <c r="J928">
        <v>0.25</v>
      </c>
      <c r="K928">
        <v>387.25</v>
      </c>
      <c r="L928">
        <v>1549</v>
      </c>
      <c r="M928">
        <v>1161.75</v>
      </c>
      <c r="N928" t="s">
        <v>34</v>
      </c>
    </row>
    <row r="929" spans="1:14" x14ac:dyDescent="0.2">
      <c r="A929">
        <v>3928</v>
      </c>
      <c r="B929" t="s">
        <v>746</v>
      </c>
      <c r="C929" t="s">
        <v>107</v>
      </c>
      <c r="D929">
        <v>2159</v>
      </c>
      <c r="E929" t="s">
        <v>37</v>
      </c>
      <c r="F929" s="1">
        <v>45529</v>
      </c>
      <c r="G929">
        <v>3</v>
      </c>
      <c r="H929" t="s">
        <v>32</v>
      </c>
      <c r="I929" t="s">
        <v>53</v>
      </c>
      <c r="J929">
        <v>0.3</v>
      </c>
      <c r="K929">
        <v>171.9</v>
      </c>
      <c r="L929">
        <v>573</v>
      </c>
      <c r="M929">
        <v>401.1</v>
      </c>
      <c r="N929" t="s">
        <v>34</v>
      </c>
    </row>
    <row r="930" spans="1:14" x14ac:dyDescent="0.2">
      <c r="A930">
        <v>3929</v>
      </c>
      <c r="B930" t="s">
        <v>1043</v>
      </c>
      <c r="C930" t="s">
        <v>1186</v>
      </c>
      <c r="D930">
        <v>2160</v>
      </c>
      <c r="E930" t="s">
        <v>76</v>
      </c>
      <c r="F930" s="1">
        <v>45350</v>
      </c>
      <c r="G930">
        <v>3</v>
      </c>
      <c r="H930" t="s">
        <v>32</v>
      </c>
      <c r="I930" t="s">
        <v>33</v>
      </c>
      <c r="J930">
        <v>0.25</v>
      </c>
      <c r="K930">
        <v>356.5</v>
      </c>
      <c r="L930">
        <v>1426</v>
      </c>
      <c r="M930">
        <v>1069.5</v>
      </c>
      <c r="N930" t="s">
        <v>48</v>
      </c>
    </row>
    <row r="931" spans="1:14" x14ac:dyDescent="0.2">
      <c r="A931">
        <v>3930</v>
      </c>
      <c r="B931" t="s">
        <v>229</v>
      </c>
      <c r="C931" t="s">
        <v>494</v>
      </c>
      <c r="D931">
        <v>2161</v>
      </c>
      <c r="E931" t="s">
        <v>76</v>
      </c>
      <c r="F931" s="1">
        <v>45358</v>
      </c>
      <c r="G931">
        <v>2</v>
      </c>
      <c r="H931" t="s">
        <v>32</v>
      </c>
      <c r="I931" t="s">
        <v>43</v>
      </c>
      <c r="J931">
        <v>0.25</v>
      </c>
      <c r="K931">
        <v>374</v>
      </c>
      <c r="L931">
        <v>1496</v>
      </c>
      <c r="M931">
        <v>1122</v>
      </c>
      <c r="N931" t="s">
        <v>34</v>
      </c>
    </row>
    <row r="932" spans="1:14" x14ac:dyDescent="0.2">
      <c r="A932">
        <v>3931</v>
      </c>
      <c r="B932" t="s">
        <v>1187</v>
      </c>
      <c r="C932" t="s">
        <v>750</v>
      </c>
      <c r="D932">
        <v>2162</v>
      </c>
      <c r="E932" t="s">
        <v>51</v>
      </c>
      <c r="F932" s="1">
        <v>45551</v>
      </c>
      <c r="G932">
        <v>2</v>
      </c>
      <c r="H932" t="s">
        <v>52</v>
      </c>
      <c r="I932" t="s">
        <v>53</v>
      </c>
      <c r="J932">
        <v>0.2</v>
      </c>
      <c r="K932">
        <v>151.80000000000001</v>
      </c>
      <c r="L932">
        <v>759</v>
      </c>
      <c r="M932">
        <v>607.20000000000005</v>
      </c>
      <c r="N932" t="s">
        <v>114</v>
      </c>
    </row>
    <row r="933" spans="1:14" x14ac:dyDescent="0.2">
      <c r="A933">
        <v>3932</v>
      </c>
      <c r="B933" t="s">
        <v>864</v>
      </c>
      <c r="C933" t="s">
        <v>646</v>
      </c>
      <c r="D933">
        <v>2163</v>
      </c>
      <c r="E933" t="s">
        <v>37</v>
      </c>
      <c r="F933" s="1">
        <v>45297</v>
      </c>
      <c r="G933">
        <v>2</v>
      </c>
      <c r="H933" t="s">
        <v>52</v>
      </c>
      <c r="I933" t="s">
        <v>39</v>
      </c>
      <c r="J933">
        <v>0.3</v>
      </c>
      <c r="K933">
        <v>405.9</v>
      </c>
      <c r="L933">
        <v>1353</v>
      </c>
      <c r="M933">
        <v>947.1</v>
      </c>
      <c r="N933" t="s">
        <v>34</v>
      </c>
    </row>
    <row r="934" spans="1:14" x14ac:dyDescent="0.2">
      <c r="A934">
        <v>3933</v>
      </c>
      <c r="B934" t="s">
        <v>1188</v>
      </c>
      <c r="C934" t="s">
        <v>599</v>
      </c>
      <c r="D934">
        <v>2164</v>
      </c>
      <c r="E934" t="s">
        <v>76</v>
      </c>
      <c r="F934" s="1">
        <v>45625</v>
      </c>
      <c r="G934">
        <v>3</v>
      </c>
      <c r="H934" t="s">
        <v>38</v>
      </c>
      <c r="I934" t="s">
        <v>33</v>
      </c>
      <c r="J934">
        <v>0.25</v>
      </c>
      <c r="K934">
        <v>319.75</v>
      </c>
      <c r="L934">
        <v>1279</v>
      </c>
      <c r="M934">
        <v>959.25</v>
      </c>
      <c r="N934" t="s">
        <v>114</v>
      </c>
    </row>
    <row r="935" spans="1:14" x14ac:dyDescent="0.2">
      <c r="A935">
        <v>3934</v>
      </c>
      <c r="B935" t="s">
        <v>1189</v>
      </c>
      <c r="C935" t="s">
        <v>368</v>
      </c>
      <c r="D935">
        <v>2165</v>
      </c>
      <c r="E935" t="s">
        <v>31</v>
      </c>
      <c r="F935" s="1">
        <v>45474</v>
      </c>
      <c r="G935">
        <v>1</v>
      </c>
      <c r="H935" t="s">
        <v>71</v>
      </c>
      <c r="I935" t="s">
        <v>57</v>
      </c>
      <c r="J935">
        <v>0.1</v>
      </c>
      <c r="K935">
        <v>90.600000000000009</v>
      </c>
      <c r="L935">
        <v>906</v>
      </c>
      <c r="M935">
        <v>815.4</v>
      </c>
      <c r="N935" t="s">
        <v>114</v>
      </c>
    </row>
    <row r="936" spans="1:14" x14ac:dyDescent="0.2">
      <c r="A936">
        <v>3935</v>
      </c>
      <c r="B936" t="s">
        <v>751</v>
      </c>
      <c r="C936" t="s">
        <v>1190</v>
      </c>
      <c r="D936">
        <v>2166</v>
      </c>
      <c r="E936" t="s">
        <v>92</v>
      </c>
      <c r="F936" s="1">
        <v>45365</v>
      </c>
      <c r="G936">
        <v>1</v>
      </c>
      <c r="H936" t="s">
        <v>52</v>
      </c>
      <c r="I936" t="s">
        <v>57</v>
      </c>
      <c r="J936">
        <v>0.3</v>
      </c>
      <c r="K936">
        <v>388.8</v>
      </c>
      <c r="L936">
        <v>1296</v>
      </c>
      <c r="M936">
        <v>907.2</v>
      </c>
      <c r="N936" t="s">
        <v>114</v>
      </c>
    </row>
    <row r="937" spans="1:14" x14ac:dyDescent="0.2">
      <c r="A937">
        <v>3936</v>
      </c>
      <c r="B937" t="s">
        <v>161</v>
      </c>
      <c r="C937" t="s">
        <v>1191</v>
      </c>
      <c r="D937">
        <v>2167</v>
      </c>
      <c r="E937" t="s">
        <v>92</v>
      </c>
      <c r="F937" s="1">
        <v>45463</v>
      </c>
      <c r="G937">
        <v>3</v>
      </c>
      <c r="H937" t="s">
        <v>52</v>
      </c>
      <c r="I937" t="s">
        <v>81</v>
      </c>
      <c r="J937">
        <v>0.3</v>
      </c>
      <c r="K937">
        <v>366.3</v>
      </c>
      <c r="L937">
        <v>1221</v>
      </c>
      <c r="M937">
        <v>854.7</v>
      </c>
      <c r="N937" t="s">
        <v>54</v>
      </c>
    </row>
    <row r="938" spans="1:14" x14ac:dyDescent="0.2">
      <c r="A938">
        <v>3937</v>
      </c>
      <c r="B938" t="s">
        <v>734</v>
      </c>
      <c r="C938" t="s">
        <v>1192</v>
      </c>
      <c r="D938">
        <v>2168</v>
      </c>
      <c r="E938" t="s">
        <v>42</v>
      </c>
      <c r="F938" s="1">
        <v>45592</v>
      </c>
      <c r="G938">
        <v>1</v>
      </c>
      <c r="H938" t="s">
        <v>71</v>
      </c>
      <c r="I938" t="s">
        <v>43</v>
      </c>
      <c r="J938">
        <v>0.25</v>
      </c>
      <c r="K938">
        <v>211</v>
      </c>
      <c r="L938">
        <v>844</v>
      </c>
      <c r="M938">
        <v>633</v>
      </c>
      <c r="N938" t="s">
        <v>48</v>
      </c>
    </row>
    <row r="939" spans="1:14" x14ac:dyDescent="0.2">
      <c r="A939">
        <v>3938</v>
      </c>
      <c r="B939" t="s">
        <v>1193</v>
      </c>
      <c r="C939" t="s">
        <v>582</v>
      </c>
      <c r="D939">
        <v>2169</v>
      </c>
      <c r="E939" t="s">
        <v>51</v>
      </c>
      <c r="F939" s="1">
        <v>45642</v>
      </c>
      <c r="G939">
        <v>2</v>
      </c>
      <c r="H939" t="s">
        <v>32</v>
      </c>
      <c r="I939" t="s">
        <v>43</v>
      </c>
      <c r="J939">
        <v>0.2</v>
      </c>
      <c r="K939">
        <v>268.40000000000003</v>
      </c>
      <c r="L939">
        <v>1342</v>
      </c>
      <c r="M939">
        <v>1073.5999999999999</v>
      </c>
      <c r="N939" t="s">
        <v>48</v>
      </c>
    </row>
    <row r="940" spans="1:14" x14ac:dyDescent="0.2">
      <c r="A940">
        <v>3939</v>
      </c>
      <c r="B940" t="s">
        <v>1186</v>
      </c>
      <c r="C940" t="s">
        <v>786</v>
      </c>
      <c r="D940">
        <v>2170</v>
      </c>
      <c r="E940" t="s">
        <v>92</v>
      </c>
      <c r="F940" s="1">
        <v>45353</v>
      </c>
      <c r="G940">
        <v>3</v>
      </c>
      <c r="H940" t="s">
        <v>32</v>
      </c>
      <c r="I940" t="s">
        <v>39</v>
      </c>
      <c r="J940">
        <v>0.3</v>
      </c>
      <c r="K940">
        <v>5.0999999999999996</v>
      </c>
      <c r="L940">
        <v>17</v>
      </c>
      <c r="M940">
        <v>11.9</v>
      </c>
      <c r="N940" t="s">
        <v>114</v>
      </c>
    </row>
    <row r="941" spans="1:14" x14ac:dyDescent="0.2">
      <c r="A941">
        <v>3940</v>
      </c>
      <c r="B941" t="s">
        <v>1194</v>
      </c>
      <c r="C941" t="s">
        <v>1195</v>
      </c>
      <c r="D941">
        <v>2171</v>
      </c>
      <c r="E941" t="s">
        <v>76</v>
      </c>
      <c r="F941" s="1">
        <v>45358</v>
      </c>
      <c r="G941">
        <v>2</v>
      </c>
      <c r="H941" t="s">
        <v>52</v>
      </c>
      <c r="I941" t="s">
        <v>33</v>
      </c>
      <c r="J941">
        <v>0.25</v>
      </c>
      <c r="K941">
        <v>275</v>
      </c>
      <c r="L941">
        <v>1100</v>
      </c>
      <c r="M941">
        <v>825</v>
      </c>
      <c r="N941" t="s">
        <v>34</v>
      </c>
    </row>
    <row r="942" spans="1:14" x14ac:dyDescent="0.2">
      <c r="A942">
        <v>3941</v>
      </c>
      <c r="B942" t="s">
        <v>982</v>
      </c>
      <c r="C942" t="s">
        <v>236</v>
      </c>
      <c r="D942">
        <v>2172</v>
      </c>
      <c r="E942" t="s">
        <v>42</v>
      </c>
      <c r="F942" s="1">
        <v>45343</v>
      </c>
      <c r="G942">
        <v>3</v>
      </c>
      <c r="H942" t="s">
        <v>52</v>
      </c>
      <c r="I942" t="s">
        <v>53</v>
      </c>
      <c r="J942">
        <v>0.25</v>
      </c>
      <c r="K942">
        <v>4.25</v>
      </c>
      <c r="L942">
        <v>17</v>
      </c>
      <c r="M942">
        <v>12.75</v>
      </c>
      <c r="N942" t="s">
        <v>44</v>
      </c>
    </row>
    <row r="943" spans="1:14" x14ac:dyDescent="0.2">
      <c r="A943">
        <v>3942</v>
      </c>
      <c r="B943" t="s">
        <v>1064</v>
      </c>
      <c r="C943" t="s">
        <v>616</v>
      </c>
      <c r="D943">
        <v>2173</v>
      </c>
      <c r="E943" t="s">
        <v>51</v>
      </c>
      <c r="F943" s="1">
        <v>45657</v>
      </c>
      <c r="G943">
        <v>3</v>
      </c>
      <c r="H943" t="s">
        <v>32</v>
      </c>
      <c r="I943" t="s">
        <v>47</v>
      </c>
      <c r="J943">
        <v>0.2</v>
      </c>
      <c r="K943">
        <v>276.8</v>
      </c>
      <c r="L943">
        <v>1384</v>
      </c>
      <c r="M943">
        <v>1107.2</v>
      </c>
      <c r="N943" t="s">
        <v>44</v>
      </c>
    </row>
    <row r="944" spans="1:14" x14ac:dyDescent="0.2">
      <c r="A944">
        <v>3943</v>
      </c>
      <c r="B944" t="s">
        <v>712</v>
      </c>
      <c r="C944" t="s">
        <v>922</v>
      </c>
      <c r="D944">
        <v>2174</v>
      </c>
      <c r="E944" t="s">
        <v>92</v>
      </c>
      <c r="F944" s="1">
        <v>45643</v>
      </c>
      <c r="G944">
        <v>3</v>
      </c>
      <c r="H944" t="s">
        <v>71</v>
      </c>
      <c r="I944" t="s">
        <v>53</v>
      </c>
      <c r="J944">
        <v>0.3</v>
      </c>
      <c r="K944">
        <v>282.59999999999997</v>
      </c>
      <c r="L944">
        <v>942</v>
      </c>
      <c r="M944">
        <v>659.40000000000009</v>
      </c>
      <c r="N944" t="s">
        <v>34</v>
      </c>
    </row>
    <row r="945" spans="1:14" x14ac:dyDescent="0.2">
      <c r="A945">
        <v>3944</v>
      </c>
      <c r="B945" t="s">
        <v>29</v>
      </c>
      <c r="C945" t="s">
        <v>1196</v>
      </c>
      <c r="D945">
        <v>2175</v>
      </c>
      <c r="E945" t="s">
        <v>76</v>
      </c>
      <c r="F945" s="1">
        <v>45395</v>
      </c>
      <c r="G945">
        <v>2</v>
      </c>
      <c r="H945" t="s">
        <v>38</v>
      </c>
      <c r="I945" t="s">
        <v>43</v>
      </c>
      <c r="J945">
        <v>0.25</v>
      </c>
      <c r="K945">
        <v>25</v>
      </c>
      <c r="L945">
        <v>100</v>
      </c>
      <c r="M945">
        <v>75</v>
      </c>
      <c r="N945" t="s">
        <v>34</v>
      </c>
    </row>
    <row r="946" spans="1:14" x14ac:dyDescent="0.2">
      <c r="A946">
        <v>3945</v>
      </c>
      <c r="B946" t="s">
        <v>233</v>
      </c>
      <c r="C946" t="s">
        <v>1045</v>
      </c>
      <c r="D946">
        <v>2176</v>
      </c>
      <c r="E946" t="s">
        <v>92</v>
      </c>
      <c r="F946" s="1">
        <v>45572</v>
      </c>
      <c r="G946">
        <v>2</v>
      </c>
      <c r="H946" t="s">
        <v>32</v>
      </c>
      <c r="I946" t="s">
        <v>81</v>
      </c>
      <c r="J946">
        <v>0.3</v>
      </c>
      <c r="K946">
        <v>374.4</v>
      </c>
      <c r="L946">
        <v>1248</v>
      </c>
      <c r="M946">
        <v>873.6</v>
      </c>
      <c r="N946" t="s">
        <v>34</v>
      </c>
    </row>
    <row r="947" spans="1:14" x14ac:dyDescent="0.2">
      <c r="A947">
        <v>3946</v>
      </c>
      <c r="B947" t="s">
        <v>198</v>
      </c>
      <c r="C947" t="s">
        <v>1048</v>
      </c>
      <c r="D947">
        <v>2177</v>
      </c>
      <c r="E947" t="s">
        <v>42</v>
      </c>
      <c r="F947" s="1">
        <v>45447</v>
      </c>
      <c r="G947">
        <v>1</v>
      </c>
      <c r="H947" t="s">
        <v>52</v>
      </c>
      <c r="I947" t="s">
        <v>57</v>
      </c>
      <c r="J947">
        <v>0.25</v>
      </c>
      <c r="K947">
        <v>341.5</v>
      </c>
      <c r="L947">
        <v>1366</v>
      </c>
      <c r="M947">
        <v>1024.5</v>
      </c>
      <c r="N947" t="s">
        <v>44</v>
      </c>
    </row>
    <row r="948" spans="1:14" x14ac:dyDescent="0.2">
      <c r="A948">
        <v>3947</v>
      </c>
      <c r="B948" t="s">
        <v>1197</v>
      </c>
      <c r="C948" t="s">
        <v>262</v>
      </c>
      <c r="D948">
        <v>2178</v>
      </c>
      <c r="E948" t="s">
        <v>76</v>
      </c>
      <c r="F948" s="1">
        <v>45652</v>
      </c>
      <c r="G948">
        <v>2</v>
      </c>
      <c r="H948" t="s">
        <v>32</v>
      </c>
      <c r="I948" t="s">
        <v>53</v>
      </c>
      <c r="J948">
        <v>0.25</v>
      </c>
      <c r="K948">
        <v>184.5</v>
      </c>
      <c r="L948">
        <v>738</v>
      </c>
      <c r="M948">
        <v>553.5</v>
      </c>
      <c r="N948" t="s">
        <v>34</v>
      </c>
    </row>
    <row r="949" spans="1:14" x14ac:dyDescent="0.2">
      <c r="A949">
        <v>3948</v>
      </c>
      <c r="B949" t="s">
        <v>74</v>
      </c>
      <c r="C949" t="s">
        <v>1198</v>
      </c>
      <c r="D949">
        <v>2179</v>
      </c>
      <c r="E949" t="s">
        <v>76</v>
      </c>
      <c r="F949" s="1">
        <v>45583</v>
      </c>
      <c r="G949">
        <v>2</v>
      </c>
      <c r="H949" t="s">
        <v>52</v>
      </c>
      <c r="I949" t="s">
        <v>57</v>
      </c>
      <c r="J949">
        <v>0.25</v>
      </c>
      <c r="K949">
        <v>251</v>
      </c>
      <c r="L949">
        <v>1004</v>
      </c>
      <c r="M949">
        <v>753</v>
      </c>
      <c r="N949" t="s">
        <v>34</v>
      </c>
    </row>
    <row r="950" spans="1:14" x14ac:dyDescent="0.2">
      <c r="A950">
        <v>3949</v>
      </c>
      <c r="B950" t="s">
        <v>65</v>
      </c>
      <c r="C950" t="s">
        <v>806</v>
      </c>
      <c r="D950">
        <v>2180</v>
      </c>
      <c r="E950" t="s">
        <v>92</v>
      </c>
      <c r="F950" s="1">
        <v>45528</v>
      </c>
      <c r="G950">
        <v>1</v>
      </c>
      <c r="H950" t="s">
        <v>32</v>
      </c>
      <c r="I950" t="s">
        <v>53</v>
      </c>
      <c r="J950">
        <v>0.3</v>
      </c>
      <c r="K950">
        <v>414</v>
      </c>
      <c r="L950">
        <v>1380</v>
      </c>
      <c r="M950">
        <v>966</v>
      </c>
      <c r="N950" t="s">
        <v>34</v>
      </c>
    </row>
    <row r="951" spans="1:14" x14ac:dyDescent="0.2">
      <c r="A951">
        <v>3950</v>
      </c>
      <c r="B951" t="s">
        <v>1199</v>
      </c>
      <c r="C951" t="s">
        <v>1200</v>
      </c>
      <c r="D951">
        <v>2181</v>
      </c>
      <c r="E951" t="s">
        <v>76</v>
      </c>
      <c r="F951" s="1">
        <v>45461</v>
      </c>
      <c r="G951">
        <v>2</v>
      </c>
      <c r="H951" t="s">
        <v>38</v>
      </c>
      <c r="I951" t="s">
        <v>43</v>
      </c>
      <c r="J951">
        <v>0.25</v>
      </c>
      <c r="K951">
        <v>65.75</v>
      </c>
      <c r="L951">
        <v>263</v>
      </c>
      <c r="M951">
        <v>197.25</v>
      </c>
      <c r="N951" t="s">
        <v>54</v>
      </c>
    </row>
    <row r="952" spans="1:14" x14ac:dyDescent="0.2">
      <c r="A952">
        <v>3951</v>
      </c>
      <c r="B952" t="s">
        <v>878</v>
      </c>
      <c r="C952" t="s">
        <v>745</v>
      </c>
      <c r="D952">
        <v>2182</v>
      </c>
      <c r="E952" t="s">
        <v>31</v>
      </c>
      <c r="F952" s="1">
        <v>45465</v>
      </c>
      <c r="G952">
        <v>1</v>
      </c>
      <c r="H952" t="s">
        <v>52</v>
      </c>
      <c r="I952" t="s">
        <v>43</v>
      </c>
      <c r="J952">
        <v>0.1</v>
      </c>
      <c r="K952">
        <v>100.9</v>
      </c>
      <c r="L952">
        <v>1009</v>
      </c>
      <c r="M952">
        <v>908.1</v>
      </c>
      <c r="N952" t="s">
        <v>48</v>
      </c>
    </row>
    <row r="953" spans="1:14" x14ac:dyDescent="0.2">
      <c r="A953">
        <v>3952</v>
      </c>
      <c r="B953" t="s">
        <v>1201</v>
      </c>
      <c r="C953" t="s">
        <v>1202</v>
      </c>
      <c r="D953">
        <v>2183</v>
      </c>
      <c r="E953" t="s">
        <v>31</v>
      </c>
      <c r="F953" s="1">
        <v>45503</v>
      </c>
      <c r="G953">
        <v>3</v>
      </c>
      <c r="H953" t="s">
        <v>71</v>
      </c>
      <c r="I953" t="s">
        <v>43</v>
      </c>
      <c r="J953">
        <v>0.1</v>
      </c>
      <c r="K953">
        <v>127</v>
      </c>
      <c r="L953">
        <v>1270</v>
      </c>
      <c r="M953">
        <v>1143</v>
      </c>
      <c r="N953" t="s">
        <v>48</v>
      </c>
    </row>
    <row r="954" spans="1:14" x14ac:dyDescent="0.2">
      <c r="A954">
        <v>3953</v>
      </c>
      <c r="B954" t="s">
        <v>225</v>
      </c>
      <c r="C954" t="s">
        <v>140</v>
      </c>
      <c r="D954">
        <v>2184</v>
      </c>
      <c r="E954" t="s">
        <v>76</v>
      </c>
      <c r="F954" s="1">
        <v>45376</v>
      </c>
      <c r="G954">
        <v>3</v>
      </c>
      <c r="H954" t="s">
        <v>52</v>
      </c>
      <c r="I954" t="s">
        <v>53</v>
      </c>
      <c r="J954">
        <v>0.25</v>
      </c>
      <c r="K954">
        <v>190.75</v>
      </c>
      <c r="L954">
        <v>763</v>
      </c>
      <c r="M954">
        <v>572.25</v>
      </c>
      <c r="N954" t="s">
        <v>114</v>
      </c>
    </row>
    <row r="955" spans="1:14" x14ac:dyDescent="0.2">
      <c r="A955">
        <v>3954</v>
      </c>
      <c r="B955" t="s">
        <v>876</v>
      </c>
      <c r="C955" t="s">
        <v>1086</v>
      </c>
      <c r="D955">
        <v>2185</v>
      </c>
      <c r="E955" t="s">
        <v>51</v>
      </c>
      <c r="F955" s="1">
        <v>45340</v>
      </c>
      <c r="G955">
        <v>2</v>
      </c>
      <c r="H955" t="s">
        <v>52</v>
      </c>
      <c r="I955" t="s">
        <v>57</v>
      </c>
      <c r="J955">
        <v>0.2</v>
      </c>
      <c r="K955">
        <v>291.2</v>
      </c>
      <c r="L955">
        <v>1456</v>
      </c>
      <c r="M955">
        <v>1164.8</v>
      </c>
      <c r="N955" t="s">
        <v>48</v>
      </c>
    </row>
    <row r="956" spans="1:14" x14ac:dyDescent="0.2">
      <c r="A956">
        <v>3955</v>
      </c>
      <c r="B956" t="s">
        <v>1203</v>
      </c>
      <c r="C956" t="s">
        <v>806</v>
      </c>
      <c r="D956">
        <v>2186</v>
      </c>
      <c r="E956" t="s">
        <v>76</v>
      </c>
      <c r="F956" s="1">
        <v>45605</v>
      </c>
      <c r="G956">
        <v>2</v>
      </c>
      <c r="H956" t="s">
        <v>71</v>
      </c>
      <c r="I956" t="s">
        <v>64</v>
      </c>
      <c r="J956">
        <v>0.25</v>
      </c>
      <c r="K956">
        <v>299.75</v>
      </c>
      <c r="L956">
        <v>1199</v>
      </c>
      <c r="M956">
        <v>899.25</v>
      </c>
      <c r="N956" t="s">
        <v>44</v>
      </c>
    </row>
    <row r="957" spans="1:14" x14ac:dyDescent="0.2">
      <c r="A957">
        <v>3956</v>
      </c>
      <c r="B957" t="s">
        <v>889</v>
      </c>
      <c r="C957" t="s">
        <v>672</v>
      </c>
      <c r="D957">
        <v>2187</v>
      </c>
      <c r="E957" t="s">
        <v>76</v>
      </c>
      <c r="F957" s="1">
        <v>45505</v>
      </c>
      <c r="G957">
        <v>2</v>
      </c>
      <c r="H957" t="s">
        <v>32</v>
      </c>
      <c r="I957" t="s">
        <v>64</v>
      </c>
      <c r="J957">
        <v>0.25</v>
      </c>
      <c r="K957">
        <v>43.75</v>
      </c>
      <c r="L957">
        <v>175</v>
      </c>
      <c r="M957">
        <v>131.25</v>
      </c>
      <c r="N957" t="s">
        <v>44</v>
      </c>
    </row>
    <row r="958" spans="1:14" x14ac:dyDescent="0.2">
      <c r="A958">
        <v>3957</v>
      </c>
      <c r="B958" t="s">
        <v>776</v>
      </c>
      <c r="C958" t="s">
        <v>312</v>
      </c>
      <c r="D958">
        <v>2188</v>
      </c>
      <c r="E958" t="s">
        <v>92</v>
      </c>
      <c r="F958" s="1">
        <v>45387</v>
      </c>
      <c r="G958">
        <v>3</v>
      </c>
      <c r="H958" t="s">
        <v>71</v>
      </c>
      <c r="I958" t="s">
        <v>47</v>
      </c>
      <c r="J958">
        <v>0.3</v>
      </c>
      <c r="K958">
        <v>313.5</v>
      </c>
      <c r="L958">
        <v>1045</v>
      </c>
      <c r="M958">
        <v>731.5</v>
      </c>
      <c r="N958" t="s">
        <v>114</v>
      </c>
    </row>
    <row r="959" spans="1:14" x14ac:dyDescent="0.2">
      <c r="A959">
        <v>3958</v>
      </c>
      <c r="B959" t="s">
        <v>401</v>
      </c>
      <c r="C959" t="s">
        <v>1204</v>
      </c>
      <c r="D959">
        <v>2189</v>
      </c>
      <c r="E959" t="s">
        <v>76</v>
      </c>
      <c r="F959" s="1">
        <v>45352</v>
      </c>
      <c r="G959">
        <v>3</v>
      </c>
      <c r="H959" t="s">
        <v>52</v>
      </c>
      <c r="I959" t="s">
        <v>57</v>
      </c>
      <c r="J959">
        <v>0.25</v>
      </c>
      <c r="K959">
        <v>353.75</v>
      </c>
      <c r="L959">
        <v>1415</v>
      </c>
      <c r="M959">
        <v>1061.25</v>
      </c>
      <c r="N959" t="s">
        <v>48</v>
      </c>
    </row>
    <row r="960" spans="1:14" x14ac:dyDescent="0.2">
      <c r="A960">
        <v>3959</v>
      </c>
      <c r="B960" t="s">
        <v>1205</v>
      </c>
      <c r="C960" t="s">
        <v>707</v>
      </c>
      <c r="D960">
        <v>2190</v>
      </c>
      <c r="E960" t="s">
        <v>37</v>
      </c>
      <c r="F960" s="1">
        <v>45476</v>
      </c>
      <c r="G960">
        <v>1</v>
      </c>
      <c r="H960" t="s">
        <v>32</v>
      </c>
      <c r="I960" t="s">
        <v>81</v>
      </c>
      <c r="J960">
        <v>0.3</v>
      </c>
      <c r="K960">
        <v>24</v>
      </c>
      <c r="L960">
        <v>80</v>
      </c>
      <c r="M960">
        <v>56</v>
      </c>
      <c r="N960" t="s">
        <v>54</v>
      </c>
    </row>
    <row r="961" spans="1:14" x14ac:dyDescent="0.2">
      <c r="A961">
        <v>3960</v>
      </c>
      <c r="B961" t="s">
        <v>1206</v>
      </c>
      <c r="C961" t="s">
        <v>158</v>
      </c>
      <c r="D961">
        <v>2191</v>
      </c>
      <c r="E961" t="s">
        <v>31</v>
      </c>
      <c r="F961" s="1">
        <v>45396</v>
      </c>
      <c r="G961">
        <v>3</v>
      </c>
      <c r="H961" t="s">
        <v>32</v>
      </c>
      <c r="I961" t="s">
        <v>43</v>
      </c>
      <c r="J961">
        <v>0.1</v>
      </c>
      <c r="K961">
        <v>136.20000000000002</v>
      </c>
      <c r="L961">
        <v>1362</v>
      </c>
      <c r="M961">
        <v>1225.8</v>
      </c>
      <c r="N961" t="s">
        <v>54</v>
      </c>
    </row>
    <row r="962" spans="1:14" x14ac:dyDescent="0.2">
      <c r="A962">
        <v>3961</v>
      </c>
      <c r="B962" t="s">
        <v>241</v>
      </c>
      <c r="C962" t="s">
        <v>266</v>
      </c>
      <c r="D962">
        <v>2192</v>
      </c>
      <c r="E962" t="s">
        <v>92</v>
      </c>
      <c r="F962" s="1">
        <v>45596</v>
      </c>
      <c r="G962">
        <v>3</v>
      </c>
      <c r="H962" t="s">
        <v>52</v>
      </c>
      <c r="I962" t="s">
        <v>53</v>
      </c>
      <c r="J962">
        <v>0.3</v>
      </c>
      <c r="K962">
        <v>531</v>
      </c>
      <c r="L962">
        <v>1770</v>
      </c>
      <c r="M962">
        <v>1239</v>
      </c>
      <c r="N962" t="s">
        <v>114</v>
      </c>
    </row>
    <row r="963" spans="1:14" x14ac:dyDescent="0.2">
      <c r="A963">
        <v>3962</v>
      </c>
      <c r="B963" t="s">
        <v>744</v>
      </c>
      <c r="C963" t="s">
        <v>1006</v>
      </c>
      <c r="D963">
        <v>2193</v>
      </c>
      <c r="E963" t="s">
        <v>76</v>
      </c>
      <c r="F963" s="1">
        <v>45605</v>
      </c>
      <c r="G963">
        <v>3</v>
      </c>
      <c r="H963" t="s">
        <v>52</v>
      </c>
      <c r="I963" t="s">
        <v>81</v>
      </c>
      <c r="J963">
        <v>0.25</v>
      </c>
      <c r="K963">
        <v>298</v>
      </c>
      <c r="L963">
        <v>1192</v>
      </c>
      <c r="M963">
        <v>894</v>
      </c>
      <c r="N963" t="s">
        <v>48</v>
      </c>
    </row>
    <row r="964" spans="1:14" x14ac:dyDescent="0.2">
      <c r="A964">
        <v>3963</v>
      </c>
      <c r="B964" t="s">
        <v>897</v>
      </c>
      <c r="C964" t="s">
        <v>177</v>
      </c>
      <c r="D964">
        <v>2194</v>
      </c>
      <c r="E964" t="s">
        <v>42</v>
      </c>
      <c r="F964" s="1">
        <v>45444</v>
      </c>
      <c r="G964">
        <v>2</v>
      </c>
      <c r="H964" t="s">
        <v>32</v>
      </c>
      <c r="I964" t="s">
        <v>57</v>
      </c>
      <c r="J964">
        <v>0.25</v>
      </c>
      <c r="K964">
        <v>301</v>
      </c>
      <c r="L964">
        <v>1204</v>
      </c>
      <c r="M964">
        <v>903</v>
      </c>
      <c r="N964" t="s">
        <v>34</v>
      </c>
    </row>
    <row r="965" spans="1:14" x14ac:dyDescent="0.2">
      <c r="A965">
        <v>3964</v>
      </c>
      <c r="B965" t="s">
        <v>1111</v>
      </c>
      <c r="C965" t="s">
        <v>185</v>
      </c>
      <c r="D965">
        <v>2195</v>
      </c>
      <c r="E965" t="s">
        <v>92</v>
      </c>
      <c r="F965" s="1">
        <v>45581</v>
      </c>
      <c r="G965">
        <v>1</v>
      </c>
      <c r="H965" t="s">
        <v>52</v>
      </c>
      <c r="I965" t="s">
        <v>33</v>
      </c>
      <c r="J965">
        <v>0.3</v>
      </c>
      <c r="K965">
        <v>446.4</v>
      </c>
      <c r="L965">
        <v>1488</v>
      </c>
      <c r="M965">
        <v>1041.5999999999999</v>
      </c>
      <c r="N965" t="s">
        <v>114</v>
      </c>
    </row>
    <row r="966" spans="1:14" x14ac:dyDescent="0.2">
      <c r="A966">
        <v>3965</v>
      </c>
      <c r="B966" t="s">
        <v>1207</v>
      </c>
      <c r="C966" t="s">
        <v>323</v>
      </c>
      <c r="D966">
        <v>2196</v>
      </c>
      <c r="E966" t="s">
        <v>51</v>
      </c>
      <c r="F966" s="1">
        <v>45427</v>
      </c>
      <c r="G966">
        <v>3</v>
      </c>
      <c r="H966" t="s">
        <v>52</v>
      </c>
      <c r="I966" t="s">
        <v>47</v>
      </c>
      <c r="J966">
        <v>0.2</v>
      </c>
      <c r="K966">
        <v>194</v>
      </c>
      <c r="L966">
        <v>970</v>
      </c>
      <c r="M966">
        <v>776</v>
      </c>
      <c r="N966" t="s">
        <v>48</v>
      </c>
    </row>
    <row r="967" spans="1:14" x14ac:dyDescent="0.2">
      <c r="A967">
        <v>3966</v>
      </c>
      <c r="B967" t="s">
        <v>1208</v>
      </c>
      <c r="C967" t="s">
        <v>1099</v>
      </c>
      <c r="D967">
        <v>2197</v>
      </c>
      <c r="E967" t="s">
        <v>42</v>
      </c>
      <c r="F967" s="1">
        <v>45622</v>
      </c>
      <c r="G967">
        <v>1</v>
      </c>
      <c r="H967" t="s">
        <v>52</v>
      </c>
      <c r="I967" t="s">
        <v>53</v>
      </c>
      <c r="J967">
        <v>0.25</v>
      </c>
      <c r="K967">
        <v>463</v>
      </c>
      <c r="L967">
        <v>1852</v>
      </c>
      <c r="M967">
        <v>1389</v>
      </c>
      <c r="N967" t="s">
        <v>48</v>
      </c>
    </row>
    <row r="968" spans="1:14" x14ac:dyDescent="0.2">
      <c r="A968">
        <v>3967</v>
      </c>
      <c r="B968" t="s">
        <v>690</v>
      </c>
      <c r="C968" t="s">
        <v>787</v>
      </c>
      <c r="D968">
        <v>2198</v>
      </c>
      <c r="E968" t="s">
        <v>92</v>
      </c>
      <c r="F968" s="1">
        <v>45390</v>
      </c>
      <c r="G968">
        <v>3</v>
      </c>
      <c r="H968" t="s">
        <v>52</v>
      </c>
      <c r="I968" t="s">
        <v>81</v>
      </c>
      <c r="J968">
        <v>0.3</v>
      </c>
      <c r="K968">
        <v>104.7</v>
      </c>
      <c r="L968">
        <v>349</v>
      </c>
      <c r="M968">
        <v>244.3</v>
      </c>
      <c r="N968" t="s">
        <v>44</v>
      </c>
    </row>
    <row r="969" spans="1:14" x14ac:dyDescent="0.2">
      <c r="A969">
        <v>3968</v>
      </c>
      <c r="B969" t="s">
        <v>170</v>
      </c>
      <c r="C969" t="s">
        <v>1209</v>
      </c>
      <c r="D969">
        <v>2199</v>
      </c>
      <c r="E969" t="s">
        <v>31</v>
      </c>
      <c r="F969" s="1">
        <v>45591</v>
      </c>
      <c r="G969">
        <v>1</v>
      </c>
      <c r="H969" t="s">
        <v>52</v>
      </c>
      <c r="I969" t="s">
        <v>57</v>
      </c>
      <c r="J969">
        <v>0.1</v>
      </c>
      <c r="K969">
        <v>99.4</v>
      </c>
      <c r="L969">
        <v>994</v>
      </c>
      <c r="M969">
        <v>894.6</v>
      </c>
      <c r="N969" t="s">
        <v>48</v>
      </c>
    </row>
    <row r="970" spans="1:14" x14ac:dyDescent="0.2">
      <c r="A970">
        <v>3969</v>
      </c>
      <c r="B970" t="s">
        <v>1210</v>
      </c>
      <c r="C970" t="s">
        <v>569</v>
      </c>
      <c r="D970">
        <v>2200</v>
      </c>
      <c r="E970" t="s">
        <v>51</v>
      </c>
      <c r="F970" s="1">
        <v>45640</v>
      </c>
      <c r="G970">
        <v>1</v>
      </c>
      <c r="H970" t="s">
        <v>52</v>
      </c>
      <c r="I970" t="s">
        <v>39</v>
      </c>
      <c r="J970">
        <v>0.2</v>
      </c>
      <c r="K970">
        <v>230.60000000000002</v>
      </c>
      <c r="L970">
        <v>1153</v>
      </c>
      <c r="M970">
        <v>922.4</v>
      </c>
      <c r="N970" t="s">
        <v>54</v>
      </c>
    </row>
    <row r="971" spans="1:14" x14ac:dyDescent="0.2">
      <c r="A971">
        <v>3970</v>
      </c>
      <c r="B971" t="s">
        <v>658</v>
      </c>
      <c r="C971" t="s">
        <v>1211</v>
      </c>
      <c r="D971">
        <v>2201</v>
      </c>
      <c r="E971" t="s">
        <v>31</v>
      </c>
      <c r="F971" s="1">
        <v>45541</v>
      </c>
      <c r="G971">
        <v>3</v>
      </c>
      <c r="H971" t="s">
        <v>32</v>
      </c>
      <c r="I971" t="s">
        <v>53</v>
      </c>
      <c r="J971">
        <v>0.1</v>
      </c>
      <c r="K971">
        <v>126.9</v>
      </c>
      <c r="L971">
        <v>1269</v>
      </c>
      <c r="M971">
        <v>1142.0999999999999</v>
      </c>
      <c r="N971" t="s">
        <v>34</v>
      </c>
    </row>
    <row r="972" spans="1:14" x14ac:dyDescent="0.2">
      <c r="A972">
        <v>3971</v>
      </c>
      <c r="B972" t="s">
        <v>850</v>
      </c>
      <c r="C972" t="s">
        <v>875</v>
      </c>
      <c r="D972">
        <v>2202</v>
      </c>
      <c r="E972" t="s">
        <v>76</v>
      </c>
      <c r="F972" s="1">
        <v>45295</v>
      </c>
      <c r="G972">
        <v>2</v>
      </c>
      <c r="H972" t="s">
        <v>32</v>
      </c>
      <c r="I972" t="s">
        <v>64</v>
      </c>
      <c r="J972">
        <v>0.25</v>
      </c>
      <c r="K972">
        <v>137</v>
      </c>
      <c r="L972">
        <v>548</v>
      </c>
      <c r="M972">
        <v>411</v>
      </c>
      <c r="N972" t="s">
        <v>34</v>
      </c>
    </row>
    <row r="973" spans="1:14" x14ac:dyDescent="0.2">
      <c r="A973">
        <v>3972</v>
      </c>
      <c r="B973" t="s">
        <v>1212</v>
      </c>
      <c r="C973" t="s">
        <v>703</v>
      </c>
      <c r="D973">
        <v>2203</v>
      </c>
      <c r="E973" t="s">
        <v>92</v>
      </c>
      <c r="F973" s="1">
        <v>45441</v>
      </c>
      <c r="G973">
        <v>1</v>
      </c>
      <c r="H973" t="s">
        <v>52</v>
      </c>
      <c r="I973" t="s">
        <v>43</v>
      </c>
      <c r="J973">
        <v>0.3</v>
      </c>
      <c r="K973">
        <v>194.7</v>
      </c>
      <c r="L973">
        <v>649</v>
      </c>
      <c r="M973">
        <v>454.3</v>
      </c>
      <c r="N973" t="s">
        <v>48</v>
      </c>
    </row>
    <row r="974" spans="1:14" x14ac:dyDescent="0.2">
      <c r="A974">
        <v>3973</v>
      </c>
      <c r="B974" t="s">
        <v>1213</v>
      </c>
      <c r="C974" t="s">
        <v>263</v>
      </c>
      <c r="D974">
        <v>2204</v>
      </c>
      <c r="E974" t="s">
        <v>92</v>
      </c>
      <c r="F974" s="1">
        <v>45322</v>
      </c>
      <c r="G974">
        <v>1</v>
      </c>
      <c r="H974" t="s">
        <v>71</v>
      </c>
      <c r="I974" t="s">
        <v>43</v>
      </c>
      <c r="J974">
        <v>0.3</v>
      </c>
      <c r="K974">
        <v>335.7</v>
      </c>
      <c r="L974">
        <v>1119</v>
      </c>
      <c r="M974">
        <v>783.3</v>
      </c>
      <c r="N974" t="s">
        <v>114</v>
      </c>
    </row>
    <row r="975" spans="1:14" x14ac:dyDescent="0.2">
      <c r="A975">
        <v>3974</v>
      </c>
      <c r="B975" t="s">
        <v>1214</v>
      </c>
      <c r="C975" t="s">
        <v>1215</v>
      </c>
      <c r="D975">
        <v>2205</v>
      </c>
      <c r="E975" t="s">
        <v>51</v>
      </c>
      <c r="F975" s="1">
        <v>45432</v>
      </c>
      <c r="G975">
        <v>2</v>
      </c>
      <c r="H975" t="s">
        <v>38</v>
      </c>
      <c r="I975" t="s">
        <v>47</v>
      </c>
      <c r="J975">
        <v>0.2</v>
      </c>
      <c r="K975">
        <v>160</v>
      </c>
      <c r="L975">
        <v>800</v>
      </c>
      <c r="M975">
        <v>640</v>
      </c>
      <c r="N975" t="s">
        <v>34</v>
      </c>
    </row>
    <row r="976" spans="1:14" x14ac:dyDescent="0.2">
      <c r="A976">
        <v>3975</v>
      </c>
      <c r="B976" t="s">
        <v>970</v>
      </c>
      <c r="C976" t="s">
        <v>447</v>
      </c>
      <c r="D976">
        <v>2206</v>
      </c>
      <c r="E976" t="s">
        <v>76</v>
      </c>
      <c r="F976" s="1">
        <v>45486</v>
      </c>
      <c r="G976">
        <v>3</v>
      </c>
      <c r="H976" t="s">
        <v>32</v>
      </c>
      <c r="I976" t="s">
        <v>57</v>
      </c>
      <c r="J976">
        <v>0.25</v>
      </c>
      <c r="K976">
        <v>179.5</v>
      </c>
      <c r="L976">
        <v>718</v>
      </c>
      <c r="M976">
        <v>538.5</v>
      </c>
      <c r="N976" t="s">
        <v>44</v>
      </c>
    </row>
    <row r="977" spans="1:14" x14ac:dyDescent="0.2">
      <c r="A977">
        <v>3976</v>
      </c>
      <c r="B977" t="s">
        <v>211</v>
      </c>
      <c r="C977" t="s">
        <v>531</v>
      </c>
      <c r="D977">
        <v>2207</v>
      </c>
      <c r="E977" t="s">
        <v>76</v>
      </c>
      <c r="F977" s="1">
        <v>45492</v>
      </c>
      <c r="G977">
        <v>1</v>
      </c>
      <c r="H977" t="s">
        <v>52</v>
      </c>
      <c r="I977" t="s">
        <v>33</v>
      </c>
      <c r="J977">
        <v>0.25</v>
      </c>
      <c r="K977">
        <v>43.75</v>
      </c>
      <c r="L977">
        <v>175</v>
      </c>
      <c r="M977">
        <v>131.25</v>
      </c>
      <c r="N977" t="s">
        <v>54</v>
      </c>
    </row>
    <row r="978" spans="1:14" x14ac:dyDescent="0.2">
      <c r="A978">
        <v>3977</v>
      </c>
      <c r="B978" t="s">
        <v>1148</v>
      </c>
      <c r="C978" t="s">
        <v>1216</v>
      </c>
      <c r="D978">
        <v>2208</v>
      </c>
      <c r="E978" t="s">
        <v>42</v>
      </c>
      <c r="F978" s="1">
        <v>45444</v>
      </c>
      <c r="G978">
        <v>3</v>
      </c>
      <c r="H978" t="s">
        <v>32</v>
      </c>
      <c r="I978" t="s">
        <v>81</v>
      </c>
      <c r="J978">
        <v>0.25</v>
      </c>
      <c r="K978">
        <v>78.5</v>
      </c>
      <c r="L978">
        <v>314</v>
      </c>
      <c r="M978">
        <v>235.5</v>
      </c>
      <c r="N978" t="s">
        <v>54</v>
      </c>
    </row>
    <row r="979" spans="1:14" x14ac:dyDescent="0.2">
      <c r="A979">
        <v>3978</v>
      </c>
      <c r="B979" t="s">
        <v>467</v>
      </c>
      <c r="C979" t="s">
        <v>1217</v>
      </c>
      <c r="D979">
        <v>2209</v>
      </c>
      <c r="E979" t="s">
        <v>51</v>
      </c>
      <c r="F979" s="1">
        <v>45305</v>
      </c>
      <c r="G979">
        <v>2</v>
      </c>
      <c r="H979" t="s">
        <v>32</v>
      </c>
      <c r="I979" t="s">
        <v>43</v>
      </c>
      <c r="J979">
        <v>0.2</v>
      </c>
      <c r="K979">
        <v>82</v>
      </c>
      <c r="L979">
        <v>410</v>
      </c>
      <c r="M979">
        <v>328</v>
      </c>
      <c r="N979" t="s">
        <v>34</v>
      </c>
    </row>
    <row r="980" spans="1:14" x14ac:dyDescent="0.2">
      <c r="A980">
        <v>3979</v>
      </c>
      <c r="B980" t="s">
        <v>225</v>
      </c>
      <c r="C980" t="s">
        <v>883</v>
      </c>
      <c r="D980">
        <v>2210</v>
      </c>
      <c r="E980" t="s">
        <v>76</v>
      </c>
      <c r="F980" s="1">
        <v>45392</v>
      </c>
      <c r="G980">
        <v>3</v>
      </c>
      <c r="H980" t="s">
        <v>32</v>
      </c>
      <c r="I980" t="s">
        <v>57</v>
      </c>
      <c r="J980">
        <v>0.25</v>
      </c>
      <c r="K980">
        <v>430.75</v>
      </c>
      <c r="L980">
        <v>1723</v>
      </c>
      <c r="M980">
        <v>1292.25</v>
      </c>
      <c r="N980" t="s">
        <v>34</v>
      </c>
    </row>
    <row r="981" spans="1:14" x14ac:dyDescent="0.2">
      <c r="A981">
        <v>3980</v>
      </c>
      <c r="B981" t="s">
        <v>292</v>
      </c>
      <c r="C981" t="s">
        <v>120</v>
      </c>
      <c r="D981">
        <v>2211</v>
      </c>
      <c r="E981" t="s">
        <v>92</v>
      </c>
      <c r="F981" s="1">
        <v>45561</v>
      </c>
      <c r="G981">
        <v>2</v>
      </c>
      <c r="H981" t="s">
        <v>52</v>
      </c>
      <c r="I981" t="s">
        <v>64</v>
      </c>
      <c r="J981">
        <v>0.3</v>
      </c>
      <c r="K981">
        <v>350.09999999999997</v>
      </c>
      <c r="L981">
        <v>1167</v>
      </c>
      <c r="M981">
        <v>816.90000000000009</v>
      </c>
      <c r="N981" t="s">
        <v>44</v>
      </c>
    </row>
    <row r="982" spans="1:14" x14ac:dyDescent="0.2">
      <c r="A982">
        <v>3981</v>
      </c>
      <c r="B982" t="s">
        <v>686</v>
      </c>
      <c r="C982" t="s">
        <v>1009</v>
      </c>
      <c r="D982">
        <v>2212</v>
      </c>
      <c r="E982" t="s">
        <v>37</v>
      </c>
      <c r="F982" s="1">
        <v>45484</v>
      </c>
      <c r="G982">
        <v>3</v>
      </c>
      <c r="H982" t="s">
        <v>52</v>
      </c>
      <c r="I982" t="s">
        <v>64</v>
      </c>
      <c r="J982">
        <v>0.3</v>
      </c>
      <c r="K982">
        <v>551.1</v>
      </c>
      <c r="L982">
        <v>1837</v>
      </c>
      <c r="M982">
        <v>1285.9000000000001</v>
      </c>
      <c r="N982" t="s">
        <v>54</v>
      </c>
    </row>
    <row r="983" spans="1:14" x14ac:dyDescent="0.2">
      <c r="A983">
        <v>3982</v>
      </c>
      <c r="B983" t="s">
        <v>1218</v>
      </c>
      <c r="C983" t="s">
        <v>433</v>
      </c>
      <c r="D983">
        <v>2213</v>
      </c>
      <c r="E983" t="s">
        <v>76</v>
      </c>
      <c r="F983" s="1">
        <v>45307</v>
      </c>
      <c r="G983">
        <v>2</v>
      </c>
      <c r="H983" t="s">
        <v>71</v>
      </c>
      <c r="I983" t="s">
        <v>81</v>
      </c>
      <c r="J983">
        <v>0.25</v>
      </c>
      <c r="K983">
        <v>405.5</v>
      </c>
      <c r="L983">
        <v>1622</v>
      </c>
      <c r="M983">
        <v>1216.5</v>
      </c>
      <c r="N983" t="s">
        <v>34</v>
      </c>
    </row>
    <row r="984" spans="1:14" x14ac:dyDescent="0.2">
      <c r="A984">
        <v>3983</v>
      </c>
      <c r="B984" t="s">
        <v>658</v>
      </c>
      <c r="C984" t="s">
        <v>348</v>
      </c>
      <c r="D984">
        <v>2214</v>
      </c>
      <c r="E984" t="s">
        <v>37</v>
      </c>
      <c r="F984" s="1">
        <v>45353</v>
      </c>
      <c r="G984">
        <v>2</v>
      </c>
      <c r="H984" t="s">
        <v>52</v>
      </c>
      <c r="I984" t="s">
        <v>57</v>
      </c>
      <c r="J984">
        <v>0.3</v>
      </c>
      <c r="K984">
        <v>423.3</v>
      </c>
      <c r="L984">
        <v>1411</v>
      </c>
      <c r="M984">
        <v>987.7</v>
      </c>
      <c r="N984" t="s">
        <v>34</v>
      </c>
    </row>
    <row r="985" spans="1:14" x14ac:dyDescent="0.2">
      <c r="A985">
        <v>3984</v>
      </c>
      <c r="B985" t="s">
        <v>979</v>
      </c>
      <c r="C985" t="s">
        <v>1219</v>
      </c>
      <c r="D985">
        <v>2215</v>
      </c>
      <c r="E985" t="s">
        <v>31</v>
      </c>
      <c r="F985" s="1">
        <v>45351</v>
      </c>
      <c r="G985">
        <v>1</v>
      </c>
      <c r="H985" t="s">
        <v>52</v>
      </c>
      <c r="I985" t="s">
        <v>47</v>
      </c>
      <c r="J985">
        <v>0.1</v>
      </c>
      <c r="K985">
        <v>30.5</v>
      </c>
      <c r="L985">
        <v>305</v>
      </c>
      <c r="M985">
        <v>274.5</v>
      </c>
      <c r="N985" t="s">
        <v>54</v>
      </c>
    </row>
    <row r="986" spans="1:14" x14ac:dyDescent="0.2">
      <c r="A986">
        <v>3985</v>
      </c>
      <c r="B986" t="s">
        <v>760</v>
      </c>
      <c r="C986" t="s">
        <v>1220</v>
      </c>
      <c r="D986">
        <v>2216</v>
      </c>
      <c r="E986" t="s">
        <v>42</v>
      </c>
      <c r="F986" s="1">
        <v>45645</v>
      </c>
      <c r="G986">
        <v>3</v>
      </c>
      <c r="H986" t="s">
        <v>52</v>
      </c>
      <c r="I986" t="s">
        <v>33</v>
      </c>
      <c r="J986">
        <v>0.25</v>
      </c>
      <c r="K986">
        <v>379</v>
      </c>
      <c r="L986">
        <v>1516</v>
      </c>
      <c r="M986">
        <v>1137</v>
      </c>
      <c r="N986" t="s">
        <v>114</v>
      </c>
    </row>
    <row r="987" spans="1:14" x14ac:dyDescent="0.2">
      <c r="A987">
        <v>3986</v>
      </c>
      <c r="B987" t="s">
        <v>60</v>
      </c>
      <c r="C987" t="s">
        <v>831</v>
      </c>
      <c r="D987">
        <v>2217</v>
      </c>
      <c r="E987" t="s">
        <v>76</v>
      </c>
      <c r="F987" s="1">
        <v>45646</v>
      </c>
      <c r="G987">
        <v>1</v>
      </c>
      <c r="H987" t="s">
        <v>52</v>
      </c>
      <c r="I987" t="s">
        <v>39</v>
      </c>
      <c r="J987">
        <v>0.25</v>
      </c>
      <c r="K987">
        <v>247.75</v>
      </c>
      <c r="L987">
        <v>991</v>
      </c>
      <c r="M987">
        <v>743.25</v>
      </c>
      <c r="N987" t="s">
        <v>48</v>
      </c>
    </row>
    <row r="988" spans="1:14" x14ac:dyDescent="0.2">
      <c r="A988">
        <v>3987</v>
      </c>
      <c r="B988" t="s">
        <v>801</v>
      </c>
      <c r="C988" t="s">
        <v>684</v>
      </c>
      <c r="D988">
        <v>2218</v>
      </c>
      <c r="E988" t="s">
        <v>76</v>
      </c>
      <c r="F988" s="1">
        <v>45551</v>
      </c>
      <c r="G988">
        <v>3</v>
      </c>
      <c r="H988" t="s">
        <v>32</v>
      </c>
      <c r="I988" t="s">
        <v>39</v>
      </c>
      <c r="J988">
        <v>0.25</v>
      </c>
      <c r="K988">
        <v>217.75</v>
      </c>
      <c r="L988">
        <v>871</v>
      </c>
      <c r="M988">
        <v>653.25</v>
      </c>
      <c r="N988" t="s">
        <v>44</v>
      </c>
    </row>
    <row r="989" spans="1:14" x14ac:dyDescent="0.2">
      <c r="A989">
        <v>3988</v>
      </c>
      <c r="B989" t="s">
        <v>1221</v>
      </c>
      <c r="C989" t="s">
        <v>1222</v>
      </c>
      <c r="D989">
        <v>2219</v>
      </c>
      <c r="E989" t="s">
        <v>76</v>
      </c>
      <c r="F989" s="1">
        <v>45476</v>
      </c>
      <c r="G989">
        <v>1</v>
      </c>
      <c r="H989" t="s">
        <v>52</v>
      </c>
      <c r="I989" t="s">
        <v>47</v>
      </c>
      <c r="J989">
        <v>0.25</v>
      </c>
      <c r="K989">
        <v>125.25</v>
      </c>
      <c r="L989">
        <v>501</v>
      </c>
      <c r="M989">
        <v>375.75</v>
      </c>
      <c r="N989" t="s">
        <v>34</v>
      </c>
    </row>
    <row r="990" spans="1:14" x14ac:dyDescent="0.2">
      <c r="A990">
        <v>3989</v>
      </c>
      <c r="B990" t="s">
        <v>1223</v>
      </c>
      <c r="C990" t="s">
        <v>1224</v>
      </c>
      <c r="D990">
        <v>2220</v>
      </c>
      <c r="E990" t="s">
        <v>42</v>
      </c>
      <c r="F990" s="1">
        <v>45499</v>
      </c>
      <c r="G990">
        <v>3</v>
      </c>
      <c r="H990" t="s">
        <v>52</v>
      </c>
      <c r="I990" t="s">
        <v>81</v>
      </c>
      <c r="J990">
        <v>0.25</v>
      </c>
      <c r="K990">
        <v>73.25</v>
      </c>
      <c r="L990">
        <v>293</v>
      </c>
      <c r="M990">
        <v>219.75</v>
      </c>
      <c r="N990" t="s">
        <v>34</v>
      </c>
    </row>
    <row r="991" spans="1:14" x14ac:dyDescent="0.2">
      <c r="A991">
        <v>3990</v>
      </c>
      <c r="B991" t="s">
        <v>1225</v>
      </c>
      <c r="C991" t="s">
        <v>1010</v>
      </c>
      <c r="D991">
        <v>2221</v>
      </c>
      <c r="E991" t="s">
        <v>76</v>
      </c>
      <c r="F991" s="1">
        <v>45589</v>
      </c>
      <c r="G991">
        <v>3</v>
      </c>
      <c r="H991" t="s">
        <v>52</v>
      </c>
      <c r="I991" t="s">
        <v>53</v>
      </c>
      <c r="J991">
        <v>0.25</v>
      </c>
      <c r="K991">
        <v>88.25</v>
      </c>
      <c r="L991">
        <v>353</v>
      </c>
      <c r="M991">
        <v>264.75</v>
      </c>
      <c r="N991" t="s">
        <v>34</v>
      </c>
    </row>
    <row r="992" spans="1:14" x14ac:dyDescent="0.2">
      <c r="A992">
        <v>3991</v>
      </c>
      <c r="B992" t="s">
        <v>899</v>
      </c>
      <c r="C992" t="s">
        <v>963</v>
      </c>
      <c r="D992">
        <v>2222</v>
      </c>
      <c r="E992" t="s">
        <v>76</v>
      </c>
      <c r="F992" s="1">
        <v>45404</v>
      </c>
      <c r="G992">
        <v>3</v>
      </c>
      <c r="H992" t="s">
        <v>32</v>
      </c>
      <c r="I992" t="s">
        <v>33</v>
      </c>
      <c r="J992">
        <v>0.25</v>
      </c>
      <c r="K992">
        <v>62.5</v>
      </c>
      <c r="L992">
        <v>250</v>
      </c>
      <c r="M992">
        <v>187.5</v>
      </c>
      <c r="N992" t="s">
        <v>114</v>
      </c>
    </row>
    <row r="993" spans="1:14" x14ac:dyDescent="0.2">
      <c r="A993">
        <v>3992</v>
      </c>
      <c r="B993" t="s">
        <v>1226</v>
      </c>
      <c r="C993" t="s">
        <v>172</v>
      </c>
      <c r="D993">
        <v>2223</v>
      </c>
      <c r="E993" t="s">
        <v>42</v>
      </c>
      <c r="F993" s="1">
        <v>45518</v>
      </c>
      <c r="G993">
        <v>2</v>
      </c>
      <c r="H993" t="s">
        <v>52</v>
      </c>
      <c r="I993" t="s">
        <v>81</v>
      </c>
      <c r="J993">
        <v>0.25</v>
      </c>
      <c r="K993">
        <v>25.5</v>
      </c>
      <c r="L993">
        <v>102</v>
      </c>
      <c r="M993">
        <v>76.5</v>
      </c>
      <c r="N993" t="s">
        <v>114</v>
      </c>
    </row>
    <row r="994" spans="1:14" x14ac:dyDescent="0.2">
      <c r="A994">
        <v>3993</v>
      </c>
      <c r="B994" t="s">
        <v>848</v>
      </c>
      <c r="C994" t="s">
        <v>811</v>
      </c>
      <c r="D994">
        <v>2224</v>
      </c>
      <c r="E994" t="s">
        <v>51</v>
      </c>
      <c r="F994" s="1">
        <v>45437</v>
      </c>
      <c r="G994">
        <v>3</v>
      </c>
      <c r="H994" t="s">
        <v>32</v>
      </c>
      <c r="I994" t="s">
        <v>64</v>
      </c>
      <c r="J994">
        <v>0.2</v>
      </c>
      <c r="K994">
        <v>168.60000000000002</v>
      </c>
      <c r="L994">
        <v>843</v>
      </c>
      <c r="M994">
        <v>674.4</v>
      </c>
      <c r="N994" t="s">
        <v>34</v>
      </c>
    </row>
    <row r="995" spans="1:14" x14ac:dyDescent="0.2">
      <c r="A995">
        <v>3994</v>
      </c>
      <c r="B995" t="s">
        <v>799</v>
      </c>
      <c r="C995" t="s">
        <v>998</v>
      </c>
      <c r="D995">
        <v>2225</v>
      </c>
      <c r="E995" t="s">
        <v>92</v>
      </c>
      <c r="F995" s="1">
        <v>45395</v>
      </c>
      <c r="G995">
        <v>3</v>
      </c>
      <c r="H995" t="s">
        <v>32</v>
      </c>
      <c r="I995" t="s">
        <v>33</v>
      </c>
      <c r="J995">
        <v>0.3</v>
      </c>
      <c r="K995">
        <v>331.5</v>
      </c>
      <c r="L995">
        <v>1105</v>
      </c>
      <c r="M995">
        <v>773.5</v>
      </c>
      <c r="N995" t="s">
        <v>114</v>
      </c>
    </row>
    <row r="996" spans="1:14" x14ac:dyDescent="0.2">
      <c r="A996">
        <v>3995</v>
      </c>
      <c r="B996" t="s">
        <v>1227</v>
      </c>
      <c r="C996" t="s">
        <v>1215</v>
      </c>
      <c r="D996">
        <v>2226</v>
      </c>
      <c r="E996" t="s">
        <v>92</v>
      </c>
      <c r="F996" s="1">
        <v>45319</v>
      </c>
      <c r="G996">
        <v>3</v>
      </c>
      <c r="H996" t="s">
        <v>32</v>
      </c>
      <c r="I996" t="s">
        <v>43</v>
      </c>
      <c r="J996">
        <v>0.3</v>
      </c>
      <c r="K996">
        <v>64.5</v>
      </c>
      <c r="L996">
        <v>215</v>
      </c>
      <c r="M996">
        <v>150.5</v>
      </c>
      <c r="N996" t="s">
        <v>48</v>
      </c>
    </row>
    <row r="997" spans="1:14" x14ac:dyDescent="0.2">
      <c r="A997">
        <v>3996</v>
      </c>
      <c r="B997" t="s">
        <v>465</v>
      </c>
      <c r="C997" t="s">
        <v>1228</v>
      </c>
      <c r="D997">
        <v>2227</v>
      </c>
      <c r="E997" t="s">
        <v>76</v>
      </c>
      <c r="F997" s="1">
        <v>45640</v>
      </c>
      <c r="G997">
        <v>3</v>
      </c>
      <c r="H997" t="s">
        <v>52</v>
      </c>
      <c r="I997" t="s">
        <v>53</v>
      </c>
      <c r="J997">
        <v>0.25</v>
      </c>
      <c r="K997">
        <v>466.25</v>
      </c>
      <c r="L997">
        <v>1865</v>
      </c>
      <c r="M997">
        <v>1398.75</v>
      </c>
      <c r="N997" t="s">
        <v>48</v>
      </c>
    </row>
    <row r="998" spans="1:14" x14ac:dyDescent="0.2">
      <c r="A998">
        <v>3997</v>
      </c>
      <c r="B998" t="s">
        <v>1229</v>
      </c>
      <c r="C998" t="s">
        <v>1152</v>
      </c>
      <c r="D998">
        <v>2228</v>
      </c>
      <c r="E998" t="s">
        <v>92</v>
      </c>
      <c r="F998" s="1">
        <v>45386</v>
      </c>
      <c r="G998">
        <v>2</v>
      </c>
      <c r="H998" t="s">
        <v>71</v>
      </c>
      <c r="I998" t="s">
        <v>47</v>
      </c>
      <c r="J998">
        <v>0.3</v>
      </c>
      <c r="K998">
        <v>315</v>
      </c>
      <c r="L998">
        <v>1050</v>
      </c>
      <c r="M998">
        <v>735</v>
      </c>
      <c r="N998" t="s">
        <v>34</v>
      </c>
    </row>
    <row r="999" spans="1:14" x14ac:dyDescent="0.2">
      <c r="A999">
        <v>3998</v>
      </c>
      <c r="B999" t="s">
        <v>1230</v>
      </c>
      <c r="C999" t="s">
        <v>551</v>
      </c>
      <c r="D999">
        <v>2229</v>
      </c>
      <c r="E999" t="s">
        <v>76</v>
      </c>
      <c r="F999" s="1">
        <v>45467</v>
      </c>
      <c r="G999">
        <v>3</v>
      </c>
      <c r="H999" t="s">
        <v>52</v>
      </c>
      <c r="I999" t="s">
        <v>33</v>
      </c>
      <c r="J999">
        <v>0.25</v>
      </c>
      <c r="K999">
        <v>264.75</v>
      </c>
      <c r="L999">
        <v>1059</v>
      </c>
      <c r="M999">
        <v>794.25</v>
      </c>
      <c r="N999" t="s">
        <v>48</v>
      </c>
    </row>
    <row r="1000" spans="1:14" x14ac:dyDescent="0.2">
      <c r="A1000">
        <v>3999</v>
      </c>
      <c r="B1000" t="s">
        <v>1171</v>
      </c>
      <c r="C1000" t="s">
        <v>372</v>
      </c>
      <c r="D1000">
        <v>2230</v>
      </c>
      <c r="E1000" t="s">
        <v>76</v>
      </c>
      <c r="F1000" s="1">
        <v>45423</v>
      </c>
      <c r="G1000">
        <v>3</v>
      </c>
      <c r="H1000" t="s">
        <v>52</v>
      </c>
      <c r="I1000" t="s">
        <v>57</v>
      </c>
      <c r="J1000">
        <v>0.25</v>
      </c>
      <c r="K1000">
        <v>279</v>
      </c>
      <c r="L1000">
        <v>1116</v>
      </c>
      <c r="M1000">
        <v>837</v>
      </c>
      <c r="N1000" t="s">
        <v>44</v>
      </c>
    </row>
    <row r="1001" spans="1:14" x14ac:dyDescent="0.2">
      <c r="A1001">
        <v>4000</v>
      </c>
      <c r="B1001" t="s">
        <v>1231</v>
      </c>
      <c r="C1001" t="s">
        <v>1023</v>
      </c>
      <c r="D1001">
        <v>2231</v>
      </c>
      <c r="E1001" t="s">
        <v>51</v>
      </c>
      <c r="F1001" s="1">
        <v>45300</v>
      </c>
      <c r="G1001">
        <v>2</v>
      </c>
      <c r="H1001" t="s">
        <v>32</v>
      </c>
      <c r="I1001" t="s">
        <v>57</v>
      </c>
      <c r="J1001">
        <v>0.2</v>
      </c>
      <c r="K1001">
        <v>9.8000000000000007</v>
      </c>
      <c r="L1001">
        <v>49</v>
      </c>
      <c r="M1001">
        <v>39.200000000000003</v>
      </c>
      <c r="N1001"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B3A2-99D2-E24F-AB28-D406F5506B83}">
  <dimension ref="A1:O3"/>
  <sheetViews>
    <sheetView workbookViewId="0">
      <selection activeCell="A3" sqref="A3:O4"/>
    </sheetView>
  </sheetViews>
  <sheetFormatPr baseColWidth="10" defaultRowHeight="15" x14ac:dyDescent="0.2"/>
  <cols>
    <col min="1" max="1" width="11" bestFit="1" customWidth="1"/>
    <col min="2" max="2" width="19.5" bestFit="1" customWidth="1"/>
    <col min="3" max="3" width="19.83203125" bestFit="1" customWidth="1"/>
    <col min="4" max="4" width="13.1640625" bestFit="1" customWidth="1"/>
    <col min="5" max="5" width="11" bestFit="1" customWidth="1"/>
    <col min="6" max="6" width="16.5" bestFit="1" customWidth="1"/>
    <col min="7" max="7" width="12.1640625" bestFit="1" customWidth="1"/>
    <col min="8" max="8" width="17.33203125" bestFit="1" customWidth="1"/>
    <col min="9" max="9" width="13.1640625" bestFit="1" customWidth="1"/>
    <col min="10" max="11" width="11" bestFit="1" customWidth="1"/>
    <col min="12" max="12" width="23.1640625" bestFit="1" customWidth="1"/>
    <col min="13" max="13" width="11.5" bestFit="1" customWidth="1"/>
    <col min="14" max="14" width="19.1640625" bestFit="1" customWidth="1"/>
    <col min="15" max="15" width="12.5" bestFit="1" customWidth="1"/>
  </cols>
  <sheetData>
    <row r="1" spans="1:15" x14ac:dyDescent="0.2">
      <c r="A1" s="9" t="s">
        <v>3265</v>
      </c>
    </row>
    <row r="3" spans="1:15" x14ac:dyDescent="0.2">
      <c r="A3" t="s">
        <v>15</v>
      </c>
      <c r="B3" t="s">
        <v>16</v>
      </c>
      <c r="C3" t="s">
        <v>17</v>
      </c>
      <c r="D3" t="s">
        <v>18</v>
      </c>
      <c r="E3" t="s">
        <v>0</v>
      </c>
      <c r="F3" t="s">
        <v>19</v>
      </c>
      <c r="G3" t="s">
        <v>20</v>
      </c>
      <c r="H3" t="s">
        <v>21</v>
      </c>
      <c r="I3" t="s">
        <v>22</v>
      </c>
      <c r="J3" t="s">
        <v>23</v>
      </c>
      <c r="K3" t="s">
        <v>24</v>
      </c>
      <c r="L3" t="s">
        <v>25</v>
      </c>
      <c r="M3" t="s">
        <v>26</v>
      </c>
      <c r="N3" t="s">
        <v>27</v>
      </c>
      <c r="O3"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C9DD-0080-FA44-8A46-3C17AC8D805A}">
  <dimension ref="A1:N1003"/>
  <sheetViews>
    <sheetView workbookViewId="0">
      <selection activeCell="A3" sqref="A3:N1003"/>
    </sheetView>
  </sheetViews>
  <sheetFormatPr baseColWidth="10" defaultRowHeight="15" x14ac:dyDescent="0.2"/>
  <cols>
    <col min="1" max="1" width="19.5" bestFit="1" customWidth="1"/>
    <col min="2" max="2" width="19.83203125" bestFit="1" customWidth="1"/>
    <col min="3" max="3" width="13.1640625" bestFit="1" customWidth="1"/>
    <col min="4" max="4" width="20.5" bestFit="1" customWidth="1"/>
    <col min="5" max="5" width="12.1640625" bestFit="1" customWidth="1"/>
    <col min="6" max="6" width="17.33203125" bestFit="1" customWidth="1"/>
    <col min="7" max="7" width="13.1640625" bestFit="1" customWidth="1"/>
    <col min="8" max="8" width="11" bestFit="1" customWidth="1"/>
    <col min="9" max="9" width="18.33203125" bestFit="1" customWidth="1"/>
    <col min="10" max="10" width="13.1640625" bestFit="1" customWidth="1"/>
    <col min="11" max="11" width="12.6640625" bestFit="1" customWidth="1"/>
    <col min="12" max="12" width="19.5" bestFit="1" customWidth="1"/>
    <col min="13" max="13" width="11.5" bestFit="1" customWidth="1"/>
    <col min="14" max="14" width="14" bestFit="1" customWidth="1"/>
  </cols>
  <sheetData>
    <row r="1" spans="1:14" x14ac:dyDescent="0.2">
      <c r="A1" s="9" t="s">
        <v>3267</v>
      </c>
    </row>
    <row r="3" spans="1:14" x14ac:dyDescent="0.2">
      <c r="A3" t="s">
        <v>16</v>
      </c>
      <c r="B3" t="s">
        <v>17</v>
      </c>
      <c r="C3" t="s">
        <v>18</v>
      </c>
      <c r="D3" t="s">
        <v>19</v>
      </c>
      <c r="E3" t="s">
        <v>20</v>
      </c>
      <c r="F3" t="s">
        <v>21</v>
      </c>
      <c r="G3" t="s">
        <v>22</v>
      </c>
      <c r="H3" t="s">
        <v>23</v>
      </c>
      <c r="I3" t="s">
        <v>1232</v>
      </c>
      <c r="J3" t="s">
        <v>1233</v>
      </c>
      <c r="K3" t="s">
        <v>1234</v>
      </c>
      <c r="L3" t="s">
        <v>1235</v>
      </c>
      <c r="M3" t="s">
        <v>26</v>
      </c>
      <c r="N3" t="s">
        <v>1236</v>
      </c>
    </row>
    <row r="4" spans="1:14" x14ac:dyDescent="0.2">
      <c r="A4" t="s">
        <v>35</v>
      </c>
      <c r="B4" t="s">
        <v>36</v>
      </c>
      <c r="C4">
        <v>1235</v>
      </c>
      <c r="D4" t="s">
        <v>37</v>
      </c>
      <c r="E4" s="1">
        <v>45491</v>
      </c>
      <c r="F4">
        <v>3</v>
      </c>
      <c r="G4" t="s">
        <v>38</v>
      </c>
      <c r="H4" t="s">
        <v>39</v>
      </c>
      <c r="I4" t="s">
        <v>1240</v>
      </c>
      <c r="J4" t="s">
        <v>1241</v>
      </c>
      <c r="K4">
        <v>2600</v>
      </c>
      <c r="L4">
        <v>800</v>
      </c>
      <c r="M4">
        <v>2400</v>
      </c>
      <c r="N4" t="s">
        <v>1242</v>
      </c>
    </row>
    <row r="5" spans="1:14" x14ac:dyDescent="0.2">
      <c r="A5" t="s">
        <v>86</v>
      </c>
      <c r="B5" t="s">
        <v>87</v>
      </c>
      <c r="C5">
        <v>1252</v>
      </c>
      <c r="D5" t="s">
        <v>76</v>
      </c>
      <c r="E5" s="1">
        <v>45455</v>
      </c>
      <c r="F5">
        <v>3</v>
      </c>
      <c r="G5" t="s">
        <v>52</v>
      </c>
      <c r="H5" t="s">
        <v>39</v>
      </c>
      <c r="I5" t="s">
        <v>1286</v>
      </c>
      <c r="J5" t="s">
        <v>1241</v>
      </c>
      <c r="K5">
        <v>2600</v>
      </c>
      <c r="L5">
        <v>1200</v>
      </c>
      <c r="M5">
        <v>3600</v>
      </c>
      <c r="N5" t="s">
        <v>1287</v>
      </c>
    </row>
    <row r="6" spans="1:14" x14ac:dyDescent="0.2">
      <c r="A6" t="s">
        <v>90</v>
      </c>
      <c r="B6" t="s">
        <v>91</v>
      </c>
      <c r="C6">
        <v>1254</v>
      </c>
      <c r="D6" t="s">
        <v>92</v>
      </c>
      <c r="E6" s="1">
        <v>45615</v>
      </c>
      <c r="F6">
        <v>3</v>
      </c>
      <c r="G6" t="s">
        <v>52</v>
      </c>
      <c r="H6" t="s">
        <v>39</v>
      </c>
      <c r="I6" t="s">
        <v>1290</v>
      </c>
      <c r="J6" t="s">
        <v>1241</v>
      </c>
      <c r="K6">
        <v>2600</v>
      </c>
      <c r="L6">
        <v>600</v>
      </c>
      <c r="M6">
        <v>1800</v>
      </c>
      <c r="N6" t="s">
        <v>1291</v>
      </c>
    </row>
    <row r="7" spans="1:14" x14ac:dyDescent="0.2">
      <c r="A7" t="s">
        <v>93</v>
      </c>
      <c r="B7" t="s">
        <v>94</v>
      </c>
      <c r="C7">
        <v>1255</v>
      </c>
      <c r="D7" t="s">
        <v>37</v>
      </c>
      <c r="E7" s="1">
        <v>45458</v>
      </c>
      <c r="F7">
        <v>2</v>
      </c>
      <c r="G7" t="s">
        <v>52</v>
      </c>
      <c r="H7" t="s">
        <v>39</v>
      </c>
      <c r="I7" t="s">
        <v>1292</v>
      </c>
      <c r="J7" t="s">
        <v>1241</v>
      </c>
      <c r="K7">
        <v>2600</v>
      </c>
      <c r="L7">
        <v>800</v>
      </c>
      <c r="M7">
        <v>1600</v>
      </c>
      <c r="N7" t="s">
        <v>1293</v>
      </c>
    </row>
    <row r="8" spans="1:14" x14ac:dyDescent="0.2">
      <c r="A8" t="s">
        <v>97</v>
      </c>
      <c r="B8" t="s">
        <v>98</v>
      </c>
      <c r="C8">
        <v>1257</v>
      </c>
      <c r="D8" t="s">
        <v>31</v>
      </c>
      <c r="E8" s="1">
        <v>45319</v>
      </c>
      <c r="F8">
        <v>3</v>
      </c>
      <c r="G8" t="s">
        <v>71</v>
      </c>
      <c r="H8" t="s">
        <v>39</v>
      </c>
      <c r="I8" t="s">
        <v>1296</v>
      </c>
      <c r="J8" t="s">
        <v>1241</v>
      </c>
      <c r="K8">
        <v>2600</v>
      </c>
      <c r="L8">
        <v>250</v>
      </c>
      <c r="M8">
        <v>750</v>
      </c>
      <c r="N8" t="s">
        <v>1297</v>
      </c>
    </row>
    <row r="9" spans="1:14" x14ac:dyDescent="0.2">
      <c r="A9" t="s">
        <v>135</v>
      </c>
      <c r="B9" t="s">
        <v>136</v>
      </c>
      <c r="C9">
        <v>1276</v>
      </c>
      <c r="D9" t="s">
        <v>76</v>
      </c>
      <c r="E9" s="1">
        <v>45605</v>
      </c>
      <c r="F9">
        <v>1</v>
      </c>
      <c r="G9" t="s">
        <v>32</v>
      </c>
      <c r="H9" t="s">
        <v>39</v>
      </c>
      <c r="I9" t="s">
        <v>1337</v>
      </c>
      <c r="J9" t="s">
        <v>1241</v>
      </c>
      <c r="K9">
        <v>2600</v>
      </c>
      <c r="L9">
        <v>1200</v>
      </c>
      <c r="M9">
        <v>1200</v>
      </c>
      <c r="N9" t="s">
        <v>1338</v>
      </c>
    </row>
    <row r="10" spans="1:14" x14ac:dyDescent="0.2">
      <c r="A10" t="s">
        <v>163</v>
      </c>
      <c r="B10" t="s">
        <v>164</v>
      </c>
      <c r="C10">
        <v>1291</v>
      </c>
      <c r="D10" t="s">
        <v>76</v>
      </c>
      <c r="E10" s="1">
        <v>45612</v>
      </c>
      <c r="F10">
        <v>1</v>
      </c>
      <c r="G10" t="s">
        <v>52</v>
      </c>
      <c r="H10" t="s">
        <v>39</v>
      </c>
      <c r="I10" t="s">
        <v>1369</v>
      </c>
      <c r="J10" t="s">
        <v>1241</v>
      </c>
      <c r="K10">
        <v>2600</v>
      </c>
      <c r="L10">
        <v>1200</v>
      </c>
      <c r="M10">
        <v>1200</v>
      </c>
      <c r="N10" t="s">
        <v>1370</v>
      </c>
    </row>
    <row r="11" spans="1:14" x14ac:dyDescent="0.2">
      <c r="A11" t="s">
        <v>178</v>
      </c>
      <c r="B11" t="s">
        <v>179</v>
      </c>
      <c r="C11">
        <v>1300</v>
      </c>
      <c r="D11" t="s">
        <v>42</v>
      </c>
      <c r="E11" s="1">
        <v>45440</v>
      </c>
      <c r="F11">
        <v>1</v>
      </c>
      <c r="G11" t="s">
        <v>32</v>
      </c>
      <c r="H11" t="s">
        <v>39</v>
      </c>
      <c r="I11" t="s">
        <v>1387</v>
      </c>
      <c r="J11" t="s">
        <v>1241</v>
      </c>
      <c r="K11">
        <v>2600</v>
      </c>
      <c r="L11">
        <v>300</v>
      </c>
      <c r="M11">
        <v>300</v>
      </c>
      <c r="N11" t="s">
        <v>1388</v>
      </c>
    </row>
    <row r="12" spans="1:14" x14ac:dyDescent="0.2">
      <c r="A12" t="s">
        <v>197</v>
      </c>
      <c r="B12" t="s">
        <v>120</v>
      </c>
      <c r="C12">
        <v>1310</v>
      </c>
      <c r="D12" t="s">
        <v>37</v>
      </c>
      <c r="E12" s="1">
        <v>45361</v>
      </c>
      <c r="F12">
        <v>1</v>
      </c>
      <c r="G12" t="s">
        <v>32</v>
      </c>
      <c r="H12" t="s">
        <v>39</v>
      </c>
      <c r="I12" t="s">
        <v>1408</v>
      </c>
      <c r="J12" t="s">
        <v>1241</v>
      </c>
      <c r="K12">
        <v>2600</v>
      </c>
      <c r="L12">
        <v>800</v>
      </c>
      <c r="M12">
        <v>800</v>
      </c>
      <c r="N12" t="s">
        <v>1409</v>
      </c>
    </row>
    <row r="13" spans="1:14" x14ac:dyDescent="0.2">
      <c r="A13" t="s">
        <v>209</v>
      </c>
      <c r="B13" t="s">
        <v>210</v>
      </c>
      <c r="C13">
        <v>1317</v>
      </c>
      <c r="D13" t="s">
        <v>76</v>
      </c>
      <c r="E13" s="1">
        <v>45630</v>
      </c>
      <c r="F13">
        <v>3</v>
      </c>
      <c r="G13" t="s">
        <v>32</v>
      </c>
      <c r="H13" t="s">
        <v>39</v>
      </c>
      <c r="I13" t="s">
        <v>1422</v>
      </c>
      <c r="J13" t="s">
        <v>1241</v>
      </c>
      <c r="K13">
        <v>2600</v>
      </c>
      <c r="L13">
        <v>1200</v>
      </c>
      <c r="M13">
        <v>3600</v>
      </c>
      <c r="N13" t="s">
        <v>1423</v>
      </c>
    </row>
    <row r="14" spans="1:14" x14ac:dyDescent="0.2">
      <c r="A14" t="s">
        <v>264</v>
      </c>
      <c r="B14" t="s">
        <v>265</v>
      </c>
      <c r="C14">
        <v>1349</v>
      </c>
      <c r="D14" t="s">
        <v>92</v>
      </c>
      <c r="E14" s="1">
        <v>45365</v>
      </c>
      <c r="F14">
        <v>1</v>
      </c>
      <c r="G14" t="s">
        <v>32</v>
      </c>
      <c r="H14" t="s">
        <v>39</v>
      </c>
      <c r="I14" t="s">
        <v>1486</v>
      </c>
      <c r="J14" t="s">
        <v>1241</v>
      </c>
      <c r="K14">
        <v>2600</v>
      </c>
      <c r="L14">
        <v>600</v>
      </c>
      <c r="M14">
        <v>600</v>
      </c>
      <c r="N14" t="s">
        <v>1487</v>
      </c>
    </row>
    <row r="15" spans="1:14" x14ac:dyDescent="0.2">
      <c r="A15" t="s">
        <v>275</v>
      </c>
      <c r="B15" t="s">
        <v>276</v>
      </c>
      <c r="C15">
        <v>1356</v>
      </c>
      <c r="D15" t="s">
        <v>51</v>
      </c>
      <c r="E15" s="1">
        <v>45399</v>
      </c>
      <c r="F15">
        <v>1</v>
      </c>
      <c r="G15" t="s">
        <v>52</v>
      </c>
      <c r="H15" t="s">
        <v>39</v>
      </c>
      <c r="I15" t="s">
        <v>1500</v>
      </c>
      <c r="J15" t="s">
        <v>1241</v>
      </c>
      <c r="K15">
        <v>2600</v>
      </c>
      <c r="L15">
        <v>250</v>
      </c>
      <c r="M15">
        <v>250</v>
      </c>
      <c r="N15" t="s">
        <v>1501</v>
      </c>
    </row>
    <row r="16" spans="1:14" x14ac:dyDescent="0.2">
      <c r="A16" t="s">
        <v>253</v>
      </c>
      <c r="B16" t="s">
        <v>283</v>
      </c>
      <c r="C16">
        <v>1360</v>
      </c>
      <c r="D16" t="s">
        <v>76</v>
      </c>
      <c r="E16" s="1">
        <v>45388</v>
      </c>
      <c r="F16">
        <v>3</v>
      </c>
      <c r="G16" t="s">
        <v>32</v>
      </c>
      <c r="H16" t="s">
        <v>39</v>
      </c>
      <c r="I16" t="s">
        <v>1508</v>
      </c>
      <c r="J16" t="s">
        <v>1241</v>
      </c>
      <c r="K16">
        <v>2600</v>
      </c>
      <c r="L16">
        <v>1200</v>
      </c>
      <c r="M16">
        <v>3600</v>
      </c>
      <c r="N16" t="s">
        <v>1509</v>
      </c>
    </row>
    <row r="17" spans="1:14" x14ac:dyDescent="0.2">
      <c r="A17" t="s">
        <v>284</v>
      </c>
      <c r="B17" t="s">
        <v>285</v>
      </c>
      <c r="C17">
        <v>1361</v>
      </c>
      <c r="D17" t="s">
        <v>51</v>
      </c>
      <c r="E17" s="1">
        <v>45572</v>
      </c>
      <c r="F17">
        <v>3</v>
      </c>
      <c r="G17" t="s">
        <v>38</v>
      </c>
      <c r="H17" t="s">
        <v>39</v>
      </c>
      <c r="I17" t="s">
        <v>1510</v>
      </c>
      <c r="J17" t="s">
        <v>1241</v>
      </c>
      <c r="K17">
        <v>2600</v>
      </c>
      <c r="L17">
        <v>250</v>
      </c>
      <c r="M17">
        <v>750</v>
      </c>
      <c r="N17" t="s">
        <v>1511</v>
      </c>
    </row>
    <row r="18" spans="1:14" x14ac:dyDescent="0.2">
      <c r="A18" t="s">
        <v>292</v>
      </c>
      <c r="B18" t="s">
        <v>293</v>
      </c>
      <c r="C18">
        <v>1365</v>
      </c>
      <c r="D18" t="s">
        <v>42</v>
      </c>
      <c r="E18" s="1">
        <v>45310</v>
      </c>
      <c r="F18">
        <v>3</v>
      </c>
      <c r="G18" t="s">
        <v>52</v>
      </c>
      <c r="H18" t="s">
        <v>39</v>
      </c>
      <c r="I18" t="s">
        <v>1518</v>
      </c>
      <c r="J18" t="s">
        <v>1241</v>
      </c>
      <c r="K18">
        <v>2600</v>
      </c>
      <c r="L18">
        <v>300</v>
      </c>
      <c r="M18">
        <v>900</v>
      </c>
      <c r="N18" t="s">
        <v>1519</v>
      </c>
    </row>
    <row r="19" spans="1:14" x14ac:dyDescent="0.2">
      <c r="A19" t="s">
        <v>306</v>
      </c>
      <c r="B19" t="s">
        <v>307</v>
      </c>
      <c r="C19">
        <v>1373</v>
      </c>
      <c r="D19" t="s">
        <v>31</v>
      </c>
      <c r="E19" s="1">
        <v>45344</v>
      </c>
      <c r="F19">
        <v>1</v>
      </c>
      <c r="G19" t="s">
        <v>38</v>
      </c>
      <c r="H19" t="s">
        <v>39</v>
      </c>
      <c r="I19" t="s">
        <v>1534</v>
      </c>
      <c r="J19" t="s">
        <v>1241</v>
      </c>
      <c r="K19">
        <v>2600</v>
      </c>
      <c r="L19">
        <v>250</v>
      </c>
      <c r="M19">
        <v>250</v>
      </c>
      <c r="N19" t="s">
        <v>1535</v>
      </c>
    </row>
    <row r="20" spans="1:14" x14ac:dyDescent="0.2">
      <c r="A20" t="s">
        <v>308</v>
      </c>
      <c r="B20" t="s">
        <v>309</v>
      </c>
      <c r="C20">
        <v>1374</v>
      </c>
      <c r="D20" t="s">
        <v>31</v>
      </c>
      <c r="E20" s="1">
        <v>45354</v>
      </c>
      <c r="F20">
        <v>2</v>
      </c>
      <c r="G20" t="s">
        <v>32</v>
      </c>
      <c r="H20" t="s">
        <v>39</v>
      </c>
      <c r="I20" t="s">
        <v>1536</v>
      </c>
      <c r="J20" t="s">
        <v>1241</v>
      </c>
      <c r="K20">
        <v>2600</v>
      </c>
      <c r="L20">
        <v>250</v>
      </c>
      <c r="M20">
        <v>500</v>
      </c>
      <c r="N20" t="s">
        <v>1537</v>
      </c>
    </row>
    <row r="21" spans="1:14" x14ac:dyDescent="0.2">
      <c r="A21" t="s">
        <v>328</v>
      </c>
      <c r="B21" t="s">
        <v>30</v>
      </c>
      <c r="C21">
        <v>1386</v>
      </c>
      <c r="D21" t="s">
        <v>42</v>
      </c>
      <c r="E21" s="1">
        <v>45621</v>
      </c>
      <c r="F21">
        <v>2</v>
      </c>
      <c r="G21" t="s">
        <v>32</v>
      </c>
      <c r="H21" t="s">
        <v>39</v>
      </c>
      <c r="I21" t="s">
        <v>1560</v>
      </c>
      <c r="J21" t="s">
        <v>1241</v>
      </c>
      <c r="K21">
        <v>2600</v>
      </c>
      <c r="L21">
        <v>300</v>
      </c>
      <c r="M21">
        <v>600</v>
      </c>
      <c r="N21" t="s">
        <v>1561</v>
      </c>
    </row>
    <row r="22" spans="1:14" x14ac:dyDescent="0.2">
      <c r="A22" t="s">
        <v>347</v>
      </c>
      <c r="B22" t="s">
        <v>348</v>
      </c>
      <c r="C22">
        <v>1400</v>
      </c>
      <c r="D22" t="s">
        <v>31</v>
      </c>
      <c r="E22" s="1">
        <v>45298</v>
      </c>
      <c r="F22">
        <v>2</v>
      </c>
      <c r="G22" t="s">
        <v>71</v>
      </c>
      <c r="H22" t="s">
        <v>39</v>
      </c>
      <c r="I22" t="s">
        <v>1588</v>
      </c>
      <c r="J22" t="s">
        <v>1241</v>
      </c>
      <c r="K22">
        <v>2600</v>
      </c>
      <c r="L22">
        <v>250</v>
      </c>
      <c r="M22">
        <v>500</v>
      </c>
      <c r="N22" t="s">
        <v>1589</v>
      </c>
    </row>
    <row r="23" spans="1:14" x14ac:dyDescent="0.2">
      <c r="A23" t="s">
        <v>362</v>
      </c>
      <c r="B23" t="s">
        <v>363</v>
      </c>
      <c r="C23">
        <v>1410</v>
      </c>
      <c r="D23" t="s">
        <v>37</v>
      </c>
      <c r="E23" s="1">
        <v>45386</v>
      </c>
      <c r="F23">
        <v>3</v>
      </c>
      <c r="G23" t="s">
        <v>32</v>
      </c>
      <c r="H23" t="s">
        <v>39</v>
      </c>
      <c r="I23" t="s">
        <v>1608</v>
      </c>
      <c r="J23" t="s">
        <v>1241</v>
      </c>
      <c r="K23">
        <v>2600</v>
      </c>
      <c r="L23">
        <v>800</v>
      </c>
      <c r="M23">
        <v>2400</v>
      </c>
      <c r="N23" t="s">
        <v>1609</v>
      </c>
    </row>
    <row r="24" spans="1:14" x14ac:dyDescent="0.2">
      <c r="A24" t="s">
        <v>386</v>
      </c>
      <c r="B24" t="s">
        <v>387</v>
      </c>
      <c r="C24">
        <v>1423</v>
      </c>
      <c r="D24" t="s">
        <v>76</v>
      </c>
      <c r="E24" s="1">
        <v>45369</v>
      </c>
      <c r="F24">
        <v>1</v>
      </c>
      <c r="G24" t="s">
        <v>52</v>
      </c>
      <c r="H24" t="s">
        <v>39</v>
      </c>
      <c r="I24" t="s">
        <v>1634</v>
      </c>
      <c r="J24" t="s">
        <v>1241</v>
      </c>
      <c r="K24">
        <v>2600</v>
      </c>
      <c r="L24">
        <v>1200</v>
      </c>
      <c r="M24">
        <v>1200</v>
      </c>
      <c r="N24" t="s">
        <v>1635</v>
      </c>
    </row>
    <row r="25" spans="1:14" x14ac:dyDescent="0.2">
      <c r="A25" t="s">
        <v>406</v>
      </c>
      <c r="B25" t="s">
        <v>280</v>
      </c>
      <c r="C25">
        <v>1436</v>
      </c>
      <c r="D25" t="s">
        <v>76</v>
      </c>
      <c r="E25" s="1">
        <v>45596</v>
      </c>
      <c r="F25">
        <v>2</v>
      </c>
      <c r="G25" t="s">
        <v>38</v>
      </c>
      <c r="H25" t="s">
        <v>39</v>
      </c>
      <c r="I25" t="s">
        <v>1660</v>
      </c>
      <c r="J25" t="s">
        <v>1241</v>
      </c>
      <c r="K25">
        <v>2600</v>
      </c>
      <c r="L25">
        <v>1200</v>
      </c>
      <c r="M25">
        <v>2400</v>
      </c>
      <c r="N25" t="s">
        <v>1661</v>
      </c>
    </row>
    <row r="26" spans="1:14" x14ac:dyDescent="0.2">
      <c r="A26" t="s">
        <v>318</v>
      </c>
      <c r="B26" t="s">
        <v>452</v>
      </c>
      <c r="C26">
        <v>1464</v>
      </c>
      <c r="D26" t="s">
        <v>42</v>
      </c>
      <c r="E26" s="1">
        <v>45554</v>
      </c>
      <c r="F26">
        <v>3</v>
      </c>
      <c r="G26" t="s">
        <v>52</v>
      </c>
      <c r="H26" t="s">
        <v>39</v>
      </c>
      <c r="I26" t="s">
        <v>1716</v>
      </c>
      <c r="J26" t="s">
        <v>1241</v>
      </c>
      <c r="K26">
        <v>2600</v>
      </c>
      <c r="L26">
        <v>300</v>
      </c>
      <c r="M26">
        <v>900</v>
      </c>
      <c r="N26" t="s">
        <v>1717</v>
      </c>
    </row>
    <row r="27" spans="1:14" x14ac:dyDescent="0.2">
      <c r="A27" t="s">
        <v>454</v>
      </c>
      <c r="B27" t="s">
        <v>405</v>
      </c>
      <c r="C27">
        <v>1466</v>
      </c>
      <c r="D27" t="s">
        <v>31</v>
      </c>
      <c r="E27" s="1">
        <v>45599</v>
      </c>
      <c r="F27">
        <v>3</v>
      </c>
      <c r="G27" t="s">
        <v>32</v>
      </c>
      <c r="H27" t="s">
        <v>39</v>
      </c>
      <c r="I27" t="s">
        <v>1720</v>
      </c>
      <c r="J27" t="s">
        <v>1241</v>
      </c>
      <c r="K27">
        <v>2600</v>
      </c>
      <c r="L27">
        <v>250</v>
      </c>
      <c r="M27">
        <v>750</v>
      </c>
      <c r="N27" t="s">
        <v>1721</v>
      </c>
    </row>
    <row r="28" spans="1:14" x14ac:dyDescent="0.2">
      <c r="A28" t="s">
        <v>471</v>
      </c>
      <c r="B28" t="s">
        <v>472</v>
      </c>
      <c r="C28">
        <v>1477</v>
      </c>
      <c r="D28" t="s">
        <v>31</v>
      </c>
      <c r="E28" s="1">
        <v>45354</v>
      </c>
      <c r="F28">
        <v>3</v>
      </c>
      <c r="G28" t="s">
        <v>32</v>
      </c>
      <c r="H28" t="s">
        <v>39</v>
      </c>
      <c r="I28" t="s">
        <v>1742</v>
      </c>
      <c r="J28" t="s">
        <v>1241</v>
      </c>
      <c r="K28">
        <v>2600</v>
      </c>
      <c r="L28">
        <v>250</v>
      </c>
      <c r="M28">
        <v>750</v>
      </c>
      <c r="N28" t="s">
        <v>1743</v>
      </c>
    </row>
    <row r="29" spans="1:14" x14ac:dyDescent="0.2">
      <c r="A29" t="s">
        <v>497</v>
      </c>
      <c r="B29" t="s">
        <v>498</v>
      </c>
      <c r="C29">
        <v>1496</v>
      </c>
      <c r="D29" t="s">
        <v>42</v>
      </c>
      <c r="E29" s="1">
        <v>45632</v>
      </c>
      <c r="F29">
        <v>1</v>
      </c>
      <c r="G29" t="s">
        <v>52</v>
      </c>
      <c r="H29" t="s">
        <v>39</v>
      </c>
      <c r="I29" t="s">
        <v>1780</v>
      </c>
      <c r="J29" t="s">
        <v>1241</v>
      </c>
      <c r="K29">
        <v>2600</v>
      </c>
      <c r="L29">
        <v>300</v>
      </c>
      <c r="M29">
        <v>300</v>
      </c>
      <c r="N29" t="s">
        <v>1781</v>
      </c>
    </row>
    <row r="30" spans="1:14" x14ac:dyDescent="0.2">
      <c r="A30" t="s">
        <v>506</v>
      </c>
      <c r="B30" t="s">
        <v>507</v>
      </c>
      <c r="C30">
        <v>1502</v>
      </c>
      <c r="D30" t="s">
        <v>51</v>
      </c>
      <c r="E30" s="1">
        <v>45360</v>
      </c>
      <c r="F30">
        <v>2</v>
      </c>
      <c r="G30" t="s">
        <v>52</v>
      </c>
      <c r="H30" t="s">
        <v>39</v>
      </c>
      <c r="I30" t="s">
        <v>1792</v>
      </c>
      <c r="J30" t="s">
        <v>1241</v>
      </c>
      <c r="K30">
        <v>2600</v>
      </c>
      <c r="L30">
        <v>250</v>
      </c>
      <c r="M30">
        <v>500</v>
      </c>
      <c r="N30" t="s">
        <v>1793</v>
      </c>
    </row>
    <row r="31" spans="1:14" x14ac:dyDescent="0.2">
      <c r="A31" t="s">
        <v>508</v>
      </c>
      <c r="B31" t="s">
        <v>509</v>
      </c>
      <c r="C31">
        <v>1503</v>
      </c>
      <c r="D31" t="s">
        <v>42</v>
      </c>
      <c r="E31" s="1">
        <v>45510</v>
      </c>
      <c r="F31">
        <v>2</v>
      </c>
      <c r="G31" t="s">
        <v>52</v>
      </c>
      <c r="H31" t="s">
        <v>39</v>
      </c>
      <c r="I31" t="s">
        <v>1794</v>
      </c>
      <c r="J31" t="s">
        <v>1241</v>
      </c>
      <c r="K31">
        <v>2600</v>
      </c>
      <c r="L31">
        <v>300</v>
      </c>
      <c r="M31">
        <v>600</v>
      </c>
      <c r="N31" t="s">
        <v>1795</v>
      </c>
    </row>
    <row r="32" spans="1:14" x14ac:dyDescent="0.2">
      <c r="A32" t="s">
        <v>516</v>
      </c>
      <c r="B32" t="s">
        <v>109</v>
      </c>
      <c r="C32">
        <v>1510</v>
      </c>
      <c r="D32" t="s">
        <v>51</v>
      </c>
      <c r="E32" s="1">
        <v>45585</v>
      </c>
      <c r="F32">
        <v>1</v>
      </c>
      <c r="G32" t="s">
        <v>38</v>
      </c>
      <c r="H32" t="s">
        <v>39</v>
      </c>
      <c r="I32" t="s">
        <v>1808</v>
      </c>
      <c r="J32" t="s">
        <v>1241</v>
      </c>
      <c r="K32">
        <v>2600</v>
      </c>
      <c r="L32">
        <v>250</v>
      </c>
      <c r="M32">
        <v>250</v>
      </c>
      <c r="N32" t="s">
        <v>1809</v>
      </c>
    </row>
    <row r="33" spans="1:14" x14ac:dyDescent="0.2">
      <c r="A33" t="s">
        <v>521</v>
      </c>
      <c r="B33" t="s">
        <v>522</v>
      </c>
      <c r="C33">
        <v>1514</v>
      </c>
      <c r="D33" t="s">
        <v>37</v>
      </c>
      <c r="E33" s="1">
        <v>45334</v>
      </c>
      <c r="F33">
        <v>3</v>
      </c>
      <c r="G33" t="s">
        <v>32</v>
      </c>
      <c r="H33" t="s">
        <v>39</v>
      </c>
      <c r="I33" t="s">
        <v>1816</v>
      </c>
      <c r="J33" t="s">
        <v>1241</v>
      </c>
      <c r="K33">
        <v>2600</v>
      </c>
      <c r="L33">
        <v>800</v>
      </c>
      <c r="M33">
        <v>2400</v>
      </c>
      <c r="N33" t="s">
        <v>1817</v>
      </c>
    </row>
    <row r="34" spans="1:14" x14ac:dyDescent="0.2">
      <c r="A34" t="s">
        <v>525</v>
      </c>
      <c r="B34" t="s">
        <v>492</v>
      </c>
      <c r="C34">
        <v>1516</v>
      </c>
      <c r="D34" t="s">
        <v>42</v>
      </c>
      <c r="E34" s="1">
        <v>45325</v>
      </c>
      <c r="F34">
        <v>1</v>
      </c>
      <c r="G34" t="s">
        <v>71</v>
      </c>
      <c r="H34" t="s">
        <v>39</v>
      </c>
      <c r="I34" t="s">
        <v>1820</v>
      </c>
      <c r="J34" t="s">
        <v>1241</v>
      </c>
      <c r="K34">
        <v>2600</v>
      </c>
      <c r="L34">
        <v>300</v>
      </c>
      <c r="M34">
        <v>300</v>
      </c>
      <c r="N34" t="s">
        <v>1821</v>
      </c>
    </row>
    <row r="35" spans="1:14" x14ac:dyDescent="0.2">
      <c r="A35" t="s">
        <v>535</v>
      </c>
      <c r="B35" t="s">
        <v>226</v>
      </c>
      <c r="C35">
        <v>1525</v>
      </c>
      <c r="D35" t="s">
        <v>76</v>
      </c>
      <c r="E35" s="1">
        <v>45613</v>
      </c>
      <c r="F35">
        <v>2</v>
      </c>
      <c r="G35" t="s">
        <v>71</v>
      </c>
      <c r="H35" t="s">
        <v>39</v>
      </c>
      <c r="I35" t="s">
        <v>1838</v>
      </c>
      <c r="J35" t="s">
        <v>1241</v>
      </c>
      <c r="K35">
        <v>2600</v>
      </c>
      <c r="L35">
        <v>1200</v>
      </c>
      <c r="M35">
        <v>2400</v>
      </c>
      <c r="N35" t="s">
        <v>1839</v>
      </c>
    </row>
    <row r="36" spans="1:14" x14ac:dyDescent="0.2">
      <c r="A36" t="s">
        <v>154</v>
      </c>
      <c r="B36" t="s">
        <v>225</v>
      </c>
      <c r="C36">
        <v>1526</v>
      </c>
      <c r="D36" t="s">
        <v>51</v>
      </c>
      <c r="E36" s="1">
        <v>45556</v>
      </c>
      <c r="F36">
        <v>1</v>
      </c>
      <c r="G36" t="s">
        <v>32</v>
      </c>
      <c r="H36" t="s">
        <v>39</v>
      </c>
      <c r="I36" t="s">
        <v>1840</v>
      </c>
      <c r="J36" t="s">
        <v>1241</v>
      </c>
      <c r="K36">
        <v>2600</v>
      </c>
      <c r="L36">
        <v>250</v>
      </c>
      <c r="M36">
        <v>250</v>
      </c>
      <c r="N36" t="s">
        <v>1841</v>
      </c>
    </row>
    <row r="37" spans="1:14" x14ac:dyDescent="0.2">
      <c r="A37" t="s">
        <v>536</v>
      </c>
      <c r="B37" t="s">
        <v>537</v>
      </c>
      <c r="C37">
        <v>1527</v>
      </c>
      <c r="D37" t="s">
        <v>92</v>
      </c>
      <c r="E37" s="1">
        <v>45326</v>
      </c>
      <c r="F37">
        <v>2</v>
      </c>
      <c r="G37" t="s">
        <v>32</v>
      </c>
      <c r="H37" t="s">
        <v>39</v>
      </c>
      <c r="I37" t="s">
        <v>1842</v>
      </c>
      <c r="J37" t="s">
        <v>1241</v>
      </c>
      <c r="K37">
        <v>2600</v>
      </c>
      <c r="L37">
        <v>600</v>
      </c>
      <c r="M37">
        <v>1200</v>
      </c>
      <c r="N37" t="s">
        <v>1843</v>
      </c>
    </row>
    <row r="38" spans="1:14" x14ac:dyDescent="0.2">
      <c r="A38" t="s">
        <v>538</v>
      </c>
      <c r="B38" t="s">
        <v>539</v>
      </c>
      <c r="C38">
        <v>1530</v>
      </c>
      <c r="D38" t="s">
        <v>76</v>
      </c>
      <c r="E38" s="1">
        <v>45519</v>
      </c>
      <c r="F38">
        <v>3</v>
      </c>
      <c r="G38" t="s">
        <v>32</v>
      </c>
      <c r="H38" t="s">
        <v>39</v>
      </c>
      <c r="I38" t="s">
        <v>1848</v>
      </c>
      <c r="J38" t="s">
        <v>1241</v>
      </c>
      <c r="K38">
        <v>2600</v>
      </c>
      <c r="L38">
        <v>1200</v>
      </c>
      <c r="M38">
        <v>3600</v>
      </c>
      <c r="N38" t="s">
        <v>1849</v>
      </c>
    </row>
    <row r="39" spans="1:14" x14ac:dyDescent="0.2">
      <c r="A39" t="s">
        <v>550</v>
      </c>
      <c r="B39" t="s">
        <v>551</v>
      </c>
      <c r="C39">
        <v>1539</v>
      </c>
      <c r="D39" t="s">
        <v>42</v>
      </c>
      <c r="E39" s="1">
        <v>45324</v>
      </c>
      <c r="F39">
        <v>2</v>
      </c>
      <c r="G39" t="s">
        <v>32</v>
      </c>
      <c r="H39" t="s">
        <v>39</v>
      </c>
      <c r="I39" t="s">
        <v>1866</v>
      </c>
      <c r="J39" t="s">
        <v>1241</v>
      </c>
      <c r="K39">
        <v>2600</v>
      </c>
      <c r="L39">
        <v>300</v>
      </c>
      <c r="M39">
        <v>600</v>
      </c>
      <c r="N39" t="s">
        <v>1867</v>
      </c>
    </row>
    <row r="40" spans="1:14" x14ac:dyDescent="0.2">
      <c r="A40" t="s">
        <v>581</v>
      </c>
      <c r="B40" t="s">
        <v>582</v>
      </c>
      <c r="C40">
        <v>1561</v>
      </c>
      <c r="D40" t="s">
        <v>37</v>
      </c>
      <c r="E40" s="1">
        <v>45372</v>
      </c>
      <c r="F40">
        <v>1</v>
      </c>
      <c r="G40" t="s">
        <v>32</v>
      </c>
      <c r="H40" t="s">
        <v>39</v>
      </c>
      <c r="I40" t="s">
        <v>1910</v>
      </c>
      <c r="J40" t="s">
        <v>1241</v>
      </c>
      <c r="K40">
        <v>2600</v>
      </c>
      <c r="L40">
        <v>800</v>
      </c>
      <c r="M40">
        <v>800</v>
      </c>
      <c r="N40" t="s">
        <v>1911</v>
      </c>
    </row>
    <row r="41" spans="1:14" x14ac:dyDescent="0.2">
      <c r="A41" t="s">
        <v>594</v>
      </c>
      <c r="B41" t="s">
        <v>595</v>
      </c>
      <c r="C41">
        <v>1569</v>
      </c>
      <c r="D41" t="s">
        <v>31</v>
      </c>
      <c r="E41" s="1">
        <v>45613</v>
      </c>
      <c r="F41">
        <v>2</v>
      </c>
      <c r="G41" t="s">
        <v>52</v>
      </c>
      <c r="H41" t="s">
        <v>39</v>
      </c>
      <c r="I41" t="s">
        <v>1926</v>
      </c>
      <c r="J41" t="s">
        <v>1241</v>
      </c>
      <c r="K41">
        <v>2600</v>
      </c>
      <c r="L41">
        <v>250</v>
      </c>
      <c r="M41">
        <v>500</v>
      </c>
      <c r="N41" t="s">
        <v>1927</v>
      </c>
    </row>
    <row r="42" spans="1:14" x14ac:dyDescent="0.2">
      <c r="A42" t="s">
        <v>169</v>
      </c>
      <c r="B42" t="s">
        <v>597</v>
      </c>
      <c r="C42">
        <v>1571</v>
      </c>
      <c r="D42" t="s">
        <v>76</v>
      </c>
      <c r="E42" s="1">
        <v>45529</v>
      </c>
      <c r="F42">
        <v>1</v>
      </c>
      <c r="G42" t="s">
        <v>52</v>
      </c>
      <c r="H42" t="s">
        <v>39</v>
      </c>
      <c r="I42" t="s">
        <v>1930</v>
      </c>
      <c r="J42" t="s">
        <v>1241</v>
      </c>
      <c r="K42">
        <v>2600</v>
      </c>
      <c r="L42">
        <v>1200</v>
      </c>
      <c r="M42">
        <v>1200</v>
      </c>
      <c r="N42" t="s">
        <v>1931</v>
      </c>
    </row>
    <row r="43" spans="1:14" x14ac:dyDescent="0.2">
      <c r="A43" t="s">
        <v>448</v>
      </c>
      <c r="B43" t="s">
        <v>600</v>
      </c>
      <c r="C43">
        <v>1575</v>
      </c>
      <c r="D43" t="s">
        <v>37</v>
      </c>
      <c r="E43" s="1">
        <v>45464</v>
      </c>
      <c r="F43">
        <v>3</v>
      </c>
      <c r="G43" t="s">
        <v>32</v>
      </c>
      <c r="H43" t="s">
        <v>39</v>
      </c>
      <c r="I43" t="s">
        <v>1938</v>
      </c>
      <c r="J43" t="s">
        <v>1241</v>
      </c>
      <c r="K43">
        <v>2600</v>
      </c>
      <c r="L43">
        <v>800</v>
      </c>
      <c r="M43">
        <v>2400</v>
      </c>
      <c r="N43" t="s">
        <v>1939</v>
      </c>
    </row>
    <row r="44" spans="1:14" x14ac:dyDescent="0.2">
      <c r="A44" t="s">
        <v>426</v>
      </c>
      <c r="B44" t="s">
        <v>124</v>
      </c>
      <c r="C44">
        <v>1586</v>
      </c>
      <c r="D44" t="s">
        <v>37</v>
      </c>
      <c r="E44" s="1">
        <v>45460</v>
      </c>
      <c r="F44">
        <v>1</v>
      </c>
      <c r="G44" t="s">
        <v>71</v>
      </c>
      <c r="H44" t="s">
        <v>39</v>
      </c>
      <c r="I44" t="s">
        <v>1960</v>
      </c>
      <c r="J44" t="s">
        <v>1241</v>
      </c>
      <c r="K44">
        <v>2600</v>
      </c>
      <c r="L44">
        <v>800</v>
      </c>
      <c r="M44">
        <v>800</v>
      </c>
      <c r="N44" t="s">
        <v>1961</v>
      </c>
    </row>
    <row r="45" spans="1:14" x14ac:dyDescent="0.2">
      <c r="A45" t="s">
        <v>615</v>
      </c>
      <c r="B45" t="s">
        <v>616</v>
      </c>
      <c r="C45">
        <v>1588</v>
      </c>
      <c r="D45" t="s">
        <v>92</v>
      </c>
      <c r="E45" s="1">
        <v>45552</v>
      </c>
      <c r="F45">
        <v>2</v>
      </c>
      <c r="G45" t="s">
        <v>32</v>
      </c>
      <c r="H45" t="s">
        <v>39</v>
      </c>
      <c r="I45" t="s">
        <v>1964</v>
      </c>
      <c r="J45" t="s">
        <v>1241</v>
      </c>
      <c r="K45">
        <v>2600</v>
      </c>
      <c r="L45">
        <v>600</v>
      </c>
      <c r="M45">
        <v>1200</v>
      </c>
      <c r="N45" t="s">
        <v>1965</v>
      </c>
    </row>
    <row r="46" spans="1:14" x14ac:dyDescent="0.2">
      <c r="A46" t="s">
        <v>411</v>
      </c>
      <c r="B46" t="s">
        <v>617</v>
      </c>
      <c r="C46">
        <v>1589</v>
      </c>
      <c r="D46" t="s">
        <v>51</v>
      </c>
      <c r="E46" s="1">
        <v>45483</v>
      </c>
      <c r="F46">
        <v>1</v>
      </c>
      <c r="G46" t="s">
        <v>38</v>
      </c>
      <c r="H46" t="s">
        <v>39</v>
      </c>
      <c r="I46" t="s">
        <v>1966</v>
      </c>
      <c r="J46" t="s">
        <v>1241</v>
      </c>
      <c r="K46">
        <v>2600</v>
      </c>
      <c r="L46">
        <v>250</v>
      </c>
      <c r="M46">
        <v>250</v>
      </c>
      <c r="N46" t="s">
        <v>1967</v>
      </c>
    </row>
    <row r="47" spans="1:14" x14ac:dyDescent="0.2">
      <c r="A47" t="s">
        <v>138</v>
      </c>
      <c r="B47" t="s">
        <v>218</v>
      </c>
      <c r="C47">
        <v>1591</v>
      </c>
      <c r="D47" t="s">
        <v>42</v>
      </c>
      <c r="E47" s="1">
        <v>45618</v>
      </c>
      <c r="F47">
        <v>2</v>
      </c>
      <c r="G47" t="s">
        <v>32</v>
      </c>
      <c r="H47" t="s">
        <v>39</v>
      </c>
      <c r="I47" t="s">
        <v>1970</v>
      </c>
      <c r="J47" t="s">
        <v>1241</v>
      </c>
      <c r="K47">
        <v>2600</v>
      </c>
      <c r="L47">
        <v>300</v>
      </c>
      <c r="M47">
        <v>600</v>
      </c>
      <c r="N47" t="s">
        <v>1971</v>
      </c>
    </row>
    <row r="48" spans="1:14" x14ac:dyDescent="0.2">
      <c r="A48" t="s">
        <v>219</v>
      </c>
      <c r="B48" t="s">
        <v>641</v>
      </c>
      <c r="C48">
        <v>1611</v>
      </c>
      <c r="D48" t="s">
        <v>76</v>
      </c>
      <c r="E48" s="1">
        <v>45515</v>
      </c>
      <c r="F48">
        <v>3</v>
      </c>
      <c r="G48" t="s">
        <v>71</v>
      </c>
      <c r="H48" t="s">
        <v>39</v>
      </c>
      <c r="I48" t="s">
        <v>2010</v>
      </c>
      <c r="J48" t="s">
        <v>1241</v>
      </c>
      <c r="K48">
        <v>2600</v>
      </c>
      <c r="L48">
        <v>1200</v>
      </c>
      <c r="M48">
        <v>3600</v>
      </c>
      <c r="N48" t="s">
        <v>2011</v>
      </c>
    </row>
    <row r="49" spans="1:14" x14ac:dyDescent="0.2">
      <c r="A49" t="s">
        <v>511</v>
      </c>
      <c r="B49" t="s">
        <v>650</v>
      </c>
      <c r="C49">
        <v>1618</v>
      </c>
      <c r="D49" t="s">
        <v>42</v>
      </c>
      <c r="E49" s="1">
        <v>45415</v>
      </c>
      <c r="F49">
        <v>3</v>
      </c>
      <c r="G49" t="s">
        <v>32</v>
      </c>
      <c r="H49" t="s">
        <v>39</v>
      </c>
      <c r="I49" t="s">
        <v>2026</v>
      </c>
      <c r="J49" t="s">
        <v>1241</v>
      </c>
      <c r="K49">
        <v>2600</v>
      </c>
      <c r="L49">
        <v>300</v>
      </c>
      <c r="M49">
        <v>900</v>
      </c>
      <c r="N49" t="s">
        <v>2027</v>
      </c>
    </row>
    <row r="50" spans="1:14" x14ac:dyDescent="0.2">
      <c r="A50" t="s">
        <v>88</v>
      </c>
      <c r="B50" t="s">
        <v>666</v>
      </c>
      <c r="C50">
        <v>1633</v>
      </c>
      <c r="D50" t="s">
        <v>76</v>
      </c>
      <c r="E50" s="1">
        <v>45607</v>
      </c>
      <c r="F50">
        <v>3</v>
      </c>
      <c r="G50" t="s">
        <v>52</v>
      </c>
      <c r="H50" t="s">
        <v>39</v>
      </c>
      <c r="I50" t="s">
        <v>2056</v>
      </c>
      <c r="J50" t="s">
        <v>1241</v>
      </c>
      <c r="K50">
        <v>2600</v>
      </c>
      <c r="L50">
        <v>1200</v>
      </c>
      <c r="M50">
        <v>3600</v>
      </c>
      <c r="N50" t="s">
        <v>2057</v>
      </c>
    </row>
    <row r="51" spans="1:14" x14ac:dyDescent="0.2">
      <c r="A51" t="s">
        <v>673</v>
      </c>
      <c r="B51" t="s">
        <v>529</v>
      </c>
      <c r="C51">
        <v>1638</v>
      </c>
      <c r="D51" t="s">
        <v>37</v>
      </c>
      <c r="E51" s="1">
        <v>45339</v>
      </c>
      <c r="F51">
        <v>1</v>
      </c>
      <c r="G51" t="s">
        <v>38</v>
      </c>
      <c r="H51" t="s">
        <v>39</v>
      </c>
      <c r="I51" t="s">
        <v>2066</v>
      </c>
      <c r="J51" t="s">
        <v>1241</v>
      </c>
      <c r="K51">
        <v>2600</v>
      </c>
      <c r="L51">
        <v>800</v>
      </c>
      <c r="M51">
        <v>800</v>
      </c>
      <c r="N51" t="s">
        <v>2067</v>
      </c>
    </row>
    <row r="52" spans="1:14" x14ac:dyDescent="0.2">
      <c r="A52" t="s">
        <v>677</v>
      </c>
      <c r="B52" t="s">
        <v>678</v>
      </c>
      <c r="C52">
        <v>1641</v>
      </c>
      <c r="D52" t="s">
        <v>92</v>
      </c>
      <c r="E52" s="1">
        <v>45321</v>
      </c>
      <c r="F52">
        <v>2</v>
      </c>
      <c r="G52" t="s">
        <v>52</v>
      </c>
      <c r="H52" t="s">
        <v>39</v>
      </c>
      <c r="I52" t="s">
        <v>2072</v>
      </c>
      <c r="J52" t="s">
        <v>1241</v>
      </c>
      <c r="K52">
        <v>2600</v>
      </c>
      <c r="L52">
        <v>600</v>
      </c>
      <c r="M52">
        <v>1200</v>
      </c>
      <c r="N52" t="s">
        <v>2073</v>
      </c>
    </row>
    <row r="53" spans="1:14" x14ac:dyDescent="0.2">
      <c r="A53" t="s">
        <v>84</v>
      </c>
      <c r="B53" t="s">
        <v>684</v>
      </c>
      <c r="C53">
        <v>1646</v>
      </c>
      <c r="D53" t="s">
        <v>92</v>
      </c>
      <c r="E53" s="1">
        <v>45328</v>
      </c>
      <c r="F53">
        <v>3</v>
      </c>
      <c r="G53" t="s">
        <v>38</v>
      </c>
      <c r="H53" t="s">
        <v>39</v>
      </c>
      <c r="I53" t="s">
        <v>2082</v>
      </c>
      <c r="J53" t="s">
        <v>1241</v>
      </c>
      <c r="K53">
        <v>2600</v>
      </c>
      <c r="L53">
        <v>600</v>
      </c>
      <c r="M53">
        <v>1800</v>
      </c>
      <c r="N53" t="s">
        <v>2083</v>
      </c>
    </row>
    <row r="54" spans="1:14" x14ac:dyDescent="0.2">
      <c r="A54" t="s">
        <v>219</v>
      </c>
      <c r="B54" t="s">
        <v>531</v>
      </c>
      <c r="C54">
        <v>1662</v>
      </c>
      <c r="D54" t="s">
        <v>92</v>
      </c>
      <c r="E54" s="1">
        <v>45441</v>
      </c>
      <c r="F54">
        <v>2</v>
      </c>
      <c r="G54" t="s">
        <v>32</v>
      </c>
      <c r="H54" t="s">
        <v>39</v>
      </c>
      <c r="I54" t="s">
        <v>2114</v>
      </c>
      <c r="J54" t="s">
        <v>1241</v>
      </c>
      <c r="K54">
        <v>2600</v>
      </c>
      <c r="L54">
        <v>600</v>
      </c>
      <c r="M54">
        <v>1200</v>
      </c>
      <c r="N54" t="s">
        <v>2115</v>
      </c>
    </row>
    <row r="55" spans="1:14" x14ac:dyDescent="0.2">
      <c r="A55" t="s">
        <v>112</v>
      </c>
      <c r="B55" t="s">
        <v>716</v>
      </c>
      <c r="C55">
        <v>1672</v>
      </c>
      <c r="D55" t="s">
        <v>42</v>
      </c>
      <c r="E55" s="1">
        <v>45561</v>
      </c>
      <c r="F55">
        <v>3</v>
      </c>
      <c r="G55" t="s">
        <v>52</v>
      </c>
      <c r="H55" t="s">
        <v>39</v>
      </c>
      <c r="I55" t="s">
        <v>2134</v>
      </c>
      <c r="J55" t="s">
        <v>1241</v>
      </c>
      <c r="K55">
        <v>2600</v>
      </c>
      <c r="L55">
        <v>300</v>
      </c>
      <c r="M55">
        <v>900</v>
      </c>
      <c r="N55" t="s">
        <v>2135</v>
      </c>
    </row>
    <row r="56" spans="1:14" x14ac:dyDescent="0.2">
      <c r="A56" t="s">
        <v>753</v>
      </c>
      <c r="B56" t="s">
        <v>754</v>
      </c>
      <c r="C56">
        <v>1699</v>
      </c>
      <c r="D56" t="s">
        <v>42</v>
      </c>
      <c r="E56" s="1">
        <v>45298</v>
      </c>
      <c r="F56">
        <v>3</v>
      </c>
      <c r="G56" t="s">
        <v>32</v>
      </c>
      <c r="H56" t="s">
        <v>39</v>
      </c>
      <c r="I56" t="s">
        <v>2188</v>
      </c>
      <c r="J56" t="s">
        <v>1241</v>
      </c>
      <c r="K56">
        <v>2600</v>
      </c>
      <c r="L56">
        <v>300</v>
      </c>
      <c r="M56">
        <v>900</v>
      </c>
      <c r="N56" t="s">
        <v>2189</v>
      </c>
    </row>
    <row r="57" spans="1:14" x14ac:dyDescent="0.2">
      <c r="A57" t="s">
        <v>756</v>
      </c>
      <c r="B57" t="s">
        <v>757</v>
      </c>
      <c r="C57">
        <v>1702</v>
      </c>
      <c r="D57" t="s">
        <v>37</v>
      </c>
      <c r="E57" s="1">
        <v>45515</v>
      </c>
      <c r="F57">
        <v>3</v>
      </c>
      <c r="G57" t="s">
        <v>32</v>
      </c>
      <c r="H57" t="s">
        <v>39</v>
      </c>
      <c r="I57" t="s">
        <v>2194</v>
      </c>
      <c r="J57" t="s">
        <v>1241</v>
      </c>
      <c r="K57">
        <v>2600</v>
      </c>
      <c r="L57">
        <v>800</v>
      </c>
      <c r="M57">
        <v>2400</v>
      </c>
      <c r="N57" t="s">
        <v>2195</v>
      </c>
    </row>
    <row r="58" spans="1:14" x14ac:dyDescent="0.2">
      <c r="A58" t="s">
        <v>761</v>
      </c>
      <c r="B58" t="s">
        <v>762</v>
      </c>
      <c r="C58">
        <v>1706</v>
      </c>
      <c r="D58" t="s">
        <v>42</v>
      </c>
      <c r="E58" s="1">
        <v>45378</v>
      </c>
      <c r="F58">
        <v>3</v>
      </c>
      <c r="G58" t="s">
        <v>52</v>
      </c>
      <c r="H58" t="s">
        <v>39</v>
      </c>
      <c r="I58" t="s">
        <v>2202</v>
      </c>
      <c r="J58" t="s">
        <v>1241</v>
      </c>
      <c r="K58">
        <v>2600</v>
      </c>
      <c r="L58">
        <v>300</v>
      </c>
      <c r="M58">
        <v>900</v>
      </c>
      <c r="N58" t="s">
        <v>2203</v>
      </c>
    </row>
    <row r="59" spans="1:14" x14ac:dyDescent="0.2">
      <c r="A59" t="s">
        <v>477</v>
      </c>
      <c r="B59" t="s">
        <v>522</v>
      </c>
      <c r="C59">
        <v>1712</v>
      </c>
      <c r="D59" t="s">
        <v>51</v>
      </c>
      <c r="E59" s="1">
        <v>45507</v>
      </c>
      <c r="F59">
        <v>2</v>
      </c>
      <c r="G59" t="s">
        <v>32</v>
      </c>
      <c r="H59" t="s">
        <v>39</v>
      </c>
      <c r="I59" t="s">
        <v>2214</v>
      </c>
      <c r="J59" t="s">
        <v>1241</v>
      </c>
      <c r="K59">
        <v>2600</v>
      </c>
      <c r="L59">
        <v>250</v>
      </c>
      <c r="M59">
        <v>500</v>
      </c>
      <c r="N59" t="s">
        <v>2215</v>
      </c>
    </row>
    <row r="60" spans="1:14" x14ac:dyDescent="0.2">
      <c r="A60" t="s">
        <v>773</v>
      </c>
      <c r="B60" t="s">
        <v>499</v>
      </c>
      <c r="C60">
        <v>1719</v>
      </c>
      <c r="D60" t="s">
        <v>31</v>
      </c>
      <c r="E60" s="1">
        <v>45593</v>
      </c>
      <c r="F60">
        <v>2</v>
      </c>
      <c r="G60" t="s">
        <v>52</v>
      </c>
      <c r="H60" t="s">
        <v>39</v>
      </c>
      <c r="I60" t="s">
        <v>2228</v>
      </c>
      <c r="J60" t="s">
        <v>1241</v>
      </c>
      <c r="K60">
        <v>2600</v>
      </c>
      <c r="L60">
        <v>250</v>
      </c>
      <c r="M60">
        <v>500</v>
      </c>
      <c r="N60" t="s">
        <v>2229</v>
      </c>
    </row>
    <row r="61" spans="1:14" x14ac:dyDescent="0.2">
      <c r="A61" t="s">
        <v>422</v>
      </c>
      <c r="B61" t="s">
        <v>725</v>
      </c>
      <c r="C61">
        <v>1729</v>
      </c>
      <c r="D61" t="s">
        <v>76</v>
      </c>
      <c r="E61" s="1">
        <v>45560</v>
      </c>
      <c r="F61">
        <v>2</v>
      </c>
      <c r="G61" t="s">
        <v>52</v>
      </c>
      <c r="H61" t="s">
        <v>39</v>
      </c>
      <c r="I61" t="s">
        <v>2248</v>
      </c>
      <c r="J61" t="s">
        <v>1241</v>
      </c>
      <c r="K61">
        <v>2600</v>
      </c>
      <c r="L61">
        <v>1200</v>
      </c>
      <c r="M61">
        <v>2400</v>
      </c>
      <c r="N61" t="s">
        <v>2249</v>
      </c>
    </row>
    <row r="62" spans="1:14" x14ac:dyDescent="0.2">
      <c r="A62" t="s">
        <v>696</v>
      </c>
      <c r="B62" t="s">
        <v>390</v>
      </c>
      <c r="C62">
        <v>1741</v>
      </c>
      <c r="D62" t="s">
        <v>51</v>
      </c>
      <c r="E62" s="1">
        <v>45476</v>
      </c>
      <c r="F62">
        <v>3</v>
      </c>
      <c r="G62" t="s">
        <v>32</v>
      </c>
      <c r="H62" t="s">
        <v>39</v>
      </c>
      <c r="I62" t="s">
        <v>2272</v>
      </c>
      <c r="J62" t="s">
        <v>1241</v>
      </c>
      <c r="K62">
        <v>2600</v>
      </c>
      <c r="L62">
        <v>250</v>
      </c>
      <c r="M62">
        <v>750</v>
      </c>
      <c r="N62" t="s">
        <v>2273</v>
      </c>
    </row>
    <row r="63" spans="1:14" x14ac:dyDescent="0.2">
      <c r="A63" t="s">
        <v>96</v>
      </c>
      <c r="B63" t="s">
        <v>797</v>
      </c>
      <c r="C63">
        <v>1742</v>
      </c>
      <c r="D63" t="s">
        <v>92</v>
      </c>
      <c r="E63" s="1">
        <v>45642</v>
      </c>
      <c r="F63">
        <v>2</v>
      </c>
      <c r="G63" t="s">
        <v>52</v>
      </c>
      <c r="H63" t="s">
        <v>39</v>
      </c>
      <c r="I63" t="s">
        <v>2274</v>
      </c>
      <c r="J63" t="s">
        <v>1241</v>
      </c>
      <c r="K63">
        <v>2600</v>
      </c>
      <c r="L63">
        <v>600</v>
      </c>
      <c r="M63">
        <v>1200</v>
      </c>
      <c r="N63" t="s">
        <v>2275</v>
      </c>
    </row>
    <row r="64" spans="1:14" x14ac:dyDescent="0.2">
      <c r="A64" t="s">
        <v>799</v>
      </c>
      <c r="B64" t="s">
        <v>800</v>
      </c>
      <c r="C64">
        <v>1744</v>
      </c>
      <c r="D64" t="s">
        <v>31</v>
      </c>
      <c r="E64" s="1">
        <v>45452</v>
      </c>
      <c r="F64">
        <v>2</v>
      </c>
      <c r="G64" t="s">
        <v>32</v>
      </c>
      <c r="H64" t="s">
        <v>39</v>
      </c>
      <c r="I64" t="s">
        <v>2278</v>
      </c>
      <c r="J64" t="s">
        <v>1241</v>
      </c>
      <c r="K64">
        <v>2600</v>
      </c>
      <c r="L64">
        <v>250</v>
      </c>
      <c r="M64">
        <v>500</v>
      </c>
      <c r="N64" t="s">
        <v>2279</v>
      </c>
    </row>
    <row r="65" spans="1:14" x14ac:dyDescent="0.2">
      <c r="A65" t="s">
        <v>819</v>
      </c>
      <c r="B65" t="s">
        <v>820</v>
      </c>
      <c r="C65">
        <v>1766</v>
      </c>
      <c r="D65" t="s">
        <v>31</v>
      </c>
      <c r="E65" s="1">
        <v>45294</v>
      </c>
      <c r="F65">
        <v>3</v>
      </c>
      <c r="G65" t="s">
        <v>52</v>
      </c>
      <c r="H65" t="s">
        <v>39</v>
      </c>
      <c r="I65" t="s">
        <v>2322</v>
      </c>
      <c r="J65" t="s">
        <v>1241</v>
      </c>
      <c r="K65">
        <v>2600</v>
      </c>
      <c r="L65">
        <v>250</v>
      </c>
      <c r="M65">
        <v>750</v>
      </c>
      <c r="N65" t="s">
        <v>2323</v>
      </c>
    </row>
    <row r="66" spans="1:14" x14ac:dyDescent="0.2">
      <c r="A66" t="s">
        <v>824</v>
      </c>
      <c r="B66" t="s">
        <v>825</v>
      </c>
      <c r="C66">
        <v>1770</v>
      </c>
      <c r="D66" t="s">
        <v>92</v>
      </c>
      <c r="E66" s="1">
        <v>45617</v>
      </c>
      <c r="F66">
        <v>2</v>
      </c>
      <c r="G66" t="s">
        <v>52</v>
      </c>
      <c r="H66" t="s">
        <v>39</v>
      </c>
      <c r="I66" t="s">
        <v>2330</v>
      </c>
      <c r="J66" t="s">
        <v>1241</v>
      </c>
      <c r="K66">
        <v>2600</v>
      </c>
      <c r="L66">
        <v>600</v>
      </c>
      <c r="M66">
        <v>1200</v>
      </c>
      <c r="N66" t="s">
        <v>2331</v>
      </c>
    </row>
    <row r="67" spans="1:14" x14ac:dyDescent="0.2">
      <c r="A67" t="s">
        <v>667</v>
      </c>
      <c r="B67" t="s">
        <v>827</v>
      </c>
      <c r="C67">
        <v>1775</v>
      </c>
      <c r="D67" t="s">
        <v>76</v>
      </c>
      <c r="E67" s="1">
        <v>45497</v>
      </c>
      <c r="F67">
        <v>3</v>
      </c>
      <c r="G67" t="s">
        <v>32</v>
      </c>
      <c r="H67" t="s">
        <v>39</v>
      </c>
      <c r="I67" t="s">
        <v>2340</v>
      </c>
      <c r="J67" t="s">
        <v>1241</v>
      </c>
      <c r="K67">
        <v>2600</v>
      </c>
      <c r="L67">
        <v>1200</v>
      </c>
      <c r="M67">
        <v>3600</v>
      </c>
      <c r="N67" t="s">
        <v>2341</v>
      </c>
    </row>
    <row r="68" spans="1:14" x14ac:dyDescent="0.2">
      <c r="A68" t="s">
        <v>828</v>
      </c>
      <c r="B68" t="s">
        <v>829</v>
      </c>
      <c r="C68">
        <v>1776</v>
      </c>
      <c r="D68" t="s">
        <v>37</v>
      </c>
      <c r="E68" s="1">
        <v>45589</v>
      </c>
      <c r="F68">
        <v>3</v>
      </c>
      <c r="G68" t="s">
        <v>38</v>
      </c>
      <c r="H68" t="s">
        <v>39</v>
      </c>
      <c r="I68" t="s">
        <v>2342</v>
      </c>
      <c r="J68" t="s">
        <v>1241</v>
      </c>
      <c r="K68">
        <v>2600</v>
      </c>
      <c r="L68">
        <v>800</v>
      </c>
      <c r="M68">
        <v>2400</v>
      </c>
      <c r="N68" t="s">
        <v>2343</v>
      </c>
    </row>
    <row r="69" spans="1:14" x14ac:dyDescent="0.2">
      <c r="A69" t="s">
        <v>832</v>
      </c>
      <c r="B69" t="s">
        <v>833</v>
      </c>
      <c r="C69">
        <v>1779</v>
      </c>
      <c r="D69" t="s">
        <v>76</v>
      </c>
      <c r="E69" s="1">
        <v>45487</v>
      </c>
      <c r="F69">
        <v>2</v>
      </c>
      <c r="G69" t="s">
        <v>32</v>
      </c>
      <c r="H69" t="s">
        <v>39</v>
      </c>
      <c r="I69" t="s">
        <v>2348</v>
      </c>
      <c r="J69" t="s">
        <v>1241</v>
      </c>
      <c r="K69">
        <v>2600</v>
      </c>
      <c r="L69">
        <v>1200</v>
      </c>
      <c r="M69">
        <v>2400</v>
      </c>
      <c r="N69" t="s">
        <v>2349</v>
      </c>
    </row>
    <row r="70" spans="1:14" x14ac:dyDescent="0.2">
      <c r="A70" t="s">
        <v>848</v>
      </c>
      <c r="B70" t="s">
        <v>849</v>
      </c>
      <c r="C70">
        <v>1792</v>
      </c>
      <c r="D70" t="s">
        <v>42</v>
      </c>
      <c r="E70" s="1">
        <v>45315</v>
      </c>
      <c r="F70">
        <v>1</v>
      </c>
      <c r="G70" t="s">
        <v>32</v>
      </c>
      <c r="H70" t="s">
        <v>39</v>
      </c>
      <c r="I70" t="s">
        <v>2374</v>
      </c>
      <c r="J70" t="s">
        <v>1241</v>
      </c>
      <c r="K70">
        <v>2600</v>
      </c>
      <c r="L70">
        <v>300</v>
      </c>
      <c r="M70">
        <v>300</v>
      </c>
      <c r="N70" t="s">
        <v>2375</v>
      </c>
    </row>
    <row r="71" spans="1:14" x14ac:dyDescent="0.2">
      <c r="A71" t="s">
        <v>393</v>
      </c>
      <c r="B71" t="s">
        <v>153</v>
      </c>
      <c r="C71">
        <v>1800</v>
      </c>
      <c r="D71" t="s">
        <v>76</v>
      </c>
      <c r="E71" s="1">
        <v>45475</v>
      </c>
      <c r="F71">
        <v>2</v>
      </c>
      <c r="G71" t="s">
        <v>32</v>
      </c>
      <c r="H71" t="s">
        <v>39</v>
      </c>
      <c r="I71" t="s">
        <v>2390</v>
      </c>
      <c r="J71" t="s">
        <v>1241</v>
      </c>
      <c r="K71">
        <v>2600</v>
      </c>
      <c r="L71">
        <v>1200</v>
      </c>
      <c r="M71">
        <v>2400</v>
      </c>
      <c r="N71" t="s">
        <v>2391</v>
      </c>
    </row>
    <row r="72" spans="1:14" x14ac:dyDescent="0.2">
      <c r="A72" t="s">
        <v>861</v>
      </c>
      <c r="B72" t="s">
        <v>862</v>
      </c>
      <c r="C72">
        <v>1806</v>
      </c>
      <c r="D72" t="s">
        <v>42</v>
      </c>
      <c r="E72" s="1">
        <v>45615</v>
      </c>
      <c r="F72">
        <v>3</v>
      </c>
      <c r="G72" t="s">
        <v>52</v>
      </c>
      <c r="H72" t="s">
        <v>39</v>
      </c>
      <c r="I72" t="s">
        <v>2402</v>
      </c>
      <c r="J72" t="s">
        <v>1241</v>
      </c>
      <c r="K72">
        <v>2600</v>
      </c>
      <c r="L72">
        <v>300</v>
      </c>
      <c r="M72">
        <v>900</v>
      </c>
      <c r="N72" t="s">
        <v>2403</v>
      </c>
    </row>
    <row r="73" spans="1:14" x14ac:dyDescent="0.2">
      <c r="A73" t="s">
        <v>49</v>
      </c>
      <c r="B73" t="s">
        <v>138</v>
      </c>
      <c r="C73">
        <v>1814</v>
      </c>
      <c r="D73" t="s">
        <v>51</v>
      </c>
      <c r="E73" s="1">
        <v>45471</v>
      </c>
      <c r="F73">
        <v>3</v>
      </c>
      <c r="G73" t="s">
        <v>52</v>
      </c>
      <c r="H73" t="s">
        <v>39</v>
      </c>
      <c r="I73" t="s">
        <v>2418</v>
      </c>
      <c r="J73" t="s">
        <v>1241</v>
      </c>
      <c r="K73">
        <v>2600</v>
      </c>
      <c r="L73">
        <v>250</v>
      </c>
      <c r="M73">
        <v>750</v>
      </c>
      <c r="N73" t="s">
        <v>2419</v>
      </c>
    </row>
    <row r="74" spans="1:14" x14ac:dyDescent="0.2">
      <c r="A74" t="s">
        <v>870</v>
      </c>
      <c r="B74" t="s">
        <v>871</v>
      </c>
      <c r="C74">
        <v>1815</v>
      </c>
      <c r="D74" t="s">
        <v>31</v>
      </c>
      <c r="E74" s="1">
        <v>45496</v>
      </c>
      <c r="F74">
        <v>3</v>
      </c>
      <c r="G74" t="s">
        <v>52</v>
      </c>
      <c r="H74" t="s">
        <v>39</v>
      </c>
      <c r="I74" t="s">
        <v>2420</v>
      </c>
      <c r="J74" t="s">
        <v>1241</v>
      </c>
      <c r="K74">
        <v>2600</v>
      </c>
      <c r="L74">
        <v>250</v>
      </c>
      <c r="M74">
        <v>750</v>
      </c>
      <c r="N74" t="s">
        <v>2421</v>
      </c>
    </row>
    <row r="75" spans="1:14" x14ac:dyDescent="0.2">
      <c r="A75" t="s">
        <v>389</v>
      </c>
      <c r="B75" t="s">
        <v>663</v>
      </c>
      <c r="C75">
        <v>1822</v>
      </c>
      <c r="D75" t="s">
        <v>76</v>
      </c>
      <c r="E75" s="1">
        <v>45516</v>
      </c>
      <c r="F75">
        <v>2</v>
      </c>
      <c r="G75" t="s">
        <v>32</v>
      </c>
      <c r="H75" t="s">
        <v>39</v>
      </c>
      <c r="I75" t="s">
        <v>2434</v>
      </c>
      <c r="J75" t="s">
        <v>1241</v>
      </c>
      <c r="K75">
        <v>2600</v>
      </c>
      <c r="L75">
        <v>1200</v>
      </c>
      <c r="M75">
        <v>2400</v>
      </c>
      <c r="N75" t="s">
        <v>2435</v>
      </c>
    </row>
    <row r="76" spans="1:14" x14ac:dyDescent="0.2">
      <c r="A76" t="s">
        <v>895</v>
      </c>
      <c r="B76" t="s">
        <v>896</v>
      </c>
      <c r="C76">
        <v>1835</v>
      </c>
      <c r="D76" t="s">
        <v>92</v>
      </c>
      <c r="E76" s="1">
        <v>45630</v>
      </c>
      <c r="F76">
        <v>1</v>
      </c>
      <c r="G76" t="s">
        <v>52</v>
      </c>
      <c r="H76" t="s">
        <v>39</v>
      </c>
      <c r="I76" t="s">
        <v>2460</v>
      </c>
      <c r="J76" t="s">
        <v>1241</v>
      </c>
      <c r="K76">
        <v>2600</v>
      </c>
      <c r="L76">
        <v>600</v>
      </c>
      <c r="M76">
        <v>600</v>
      </c>
      <c r="N76" t="s">
        <v>2461</v>
      </c>
    </row>
    <row r="77" spans="1:14" x14ac:dyDescent="0.2">
      <c r="A77" t="s">
        <v>899</v>
      </c>
      <c r="B77" t="s">
        <v>360</v>
      </c>
      <c r="C77">
        <v>1840</v>
      </c>
      <c r="D77" t="s">
        <v>37</v>
      </c>
      <c r="E77" s="1">
        <v>45625</v>
      </c>
      <c r="F77">
        <v>1</v>
      </c>
      <c r="G77" t="s">
        <v>52</v>
      </c>
      <c r="H77" t="s">
        <v>39</v>
      </c>
      <c r="I77" t="s">
        <v>2470</v>
      </c>
      <c r="J77" t="s">
        <v>1241</v>
      </c>
      <c r="K77">
        <v>2600</v>
      </c>
      <c r="L77">
        <v>800</v>
      </c>
      <c r="M77">
        <v>800</v>
      </c>
      <c r="N77" t="s">
        <v>2471</v>
      </c>
    </row>
    <row r="78" spans="1:14" x14ac:dyDescent="0.2">
      <c r="A78" t="s">
        <v>903</v>
      </c>
      <c r="B78" t="s">
        <v>904</v>
      </c>
      <c r="C78">
        <v>1845</v>
      </c>
      <c r="D78" t="s">
        <v>42</v>
      </c>
      <c r="E78" s="1">
        <v>45580</v>
      </c>
      <c r="F78">
        <v>3</v>
      </c>
      <c r="G78" t="s">
        <v>52</v>
      </c>
      <c r="H78" t="s">
        <v>39</v>
      </c>
      <c r="I78" t="s">
        <v>2480</v>
      </c>
      <c r="J78" t="s">
        <v>1241</v>
      </c>
      <c r="K78">
        <v>2600</v>
      </c>
      <c r="L78">
        <v>300</v>
      </c>
      <c r="M78">
        <v>900</v>
      </c>
      <c r="N78" t="s">
        <v>2481</v>
      </c>
    </row>
    <row r="79" spans="1:14" x14ac:dyDescent="0.2">
      <c r="A79" t="s">
        <v>306</v>
      </c>
      <c r="B79" t="s">
        <v>250</v>
      </c>
      <c r="C79">
        <v>1846</v>
      </c>
      <c r="D79" t="s">
        <v>76</v>
      </c>
      <c r="E79" s="1">
        <v>45551</v>
      </c>
      <c r="F79">
        <v>3</v>
      </c>
      <c r="G79" t="s">
        <v>32</v>
      </c>
      <c r="H79" t="s">
        <v>39</v>
      </c>
      <c r="I79" t="s">
        <v>2482</v>
      </c>
      <c r="J79" t="s">
        <v>1241</v>
      </c>
      <c r="K79">
        <v>2600</v>
      </c>
      <c r="L79">
        <v>1200</v>
      </c>
      <c r="M79">
        <v>3600</v>
      </c>
      <c r="N79" t="s">
        <v>2483</v>
      </c>
    </row>
    <row r="80" spans="1:14" x14ac:dyDescent="0.2">
      <c r="A80" t="s">
        <v>776</v>
      </c>
      <c r="B80" t="s">
        <v>170</v>
      </c>
      <c r="C80">
        <v>1853</v>
      </c>
      <c r="D80" t="s">
        <v>51</v>
      </c>
      <c r="E80" s="1">
        <v>45321</v>
      </c>
      <c r="F80">
        <v>3</v>
      </c>
      <c r="G80" t="s">
        <v>32</v>
      </c>
      <c r="H80" t="s">
        <v>39</v>
      </c>
      <c r="I80" t="s">
        <v>2495</v>
      </c>
      <c r="J80" t="s">
        <v>1241</v>
      </c>
      <c r="K80">
        <v>2600</v>
      </c>
      <c r="L80">
        <v>250</v>
      </c>
      <c r="M80">
        <v>750</v>
      </c>
      <c r="N80" t="s">
        <v>2496</v>
      </c>
    </row>
    <row r="81" spans="1:14" x14ac:dyDescent="0.2">
      <c r="A81" t="s">
        <v>426</v>
      </c>
      <c r="B81" t="s">
        <v>909</v>
      </c>
      <c r="C81">
        <v>1854</v>
      </c>
      <c r="D81" t="s">
        <v>51</v>
      </c>
      <c r="E81" s="1">
        <v>45423</v>
      </c>
      <c r="F81">
        <v>3</v>
      </c>
      <c r="G81" t="s">
        <v>32</v>
      </c>
      <c r="H81" t="s">
        <v>39</v>
      </c>
      <c r="I81" t="s">
        <v>2497</v>
      </c>
      <c r="J81" t="s">
        <v>1241</v>
      </c>
      <c r="K81">
        <v>2600</v>
      </c>
      <c r="L81">
        <v>250</v>
      </c>
      <c r="M81">
        <v>750</v>
      </c>
      <c r="N81" t="s">
        <v>2498</v>
      </c>
    </row>
    <row r="82" spans="1:14" x14ac:dyDescent="0.2">
      <c r="A82" t="s">
        <v>926</v>
      </c>
      <c r="B82" t="s">
        <v>274</v>
      </c>
      <c r="C82">
        <v>1866</v>
      </c>
      <c r="D82" t="s">
        <v>92</v>
      </c>
      <c r="E82" s="1">
        <v>45363</v>
      </c>
      <c r="F82">
        <v>2</v>
      </c>
      <c r="G82" t="s">
        <v>52</v>
      </c>
      <c r="H82" t="s">
        <v>39</v>
      </c>
      <c r="I82" t="s">
        <v>2521</v>
      </c>
      <c r="J82" t="s">
        <v>1241</v>
      </c>
      <c r="K82">
        <v>2600</v>
      </c>
      <c r="L82">
        <v>600</v>
      </c>
      <c r="M82">
        <v>1200</v>
      </c>
      <c r="N82" t="s">
        <v>2522</v>
      </c>
    </row>
    <row r="83" spans="1:14" x14ac:dyDescent="0.2">
      <c r="A83" t="s">
        <v>949</v>
      </c>
      <c r="B83" t="s">
        <v>950</v>
      </c>
      <c r="C83">
        <v>1889</v>
      </c>
      <c r="D83" t="s">
        <v>92</v>
      </c>
      <c r="E83" s="1">
        <v>45439</v>
      </c>
      <c r="F83">
        <v>3</v>
      </c>
      <c r="G83" t="s">
        <v>71</v>
      </c>
      <c r="H83" t="s">
        <v>39</v>
      </c>
      <c r="I83" t="s">
        <v>2567</v>
      </c>
      <c r="J83" t="s">
        <v>1241</v>
      </c>
      <c r="K83">
        <v>2600</v>
      </c>
      <c r="L83">
        <v>600</v>
      </c>
      <c r="M83">
        <v>1800</v>
      </c>
      <c r="N83" t="s">
        <v>2568</v>
      </c>
    </row>
    <row r="84" spans="1:14" x14ac:dyDescent="0.2">
      <c r="A84" t="s">
        <v>193</v>
      </c>
      <c r="B84" t="s">
        <v>964</v>
      </c>
      <c r="C84">
        <v>1902</v>
      </c>
      <c r="D84" t="s">
        <v>51</v>
      </c>
      <c r="E84" s="1">
        <v>45614</v>
      </c>
      <c r="F84">
        <v>1</v>
      </c>
      <c r="G84" t="s">
        <v>52</v>
      </c>
      <c r="H84" t="s">
        <v>39</v>
      </c>
      <c r="I84" t="s">
        <v>2593</v>
      </c>
      <c r="J84" t="s">
        <v>1241</v>
      </c>
      <c r="K84">
        <v>2600</v>
      </c>
      <c r="L84">
        <v>250</v>
      </c>
      <c r="M84">
        <v>250</v>
      </c>
      <c r="N84" t="s">
        <v>2594</v>
      </c>
    </row>
    <row r="85" spans="1:14" x14ac:dyDescent="0.2">
      <c r="A85" t="s">
        <v>844</v>
      </c>
      <c r="B85" t="s">
        <v>966</v>
      </c>
      <c r="C85">
        <v>1905</v>
      </c>
      <c r="D85" t="s">
        <v>76</v>
      </c>
      <c r="E85" s="1">
        <v>45543</v>
      </c>
      <c r="F85">
        <v>2</v>
      </c>
      <c r="G85" t="s">
        <v>52</v>
      </c>
      <c r="H85" t="s">
        <v>39</v>
      </c>
      <c r="I85" t="s">
        <v>2599</v>
      </c>
      <c r="J85" t="s">
        <v>1241</v>
      </c>
      <c r="K85">
        <v>2600</v>
      </c>
      <c r="L85">
        <v>1200</v>
      </c>
      <c r="M85">
        <v>2400</v>
      </c>
      <c r="N85" t="s">
        <v>2600</v>
      </c>
    </row>
    <row r="86" spans="1:14" x14ac:dyDescent="0.2">
      <c r="A86" t="s">
        <v>773</v>
      </c>
      <c r="B86" t="s">
        <v>971</v>
      </c>
      <c r="C86">
        <v>1914</v>
      </c>
      <c r="D86" t="s">
        <v>31</v>
      </c>
      <c r="E86" s="1">
        <v>45439</v>
      </c>
      <c r="F86">
        <v>2</v>
      </c>
      <c r="G86" t="s">
        <v>38</v>
      </c>
      <c r="H86" t="s">
        <v>39</v>
      </c>
      <c r="I86" t="s">
        <v>2617</v>
      </c>
      <c r="J86" t="s">
        <v>1241</v>
      </c>
      <c r="K86">
        <v>2600</v>
      </c>
      <c r="L86">
        <v>250</v>
      </c>
      <c r="M86">
        <v>500</v>
      </c>
      <c r="N86" t="s">
        <v>2618</v>
      </c>
    </row>
    <row r="87" spans="1:14" x14ac:dyDescent="0.2">
      <c r="A87" t="s">
        <v>977</v>
      </c>
      <c r="B87" t="s">
        <v>978</v>
      </c>
      <c r="C87">
        <v>1919</v>
      </c>
      <c r="D87" t="s">
        <v>42</v>
      </c>
      <c r="E87" s="1">
        <v>45422</v>
      </c>
      <c r="F87">
        <v>3</v>
      </c>
      <c r="G87" t="s">
        <v>52</v>
      </c>
      <c r="H87" t="s">
        <v>39</v>
      </c>
      <c r="I87" t="s">
        <v>2627</v>
      </c>
      <c r="J87" t="s">
        <v>1241</v>
      </c>
      <c r="K87">
        <v>2600</v>
      </c>
      <c r="L87">
        <v>300</v>
      </c>
      <c r="M87">
        <v>900</v>
      </c>
      <c r="N87" t="s">
        <v>2628</v>
      </c>
    </row>
    <row r="88" spans="1:14" x14ac:dyDescent="0.2">
      <c r="A88" t="s">
        <v>420</v>
      </c>
      <c r="B88" t="s">
        <v>986</v>
      </c>
      <c r="C88">
        <v>1926</v>
      </c>
      <c r="D88" t="s">
        <v>92</v>
      </c>
      <c r="E88" s="1">
        <v>45618</v>
      </c>
      <c r="F88">
        <v>2</v>
      </c>
      <c r="G88" t="s">
        <v>32</v>
      </c>
      <c r="H88" t="s">
        <v>39</v>
      </c>
      <c r="I88" t="s">
        <v>2641</v>
      </c>
      <c r="J88" t="s">
        <v>1241</v>
      </c>
      <c r="K88">
        <v>2600</v>
      </c>
      <c r="L88">
        <v>600</v>
      </c>
      <c r="M88">
        <v>1200</v>
      </c>
      <c r="N88" t="s">
        <v>2642</v>
      </c>
    </row>
    <row r="89" spans="1:14" x14ac:dyDescent="0.2">
      <c r="A89" t="s">
        <v>987</v>
      </c>
      <c r="B89" t="s">
        <v>988</v>
      </c>
      <c r="C89">
        <v>1927</v>
      </c>
      <c r="D89" t="s">
        <v>76</v>
      </c>
      <c r="E89" s="1">
        <v>45423</v>
      </c>
      <c r="F89">
        <v>1</v>
      </c>
      <c r="G89" t="s">
        <v>52</v>
      </c>
      <c r="H89" t="s">
        <v>39</v>
      </c>
      <c r="I89" t="s">
        <v>2643</v>
      </c>
      <c r="J89" t="s">
        <v>1241</v>
      </c>
      <c r="K89">
        <v>2600</v>
      </c>
      <c r="L89">
        <v>1200</v>
      </c>
      <c r="M89">
        <v>1200</v>
      </c>
      <c r="N89" t="s">
        <v>2644</v>
      </c>
    </row>
    <row r="90" spans="1:14" x14ac:dyDescent="0.2">
      <c r="A90" t="s">
        <v>984</v>
      </c>
      <c r="B90" t="s">
        <v>862</v>
      </c>
      <c r="C90">
        <v>1936</v>
      </c>
      <c r="D90" t="s">
        <v>37</v>
      </c>
      <c r="E90" s="1">
        <v>45411</v>
      </c>
      <c r="F90">
        <v>2</v>
      </c>
      <c r="G90" t="s">
        <v>52</v>
      </c>
      <c r="H90" t="s">
        <v>39</v>
      </c>
      <c r="I90" t="s">
        <v>2661</v>
      </c>
      <c r="J90" t="s">
        <v>1241</v>
      </c>
      <c r="K90">
        <v>2600</v>
      </c>
      <c r="L90">
        <v>800</v>
      </c>
      <c r="M90">
        <v>1600</v>
      </c>
      <c r="N90" t="s">
        <v>2662</v>
      </c>
    </row>
    <row r="91" spans="1:14" x14ac:dyDescent="0.2">
      <c r="A91" t="s">
        <v>997</v>
      </c>
      <c r="B91" t="s">
        <v>998</v>
      </c>
      <c r="C91">
        <v>1937</v>
      </c>
      <c r="D91" t="s">
        <v>31</v>
      </c>
      <c r="E91" s="1">
        <v>45398</v>
      </c>
      <c r="F91">
        <v>3</v>
      </c>
      <c r="G91" t="s">
        <v>32</v>
      </c>
      <c r="H91" t="s">
        <v>39</v>
      </c>
      <c r="I91" t="s">
        <v>2663</v>
      </c>
      <c r="J91" t="s">
        <v>1241</v>
      </c>
      <c r="K91">
        <v>2600</v>
      </c>
      <c r="L91">
        <v>250</v>
      </c>
      <c r="M91">
        <v>750</v>
      </c>
      <c r="N91" t="s">
        <v>2664</v>
      </c>
    </row>
    <row r="92" spans="1:14" x14ac:dyDescent="0.2">
      <c r="A92" t="s">
        <v>173</v>
      </c>
      <c r="B92" t="s">
        <v>507</v>
      </c>
      <c r="C92">
        <v>1947</v>
      </c>
      <c r="D92" t="s">
        <v>37</v>
      </c>
      <c r="E92" s="1">
        <v>45483</v>
      </c>
      <c r="F92">
        <v>3</v>
      </c>
      <c r="G92" t="s">
        <v>32</v>
      </c>
      <c r="H92" t="s">
        <v>39</v>
      </c>
      <c r="I92" t="s">
        <v>2683</v>
      </c>
      <c r="J92" t="s">
        <v>1241</v>
      </c>
      <c r="K92">
        <v>2600</v>
      </c>
      <c r="L92">
        <v>800</v>
      </c>
      <c r="M92">
        <v>2400</v>
      </c>
      <c r="N92" t="s">
        <v>2684</v>
      </c>
    </row>
    <row r="93" spans="1:14" x14ac:dyDescent="0.2">
      <c r="A93" t="s">
        <v>1011</v>
      </c>
      <c r="B93" t="s">
        <v>811</v>
      </c>
      <c r="C93">
        <v>1952</v>
      </c>
      <c r="D93" t="s">
        <v>37</v>
      </c>
      <c r="E93" s="1">
        <v>45522</v>
      </c>
      <c r="F93">
        <v>1</v>
      </c>
      <c r="G93" t="s">
        <v>32</v>
      </c>
      <c r="H93" t="s">
        <v>39</v>
      </c>
      <c r="I93" t="s">
        <v>2693</v>
      </c>
      <c r="J93" t="s">
        <v>1241</v>
      </c>
      <c r="K93">
        <v>2600</v>
      </c>
      <c r="L93">
        <v>800</v>
      </c>
      <c r="M93">
        <v>800</v>
      </c>
      <c r="N93" t="s">
        <v>2694</v>
      </c>
    </row>
    <row r="94" spans="1:14" x14ac:dyDescent="0.2">
      <c r="A94" t="s">
        <v>369</v>
      </c>
      <c r="B94" t="s">
        <v>315</v>
      </c>
      <c r="C94">
        <v>1966</v>
      </c>
      <c r="D94" t="s">
        <v>51</v>
      </c>
      <c r="E94" s="1">
        <v>45505</v>
      </c>
      <c r="F94">
        <v>2</v>
      </c>
      <c r="G94" t="s">
        <v>52</v>
      </c>
      <c r="H94" t="s">
        <v>39</v>
      </c>
      <c r="I94" t="s">
        <v>2721</v>
      </c>
      <c r="J94" t="s">
        <v>1241</v>
      </c>
      <c r="K94">
        <v>2600</v>
      </c>
      <c r="L94">
        <v>250</v>
      </c>
      <c r="M94">
        <v>500</v>
      </c>
      <c r="N94" t="s">
        <v>2722</v>
      </c>
    </row>
    <row r="95" spans="1:14" x14ac:dyDescent="0.2">
      <c r="A95" t="s">
        <v>35</v>
      </c>
      <c r="B95" t="s">
        <v>107</v>
      </c>
      <c r="C95">
        <v>1971</v>
      </c>
      <c r="D95" t="s">
        <v>76</v>
      </c>
      <c r="E95" s="1">
        <v>45358</v>
      </c>
      <c r="F95">
        <v>2</v>
      </c>
      <c r="G95" t="s">
        <v>32</v>
      </c>
      <c r="H95" t="s">
        <v>39</v>
      </c>
      <c r="I95" t="s">
        <v>2731</v>
      </c>
      <c r="J95" t="s">
        <v>1241</v>
      </c>
      <c r="K95">
        <v>2600</v>
      </c>
      <c r="L95">
        <v>1200</v>
      </c>
      <c r="M95">
        <v>2400</v>
      </c>
      <c r="N95" t="s">
        <v>2732</v>
      </c>
    </row>
    <row r="96" spans="1:14" x14ac:dyDescent="0.2">
      <c r="A96" t="s">
        <v>182</v>
      </c>
      <c r="B96" t="s">
        <v>113</v>
      </c>
      <c r="C96">
        <v>1973</v>
      </c>
      <c r="D96" t="s">
        <v>76</v>
      </c>
      <c r="E96" s="1">
        <v>45574</v>
      </c>
      <c r="F96">
        <v>2</v>
      </c>
      <c r="G96" t="s">
        <v>52</v>
      </c>
      <c r="H96" t="s">
        <v>39</v>
      </c>
      <c r="I96" t="s">
        <v>2735</v>
      </c>
      <c r="J96" t="s">
        <v>1241</v>
      </c>
      <c r="K96">
        <v>2600</v>
      </c>
      <c r="L96">
        <v>1200</v>
      </c>
      <c r="M96">
        <v>2400</v>
      </c>
      <c r="N96" t="s">
        <v>2736</v>
      </c>
    </row>
    <row r="97" spans="1:14" x14ac:dyDescent="0.2">
      <c r="A97" t="s">
        <v>898</v>
      </c>
      <c r="B97" t="s">
        <v>1026</v>
      </c>
      <c r="C97">
        <v>1977</v>
      </c>
      <c r="D97" t="s">
        <v>31</v>
      </c>
      <c r="E97" s="1">
        <v>45537</v>
      </c>
      <c r="F97">
        <v>2</v>
      </c>
      <c r="G97" t="s">
        <v>52</v>
      </c>
      <c r="H97" t="s">
        <v>39</v>
      </c>
      <c r="I97" t="s">
        <v>2743</v>
      </c>
      <c r="J97" t="s">
        <v>1241</v>
      </c>
      <c r="K97">
        <v>2600</v>
      </c>
      <c r="L97">
        <v>250</v>
      </c>
      <c r="M97">
        <v>500</v>
      </c>
      <c r="N97" t="s">
        <v>2744</v>
      </c>
    </row>
    <row r="98" spans="1:14" x14ac:dyDescent="0.2">
      <c r="A98" t="s">
        <v>1036</v>
      </c>
      <c r="B98" t="s">
        <v>1037</v>
      </c>
      <c r="C98">
        <v>1987</v>
      </c>
      <c r="D98" t="s">
        <v>37</v>
      </c>
      <c r="E98" s="1">
        <v>45585</v>
      </c>
      <c r="F98">
        <v>3</v>
      </c>
      <c r="G98" t="s">
        <v>32</v>
      </c>
      <c r="H98" t="s">
        <v>39</v>
      </c>
      <c r="I98" t="s">
        <v>2763</v>
      </c>
      <c r="J98" t="s">
        <v>1241</v>
      </c>
      <c r="K98">
        <v>2600</v>
      </c>
      <c r="L98">
        <v>800</v>
      </c>
      <c r="M98">
        <v>2400</v>
      </c>
      <c r="N98" t="s">
        <v>2764</v>
      </c>
    </row>
    <row r="99" spans="1:14" x14ac:dyDescent="0.2">
      <c r="A99" t="s">
        <v>1060</v>
      </c>
      <c r="B99" t="s">
        <v>236</v>
      </c>
      <c r="C99">
        <v>2022</v>
      </c>
      <c r="D99" t="s">
        <v>37</v>
      </c>
      <c r="E99" s="1">
        <v>45556</v>
      </c>
      <c r="F99">
        <v>1</v>
      </c>
      <c r="G99" t="s">
        <v>52</v>
      </c>
      <c r="H99" t="s">
        <v>39</v>
      </c>
      <c r="I99" t="s">
        <v>2833</v>
      </c>
      <c r="J99" t="s">
        <v>1241</v>
      </c>
      <c r="K99">
        <v>2600</v>
      </c>
      <c r="L99">
        <v>800</v>
      </c>
      <c r="M99">
        <v>800</v>
      </c>
      <c r="N99" t="s">
        <v>2834</v>
      </c>
    </row>
    <row r="100" spans="1:14" x14ac:dyDescent="0.2">
      <c r="A100" t="s">
        <v>842</v>
      </c>
      <c r="B100" t="s">
        <v>983</v>
      </c>
      <c r="C100">
        <v>2032</v>
      </c>
      <c r="D100" t="s">
        <v>42</v>
      </c>
      <c r="E100" s="1">
        <v>45389</v>
      </c>
      <c r="F100">
        <v>3</v>
      </c>
      <c r="G100" t="s">
        <v>32</v>
      </c>
      <c r="H100" t="s">
        <v>39</v>
      </c>
      <c r="I100" t="s">
        <v>2853</v>
      </c>
      <c r="J100" t="s">
        <v>1241</v>
      </c>
      <c r="K100">
        <v>2600</v>
      </c>
      <c r="L100">
        <v>300</v>
      </c>
      <c r="M100">
        <v>900</v>
      </c>
      <c r="N100" t="s">
        <v>2854</v>
      </c>
    </row>
    <row r="101" spans="1:14" x14ac:dyDescent="0.2">
      <c r="A101" t="s">
        <v>1070</v>
      </c>
      <c r="B101" t="s">
        <v>1071</v>
      </c>
      <c r="C101">
        <v>2036</v>
      </c>
      <c r="D101" t="s">
        <v>76</v>
      </c>
      <c r="E101" s="1">
        <v>45479</v>
      </c>
      <c r="F101">
        <v>1</v>
      </c>
      <c r="G101" t="s">
        <v>52</v>
      </c>
      <c r="H101" t="s">
        <v>39</v>
      </c>
      <c r="I101" t="s">
        <v>2861</v>
      </c>
      <c r="J101" t="s">
        <v>1241</v>
      </c>
      <c r="K101">
        <v>2600</v>
      </c>
      <c r="L101">
        <v>1200</v>
      </c>
      <c r="M101">
        <v>1200</v>
      </c>
      <c r="N101" t="s">
        <v>2862</v>
      </c>
    </row>
    <row r="102" spans="1:14" x14ac:dyDescent="0.2">
      <c r="A102" t="s">
        <v>1087</v>
      </c>
      <c r="B102" t="s">
        <v>991</v>
      </c>
      <c r="C102">
        <v>2051</v>
      </c>
      <c r="D102" t="s">
        <v>31</v>
      </c>
      <c r="E102" s="1">
        <v>45633</v>
      </c>
      <c r="F102">
        <v>1</v>
      </c>
      <c r="G102" t="s">
        <v>32</v>
      </c>
      <c r="H102" t="s">
        <v>39</v>
      </c>
      <c r="I102" t="s">
        <v>2891</v>
      </c>
      <c r="J102" t="s">
        <v>1241</v>
      </c>
      <c r="K102">
        <v>2600</v>
      </c>
      <c r="L102">
        <v>250</v>
      </c>
      <c r="M102">
        <v>250</v>
      </c>
      <c r="N102" t="s">
        <v>2892</v>
      </c>
    </row>
    <row r="103" spans="1:14" x14ac:dyDescent="0.2">
      <c r="A103" t="s">
        <v>720</v>
      </c>
      <c r="B103" t="s">
        <v>1105</v>
      </c>
      <c r="C103">
        <v>2069</v>
      </c>
      <c r="D103" t="s">
        <v>76</v>
      </c>
      <c r="E103" s="1">
        <v>45470</v>
      </c>
      <c r="F103">
        <v>1</v>
      </c>
      <c r="G103" t="s">
        <v>52</v>
      </c>
      <c r="H103" t="s">
        <v>39</v>
      </c>
      <c r="I103" t="s">
        <v>2927</v>
      </c>
      <c r="J103" t="s">
        <v>1241</v>
      </c>
      <c r="K103">
        <v>2600</v>
      </c>
      <c r="L103">
        <v>1200</v>
      </c>
      <c r="M103">
        <v>1200</v>
      </c>
      <c r="N103" t="s">
        <v>2928</v>
      </c>
    </row>
    <row r="104" spans="1:14" x14ac:dyDescent="0.2">
      <c r="A104" t="s">
        <v>1125</v>
      </c>
      <c r="B104" t="s">
        <v>172</v>
      </c>
      <c r="C104">
        <v>2091</v>
      </c>
      <c r="D104" t="s">
        <v>76</v>
      </c>
      <c r="E104" s="1">
        <v>45324</v>
      </c>
      <c r="F104">
        <v>2</v>
      </c>
      <c r="G104" t="s">
        <v>71</v>
      </c>
      <c r="H104" t="s">
        <v>39</v>
      </c>
      <c r="I104" t="s">
        <v>2973</v>
      </c>
      <c r="J104" t="s">
        <v>1241</v>
      </c>
      <c r="K104">
        <v>2600</v>
      </c>
      <c r="L104">
        <v>1200</v>
      </c>
      <c r="M104">
        <v>2400</v>
      </c>
      <c r="N104" t="s">
        <v>2974</v>
      </c>
    </row>
    <row r="105" spans="1:14" x14ac:dyDescent="0.2">
      <c r="A105" t="s">
        <v>1126</v>
      </c>
      <c r="B105" t="s">
        <v>1127</v>
      </c>
      <c r="C105">
        <v>2092</v>
      </c>
      <c r="D105" t="s">
        <v>31</v>
      </c>
      <c r="E105" s="1">
        <v>45312</v>
      </c>
      <c r="F105">
        <v>2</v>
      </c>
      <c r="G105" t="s">
        <v>32</v>
      </c>
      <c r="H105" t="s">
        <v>39</v>
      </c>
      <c r="I105" t="s">
        <v>2975</v>
      </c>
      <c r="J105" t="s">
        <v>1241</v>
      </c>
      <c r="K105">
        <v>2600</v>
      </c>
      <c r="L105">
        <v>250</v>
      </c>
      <c r="M105">
        <v>500</v>
      </c>
      <c r="N105" t="s">
        <v>2976</v>
      </c>
    </row>
    <row r="106" spans="1:14" x14ac:dyDescent="0.2">
      <c r="A106" t="s">
        <v>1129</v>
      </c>
      <c r="B106" t="s">
        <v>605</v>
      </c>
      <c r="C106">
        <v>2095</v>
      </c>
      <c r="D106" t="s">
        <v>31</v>
      </c>
      <c r="E106" s="1">
        <v>45455</v>
      </c>
      <c r="F106">
        <v>2</v>
      </c>
      <c r="G106" t="s">
        <v>32</v>
      </c>
      <c r="H106" t="s">
        <v>39</v>
      </c>
      <c r="I106" t="s">
        <v>2981</v>
      </c>
      <c r="J106" t="s">
        <v>1241</v>
      </c>
      <c r="K106">
        <v>2600</v>
      </c>
      <c r="L106">
        <v>250</v>
      </c>
      <c r="M106">
        <v>500</v>
      </c>
      <c r="N106" t="s">
        <v>2982</v>
      </c>
    </row>
    <row r="107" spans="1:14" x14ac:dyDescent="0.2">
      <c r="A107" t="s">
        <v>613</v>
      </c>
      <c r="B107" t="s">
        <v>754</v>
      </c>
      <c r="C107">
        <v>2098</v>
      </c>
      <c r="D107" t="s">
        <v>76</v>
      </c>
      <c r="E107" s="1">
        <v>45519</v>
      </c>
      <c r="F107">
        <v>1</v>
      </c>
      <c r="G107" t="s">
        <v>32</v>
      </c>
      <c r="H107" t="s">
        <v>39</v>
      </c>
      <c r="I107" t="s">
        <v>2987</v>
      </c>
      <c r="J107" t="s">
        <v>1241</v>
      </c>
      <c r="K107">
        <v>2600</v>
      </c>
      <c r="L107">
        <v>1200</v>
      </c>
      <c r="M107">
        <v>1200</v>
      </c>
      <c r="N107" t="s">
        <v>2988</v>
      </c>
    </row>
    <row r="108" spans="1:14" x14ac:dyDescent="0.2">
      <c r="A108" t="s">
        <v>744</v>
      </c>
      <c r="B108" t="s">
        <v>1136</v>
      </c>
      <c r="C108">
        <v>2107</v>
      </c>
      <c r="D108" t="s">
        <v>31</v>
      </c>
      <c r="E108" s="1">
        <v>45531</v>
      </c>
      <c r="F108">
        <v>3</v>
      </c>
      <c r="G108" t="s">
        <v>38</v>
      </c>
      <c r="H108" t="s">
        <v>39</v>
      </c>
      <c r="I108" t="s">
        <v>3005</v>
      </c>
      <c r="J108" t="s">
        <v>1241</v>
      </c>
      <c r="K108">
        <v>2600</v>
      </c>
      <c r="L108">
        <v>250</v>
      </c>
      <c r="M108">
        <v>750</v>
      </c>
      <c r="N108" t="s">
        <v>3006</v>
      </c>
    </row>
    <row r="109" spans="1:14" x14ac:dyDescent="0.2">
      <c r="A109" t="s">
        <v>1137</v>
      </c>
      <c r="B109" t="s">
        <v>1138</v>
      </c>
      <c r="C109">
        <v>2108</v>
      </c>
      <c r="D109" t="s">
        <v>51</v>
      </c>
      <c r="E109" s="1">
        <v>45508</v>
      </c>
      <c r="F109">
        <v>3</v>
      </c>
      <c r="G109" t="s">
        <v>52</v>
      </c>
      <c r="H109" t="s">
        <v>39</v>
      </c>
      <c r="I109" t="s">
        <v>3007</v>
      </c>
      <c r="J109" t="s">
        <v>1241</v>
      </c>
      <c r="K109">
        <v>2600</v>
      </c>
      <c r="L109">
        <v>250</v>
      </c>
      <c r="M109">
        <v>750</v>
      </c>
      <c r="N109" t="s">
        <v>3008</v>
      </c>
    </row>
    <row r="110" spans="1:14" x14ac:dyDescent="0.2">
      <c r="A110" t="s">
        <v>357</v>
      </c>
      <c r="B110" t="s">
        <v>1139</v>
      </c>
      <c r="C110">
        <v>2109</v>
      </c>
      <c r="D110" t="s">
        <v>92</v>
      </c>
      <c r="E110" s="1">
        <v>45378</v>
      </c>
      <c r="F110">
        <v>3</v>
      </c>
      <c r="G110" t="s">
        <v>32</v>
      </c>
      <c r="H110" t="s">
        <v>39</v>
      </c>
      <c r="I110" t="s">
        <v>3009</v>
      </c>
      <c r="J110" t="s">
        <v>1241</v>
      </c>
      <c r="K110">
        <v>2600</v>
      </c>
      <c r="L110">
        <v>600</v>
      </c>
      <c r="M110">
        <v>1800</v>
      </c>
      <c r="N110" t="s">
        <v>3010</v>
      </c>
    </row>
    <row r="111" spans="1:14" x14ac:dyDescent="0.2">
      <c r="A111" t="s">
        <v>1153</v>
      </c>
      <c r="B111" t="s">
        <v>1154</v>
      </c>
      <c r="C111">
        <v>2123</v>
      </c>
      <c r="D111" t="s">
        <v>76</v>
      </c>
      <c r="E111" s="1">
        <v>45639</v>
      </c>
      <c r="F111">
        <v>3</v>
      </c>
      <c r="G111" t="s">
        <v>32</v>
      </c>
      <c r="H111" t="s">
        <v>39</v>
      </c>
      <c r="I111" t="s">
        <v>3037</v>
      </c>
      <c r="J111" t="s">
        <v>1241</v>
      </c>
      <c r="K111">
        <v>2600</v>
      </c>
      <c r="L111">
        <v>1200</v>
      </c>
      <c r="M111">
        <v>3600</v>
      </c>
      <c r="N111" t="s">
        <v>3038</v>
      </c>
    </row>
    <row r="112" spans="1:14" x14ac:dyDescent="0.2">
      <c r="A112" t="s">
        <v>1163</v>
      </c>
      <c r="B112" t="s">
        <v>1164</v>
      </c>
      <c r="C112">
        <v>2132</v>
      </c>
      <c r="D112" t="s">
        <v>76</v>
      </c>
      <c r="E112" s="1">
        <v>45322</v>
      </c>
      <c r="F112">
        <v>1</v>
      </c>
      <c r="G112" t="s">
        <v>32</v>
      </c>
      <c r="H112" t="s">
        <v>39</v>
      </c>
      <c r="I112" t="s">
        <v>3055</v>
      </c>
      <c r="J112" t="s">
        <v>1241</v>
      </c>
      <c r="K112">
        <v>2600</v>
      </c>
      <c r="L112">
        <v>1200</v>
      </c>
      <c r="M112">
        <v>1200</v>
      </c>
      <c r="N112" t="s">
        <v>3056</v>
      </c>
    </row>
    <row r="113" spans="1:14" x14ac:dyDescent="0.2">
      <c r="A113" t="s">
        <v>508</v>
      </c>
      <c r="B113" t="s">
        <v>705</v>
      </c>
      <c r="C113">
        <v>2140</v>
      </c>
      <c r="D113" t="s">
        <v>51</v>
      </c>
      <c r="E113" s="1">
        <v>45592</v>
      </c>
      <c r="F113">
        <v>3</v>
      </c>
      <c r="G113" t="s">
        <v>32</v>
      </c>
      <c r="H113" t="s">
        <v>39</v>
      </c>
      <c r="I113" t="s">
        <v>3071</v>
      </c>
      <c r="J113" t="s">
        <v>1241</v>
      </c>
      <c r="K113">
        <v>2600</v>
      </c>
      <c r="L113">
        <v>250</v>
      </c>
      <c r="M113">
        <v>750</v>
      </c>
      <c r="N113" t="s">
        <v>3072</v>
      </c>
    </row>
    <row r="114" spans="1:14" x14ac:dyDescent="0.2">
      <c r="A114" t="s">
        <v>864</v>
      </c>
      <c r="B114" t="s">
        <v>646</v>
      </c>
      <c r="C114">
        <v>2163</v>
      </c>
      <c r="D114" t="s">
        <v>37</v>
      </c>
      <c r="E114" s="1">
        <v>45297</v>
      </c>
      <c r="F114">
        <v>3</v>
      </c>
      <c r="G114" t="s">
        <v>52</v>
      </c>
      <c r="H114" t="s">
        <v>39</v>
      </c>
      <c r="I114" t="s">
        <v>3117</v>
      </c>
      <c r="J114" t="s">
        <v>1241</v>
      </c>
      <c r="K114">
        <v>2600</v>
      </c>
      <c r="L114">
        <v>800</v>
      </c>
      <c r="M114">
        <v>2400</v>
      </c>
      <c r="N114" t="s">
        <v>3118</v>
      </c>
    </row>
    <row r="115" spans="1:14" x14ac:dyDescent="0.2">
      <c r="A115" t="s">
        <v>1186</v>
      </c>
      <c r="B115" t="s">
        <v>786</v>
      </c>
      <c r="C115">
        <v>2170</v>
      </c>
      <c r="D115" t="s">
        <v>92</v>
      </c>
      <c r="E115" s="1">
        <v>45353</v>
      </c>
      <c r="F115">
        <v>2</v>
      </c>
      <c r="G115" t="s">
        <v>32</v>
      </c>
      <c r="H115" t="s">
        <v>39</v>
      </c>
      <c r="I115" t="s">
        <v>3131</v>
      </c>
      <c r="J115" t="s">
        <v>1241</v>
      </c>
      <c r="K115">
        <v>2600</v>
      </c>
      <c r="L115">
        <v>600</v>
      </c>
      <c r="M115">
        <v>1200</v>
      </c>
      <c r="N115" t="s">
        <v>3132</v>
      </c>
    </row>
    <row r="116" spans="1:14" x14ac:dyDescent="0.2">
      <c r="A116" t="s">
        <v>1210</v>
      </c>
      <c r="B116" t="s">
        <v>569</v>
      </c>
      <c r="C116">
        <v>2200</v>
      </c>
      <c r="D116" t="s">
        <v>51</v>
      </c>
      <c r="E116" s="1">
        <v>45640</v>
      </c>
      <c r="F116">
        <v>2</v>
      </c>
      <c r="G116" t="s">
        <v>52</v>
      </c>
      <c r="H116" t="s">
        <v>39</v>
      </c>
      <c r="I116" t="s">
        <v>3191</v>
      </c>
      <c r="J116" t="s">
        <v>1241</v>
      </c>
      <c r="K116">
        <v>2600</v>
      </c>
      <c r="L116">
        <v>250</v>
      </c>
      <c r="M116">
        <v>500</v>
      </c>
      <c r="N116" t="s">
        <v>3192</v>
      </c>
    </row>
    <row r="117" spans="1:14" x14ac:dyDescent="0.2">
      <c r="A117" t="s">
        <v>60</v>
      </c>
      <c r="B117" t="s">
        <v>831</v>
      </c>
      <c r="C117">
        <v>2217</v>
      </c>
      <c r="D117" t="s">
        <v>76</v>
      </c>
      <c r="E117" s="1">
        <v>45646</v>
      </c>
      <c r="F117">
        <v>2</v>
      </c>
      <c r="G117" t="s">
        <v>52</v>
      </c>
      <c r="H117" t="s">
        <v>39</v>
      </c>
      <c r="I117" t="s">
        <v>3225</v>
      </c>
      <c r="J117" t="s">
        <v>1241</v>
      </c>
      <c r="K117">
        <v>2600</v>
      </c>
      <c r="L117">
        <v>1200</v>
      </c>
      <c r="M117">
        <v>2400</v>
      </c>
      <c r="N117" t="s">
        <v>3226</v>
      </c>
    </row>
    <row r="118" spans="1:14" x14ac:dyDescent="0.2">
      <c r="A118" t="s">
        <v>801</v>
      </c>
      <c r="B118" t="s">
        <v>684</v>
      </c>
      <c r="C118">
        <v>2218</v>
      </c>
      <c r="D118" t="s">
        <v>76</v>
      </c>
      <c r="E118" s="1">
        <v>45551</v>
      </c>
      <c r="F118">
        <v>1</v>
      </c>
      <c r="G118" t="s">
        <v>32</v>
      </c>
      <c r="H118" t="s">
        <v>39</v>
      </c>
      <c r="I118" t="s">
        <v>3227</v>
      </c>
      <c r="J118" t="s">
        <v>1241</v>
      </c>
      <c r="K118">
        <v>2600</v>
      </c>
      <c r="L118">
        <v>1200</v>
      </c>
      <c r="M118">
        <v>1200</v>
      </c>
      <c r="N118" t="s">
        <v>3228</v>
      </c>
    </row>
    <row r="119" spans="1:14" x14ac:dyDescent="0.2">
      <c r="A119" t="s">
        <v>40</v>
      </c>
      <c r="B119" t="s">
        <v>41</v>
      </c>
      <c r="C119">
        <v>1236</v>
      </c>
      <c r="D119" t="s">
        <v>42</v>
      </c>
      <c r="E119" s="1">
        <v>45487</v>
      </c>
      <c r="F119">
        <v>2</v>
      </c>
      <c r="G119" t="s">
        <v>32</v>
      </c>
      <c r="H119" t="s">
        <v>43</v>
      </c>
      <c r="I119" t="s">
        <v>1243</v>
      </c>
      <c r="J119" t="s">
        <v>1244</v>
      </c>
      <c r="K119">
        <v>2300</v>
      </c>
      <c r="L119">
        <v>300</v>
      </c>
      <c r="M119">
        <v>600</v>
      </c>
      <c r="N119" t="s">
        <v>1245</v>
      </c>
    </row>
    <row r="120" spans="1:14" x14ac:dyDescent="0.2">
      <c r="A120" t="s">
        <v>77</v>
      </c>
      <c r="B120" t="s">
        <v>78</v>
      </c>
      <c r="C120">
        <v>1248</v>
      </c>
      <c r="D120" t="s">
        <v>31</v>
      </c>
      <c r="E120" s="1">
        <v>45473</v>
      </c>
      <c r="F120">
        <v>2</v>
      </c>
      <c r="G120" t="s">
        <v>52</v>
      </c>
      <c r="H120" t="s">
        <v>43</v>
      </c>
      <c r="I120" t="s">
        <v>1277</v>
      </c>
      <c r="J120" t="s">
        <v>1244</v>
      </c>
      <c r="K120">
        <v>2300</v>
      </c>
      <c r="L120">
        <v>250</v>
      </c>
      <c r="M120">
        <v>500</v>
      </c>
      <c r="N120" t="s">
        <v>1278</v>
      </c>
    </row>
    <row r="121" spans="1:14" x14ac:dyDescent="0.2">
      <c r="A121" t="s">
        <v>82</v>
      </c>
      <c r="B121" t="s">
        <v>83</v>
      </c>
      <c r="C121">
        <v>1250</v>
      </c>
      <c r="D121" t="s">
        <v>31</v>
      </c>
      <c r="E121" s="1">
        <v>45645</v>
      </c>
      <c r="F121">
        <v>1</v>
      </c>
      <c r="G121" t="s">
        <v>32</v>
      </c>
      <c r="H121" t="s">
        <v>43</v>
      </c>
      <c r="I121" t="s">
        <v>1282</v>
      </c>
      <c r="J121" t="s">
        <v>1244</v>
      </c>
      <c r="K121">
        <v>2300</v>
      </c>
      <c r="L121">
        <v>250</v>
      </c>
      <c r="M121">
        <v>250</v>
      </c>
      <c r="N121" t="s">
        <v>1283</v>
      </c>
    </row>
    <row r="122" spans="1:14" x14ac:dyDescent="0.2">
      <c r="A122" t="s">
        <v>99</v>
      </c>
      <c r="B122" t="s">
        <v>100</v>
      </c>
      <c r="C122">
        <v>1258</v>
      </c>
      <c r="D122" t="s">
        <v>31</v>
      </c>
      <c r="E122" s="1">
        <v>45558</v>
      </c>
      <c r="F122">
        <v>1</v>
      </c>
      <c r="G122" t="s">
        <v>38</v>
      </c>
      <c r="H122" t="s">
        <v>43</v>
      </c>
      <c r="I122" t="s">
        <v>1298</v>
      </c>
      <c r="J122" t="s">
        <v>1299</v>
      </c>
      <c r="K122">
        <v>2500</v>
      </c>
      <c r="L122">
        <v>250</v>
      </c>
      <c r="M122">
        <v>250</v>
      </c>
      <c r="N122" t="s">
        <v>1300</v>
      </c>
    </row>
    <row r="123" spans="1:14" x14ac:dyDescent="0.2">
      <c r="A123" t="s">
        <v>106</v>
      </c>
      <c r="B123" t="s">
        <v>107</v>
      </c>
      <c r="C123">
        <v>1262</v>
      </c>
      <c r="D123" t="s">
        <v>76</v>
      </c>
      <c r="E123" s="1">
        <v>45529</v>
      </c>
      <c r="F123">
        <v>2</v>
      </c>
      <c r="G123" t="s">
        <v>52</v>
      </c>
      <c r="H123" t="s">
        <v>43</v>
      </c>
      <c r="I123" t="s">
        <v>1309</v>
      </c>
      <c r="J123" t="s">
        <v>865</v>
      </c>
      <c r="K123">
        <v>2000</v>
      </c>
      <c r="L123">
        <v>1200</v>
      </c>
      <c r="M123">
        <v>2400</v>
      </c>
      <c r="N123" t="s">
        <v>1310</v>
      </c>
    </row>
    <row r="124" spans="1:14" x14ac:dyDescent="0.2">
      <c r="A124" t="s">
        <v>108</v>
      </c>
      <c r="B124" t="s">
        <v>109</v>
      </c>
      <c r="C124">
        <v>1263</v>
      </c>
      <c r="D124" t="s">
        <v>76</v>
      </c>
      <c r="E124" s="1">
        <v>45360</v>
      </c>
      <c r="F124">
        <v>3</v>
      </c>
      <c r="G124" t="s">
        <v>32</v>
      </c>
      <c r="H124" t="s">
        <v>43</v>
      </c>
      <c r="I124" t="s">
        <v>1311</v>
      </c>
      <c r="J124" t="s">
        <v>1299</v>
      </c>
      <c r="K124">
        <v>2500</v>
      </c>
      <c r="L124">
        <v>1200</v>
      </c>
      <c r="M124">
        <v>3600</v>
      </c>
      <c r="N124" t="s">
        <v>1312</v>
      </c>
    </row>
    <row r="125" spans="1:14" x14ac:dyDescent="0.2">
      <c r="A125" t="s">
        <v>123</v>
      </c>
      <c r="B125" t="s">
        <v>124</v>
      </c>
      <c r="C125">
        <v>1270</v>
      </c>
      <c r="D125" t="s">
        <v>76</v>
      </c>
      <c r="E125" s="1">
        <v>45297</v>
      </c>
      <c r="F125">
        <v>2</v>
      </c>
      <c r="G125" t="s">
        <v>52</v>
      </c>
      <c r="H125" t="s">
        <v>43</v>
      </c>
      <c r="I125" t="s">
        <v>1325</v>
      </c>
      <c r="J125" t="s">
        <v>1299</v>
      </c>
      <c r="K125">
        <v>2500</v>
      </c>
      <c r="L125">
        <v>1200</v>
      </c>
      <c r="M125">
        <v>2400</v>
      </c>
      <c r="N125" t="s">
        <v>1326</v>
      </c>
    </row>
    <row r="126" spans="1:14" x14ac:dyDescent="0.2">
      <c r="A126" t="s">
        <v>139</v>
      </c>
      <c r="B126" t="s">
        <v>140</v>
      </c>
      <c r="C126">
        <v>1278</v>
      </c>
      <c r="D126" t="s">
        <v>76</v>
      </c>
      <c r="E126" s="1">
        <v>45563</v>
      </c>
      <c r="F126">
        <v>2</v>
      </c>
      <c r="G126" t="s">
        <v>32</v>
      </c>
      <c r="H126" t="s">
        <v>43</v>
      </c>
      <c r="I126" t="s">
        <v>1341</v>
      </c>
      <c r="J126" t="s">
        <v>1299</v>
      </c>
      <c r="K126">
        <v>2500</v>
      </c>
      <c r="L126">
        <v>1200</v>
      </c>
      <c r="M126">
        <v>2400</v>
      </c>
      <c r="N126" t="s">
        <v>1342</v>
      </c>
    </row>
    <row r="127" spans="1:14" x14ac:dyDescent="0.2">
      <c r="A127" t="s">
        <v>148</v>
      </c>
      <c r="B127" t="s">
        <v>149</v>
      </c>
      <c r="C127">
        <v>1283</v>
      </c>
      <c r="D127" t="s">
        <v>51</v>
      </c>
      <c r="E127" s="1">
        <v>45368</v>
      </c>
      <c r="F127">
        <v>1</v>
      </c>
      <c r="G127" t="s">
        <v>32</v>
      </c>
      <c r="H127" t="s">
        <v>43</v>
      </c>
      <c r="I127" t="s">
        <v>1352</v>
      </c>
      <c r="J127" t="s">
        <v>1299</v>
      </c>
      <c r="K127">
        <v>2500</v>
      </c>
      <c r="L127">
        <v>250</v>
      </c>
      <c r="M127">
        <v>250</v>
      </c>
      <c r="N127" t="s">
        <v>1353</v>
      </c>
    </row>
    <row r="128" spans="1:14" x14ac:dyDescent="0.2">
      <c r="A128" t="s">
        <v>152</v>
      </c>
      <c r="B128" t="s">
        <v>153</v>
      </c>
      <c r="C128">
        <v>1285</v>
      </c>
      <c r="D128" t="s">
        <v>31</v>
      </c>
      <c r="E128" s="1">
        <v>45321</v>
      </c>
      <c r="F128">
        <v>3</v>
      </c>
      <c r="G128" t="s">
        <v>52</v>
      </c>
      <c r="H128" t="s">
        <v>43</v>
      </c>
      <c r="I128" t="s">
        <v>1356</v>
      </c>
      <c r="J128" t="s">
        <v>1244</v>
      </c>
      <c r="K128">
        <v>2300</v>
      </c>
      <c r="L128">
        <v>250</v>
      </c>
      <c r="M128">
        <v>750</v>
      </c>
      <c r="N128" t="s">
        <v>1357</v>
      </c>
    </row>
    <row r="129" spans="1:14" x14ac:dyDescent="0.2">
      <c r="A129" t="s">
        <v>154</v>
      </c>
      <c r="B129" t="s">
        <v>155</v>
      </c>
      <c r="C129">
        <v>1286</v>
      </c>
      <c r="D129" t="s">
        <v>92</v>
      </c>
      <c r="E129" s="1">
        <v>45597</v>
      </c>
      <c r="F129">
        <v>2</v>
      </c>
      <c r="G129" t="s">
        <v>52</v>
      </c>
      <c r="H129" t="s">
        <v>43</v>
      </c>
      <c r="I129" t="s">
        <v>1358</v>
      </c>
      <c r="J129" t="s">
        <v>1299</v>
      </c>
      <c r="K129">
        <v>2500</v>
      </c>
      <c r="L129">
        <v>600</v>
      </c>
      <c r="M129">
        <v>1200</v>
      </c>
      <c r="N129" t="s">
        <v>1359</v>
      </c>
    </row>
    <row r="130" spans="1:14" x14ac:dyDescent="0.2">
      <c r="A130" t="s">
        <v>159</v>
      </c>
      <c r="B130" t="s">
        <v>160</v>
      </c>
      <c r="C130">
        <v>1289</v>
      </c>
      <c r="D130" t="s">
        <v>76</v>
      </c>
      <c r="E130" s="1">
        <v>45326</v>
      </c>
      <c r="F130">
        <v>2</v>
      </c>
      <c r="G130" t="s">
        <v>52</v>
      </c>
      <c r="H130" t="s">
        <v>43</v>
      </c>
      <c r="I130" t="s">
        <v>1365</v>
      </c>
      <c r="J130" t="s">
        <v>1299</v>
      </c>
      <c r="K130">
        <v>2500</v>
      </c>
      <c r="L130">
        <v>1200</v>
      </c>
      <c r="M130">
        <v>2400</v>
      </c>
      <c r="N130" t="s">
        <v>1366</v>
      </c>
    </row>
    <row r="131" spans="1:14" x14ac:dyDescent="0.2">
      <c r="A131" t="s">
        <v>166</v>
      </c>
      <c r="B131" t="s">
        <v>167</v>
      </c>
      <c r="C131">
        <v>1293</v>
      </c>
      <c r="D131" t="s">
        <v>76</v>
      </c>
      <c r="E131" s="1">
        <v>45404</v>
      </c>
      <c r="F131">
        <v>2</v>
      </c>
      <c r="G131" t="s">
        <v>52</v>
      </c>
      <c r="H131" t="s">
        <v>43</v>
      </c>
      <c r="I131" t="s">
        <v>1373</v>
      </c>
      <c r="J131" t="s">
        <v>865</v>
      </c>
      <c r="K131">
        <v>2000</v>
      </c>
      <c r="L131">
        <v>1200</v>
      </c>
      <c r="M131">
        <v>2400</v>
      </c>
      <c r="N131" t="s">
        <v>1374</v>
      </c>
    </row>
    <row r="132" spans="1:14" x14ac:dyDescent="0.2">
      <c r="A132" t="s">
        <v>169</v>
      </c>
      <c r="B132" t="s">
        <v>170</v>
      </c>
      <c r="C132">
        <v>1295</v>
      </c>
      <c r="D132" t="s">
        <v>92</v>
      </c>
      <c r="E132" s="1">
        <v>45540</v>
      </c>
      <c r="F132">
        <v>3</v>
      </c>
      <c r="G132" t="s">
        <v>52</v>
      </c>
      <c r="H132" t="s">
        <v>43</v>
      </c>
      <c r="I132" t="s">
        <v>1377</v>
      </c>
      <c r="J132" t="s">
        <v>1244</v>
      </c>
      <c r="K132">
        <v>2300</v>
      </c>
      <c r="L132">
        <v>600</v>
      </c>
      <c r="M132">
        <v>1800</v>
      </c>
      <c r="N132" t="s">
        <v>1378</v>
      </c>
    </row>
    <row r="133" spans="1:14" x14ac:dyDescent="0.2">
      <c r="A133" t="s">
        <v>184</v>
      </c>
      <c r="B133" t="s">
        <v>185</v>
      </c>
      <c r="C133">
        <v>1303</v>
      </c>
      <c r="D133" t="s">
        <v>76</v>
      </c>
      <c r="E133" s="1">
        <v>45594</v>
      </c>
      <c r="F133">
        <v>3</v>
      </c>
      <c r="G133" t="s">
        <v>32</v>
      </c>
      <c r="H133" t="s">
        <v>43</v>
      </c>
      <c r="I133" t="s">
        <v>1393</v>
      </c>
      <c r="J133" t="s">
        <v>1299</v>
      </c>
      <c r="K133">
        <v>2500</v>
      </c>
      <c r="L133">
        <v>1200</v>
      </c>
      <c r="M133">
        <v>3600</v>
      </c>
      <c r="N133" t="s">
        <v>1394</v>
      </c>
    </row>
    <row r="134" spans="1:14" x14ac:dyDescent="0.2">
      <c r="A134" t="s">
        <v>202</v>
      </c>
      <c r="B134" t="s">
        <v>203</v>
      </c>
      <c r="C134">
        <v>1313</v>
      </c>
      <c r="D134" t="s">
        <v>76</v>
      </c>
      <c r="E134" s="1">
        <v>45527</v>
      </c>
      <c r="F134">
        <v>1</v>
      </c>
      <c r="G134" t="s">
        <v>38</v>
      </c>
      <c r="H134" t="s">
        <v>43</v>
      </c>
      <c r="I134" t="s">
        <v>1414</v>
      </c>
      <c r="J134" t="s">
        <v>1299</v>
      </c>
      <c r="K134">
        <v>2500</v>
      </c>
      <c r="L134">
        <v>1200</v>
      </c>
      <c r="M134">
        <v>1200</v>
      </c>
      <c r="N134" t="s">
        <v>1415</v>
      </c>
    </row>
    <row r="135" spans="1:14" x14ac:dyDescent="0.2">
      <c r="A135" t="s">
        <v>219</v>
      </c>
      <c r="B135" t="s">
        <v>152</v>
      </c>
      <c r="C135">
        <v>1322</v>
      </c>
      <c r="D135" t="s">
        <v>51</v>
      </c>
      <c r="E135" s="1">
        <v>45474</v>
      </c>
      <c r="F135">
        <v>3</v>
      </c>
      <c r="G135" t="s">
        <v>32</v>
      </c>
      <c r="H135" t="s">
        <v>43</v>
      </c>
      <c r="I135" t="s">
        <v>1432</v>
      </c>
      <c r="J135" t="s">
        <v>1299</v>
      </c>
      <c r="K135">
        <v>2500</v>
      </c>
      <c r="L135">
        <v>250</v>
      </c>
      <c r="M135">
        <v>750</v>
      </c>
      <c r="N135" t="s">
        <v>1433</v>
      </c>
    </row>
    <row r="136" spans="1:14" x14ac:dyDescent="0.2">
      <c r="A136" t="s">
        <v>237</v>
      </c>
      <c r="B136" t="s">
        <v>238</v>
      </c>
      <c r="C136">
        <v>1332</v>
      </c>
      <c r="D136" t="s">
        <v>76</v>
      </c>
      <c r="E136" s="1">
        <v>45438</v>
      </c>
      <c r="F136">
        <v>2</v>
      </c>
      <c r="G136" t="s">
        <v>32</v>
      </c>
      <c r="H136" t="s">
        <v>43</v>
      </c>
      <c r="I136" t="s">
        <v>1452</v>
      </c>
      <c r="J136" t="s">
        <v>1299</v>
      </c>
      <c r="K136">
        <v>2500</v>
      </c>
      <c r="L136">
        <v>1200</v>
      </c>
      <c r="M136">
        <v>2400</v>
      </c>
      <c r="N136" t="s">
        <v>1453</v>
      </c>
    </row>
    <row r="137" spans="1:14" x14ac:dyDescent="0.2">
      <c r="A137" t="s">
        <v>247</v>
      </c>
      <c r="B137" t="s">
        <v>248</v>
      </c>
      <c r="C137">
        <v>1338</v>
      </c>
      <c r="D137" t="s">
        <v>31</v>
      </c>
      <c r="E137" s="1">
        <v>45453</v>
      </c>
      <c r="F137">
        <v>2</v>
      </c>
      <c r="G137" t="s">
        <v>32</v>
      </c>
      <c r="H137" t="s">
        <v>43</v>
      </c>
      <c r="I137" t="s">
        <v>1464</v>
      </c>
      <c r="J137" t="s">
        <v>1244</v>
      </c>
      <c r="K137">
        <v>2300</v>
      </c>
      <c r="L137">
        <v>250</v>
      </c>
      <c r="M137">
        <v>500</v>
      </c>
      <c r="N137" t="s">
        <v>1465</v>
      </c>
    </row>
    <row r="138" spans="1:14" x14ac:dyDescent="0.2">
      <c r="A138" t="s">
        <v>253</v>
      </c>
      <c r="B138" t="s">
        <v>80</v>
      </c>
      <c r="C138">
        <v>1341</v>
      </c>
      <c r="D138" t="s">
        <v>37</v>
      </c>
      <c r="E138" s="1">
        <v>45581</v>
      </c>
      <c r="F138">
        <v>3</v>
      </c>
      <c r="G138" t="s">
        <v>52</v>
      </c>
      <c r="H138" t="s">
        <v>43</v>
      </c>
      <c r="I138" t="s">
        <v>1470</v>
      </c>
      <c r="J138" t="s">
        <v>1299</v>
      </c>
      <c r="K138">
        <v>2500</v>
      </c>
      <c r="L138">
        <v>800</v>
      </c>
      <c r="M138">
        <v>2400</v>
      </c>
      <c r="N138" t="s">
        <v>1471</v>
      </c>
    </row>
    <row r="139" spans="1:14" x14ac:dyDescent="0.2">
      <c r="A139" t="s">
        <v>161</v>
      </c>
      <c r="B139" t="s">
        <v>266</v>
      </c>
      <c r="C139">
        <v>1350</v>
      </c>
      <c r="D139" t="s">
        <v>76</v>
      </c>
      <c r="E139" s="1">
        <v>45645</v>
      </c>
      <c r="F139">
        <v>2</v>
      </c>
      <c r="G139" t="s">
        <v>52</v>
      </c>
      <c r="H139" t="s">
        <v>43</v>
      </c>
      <c r="I139" t="s">
        <v>1488</v>
      </c>
      <c r="J139" t="s">
        <v>1299</v>
      </c>
      <c r="K139">
        <v>2500</v>
      </c>
      <c r="L139">
        <v>1200</v>
      </c>
      <c r="M139">
        <v>2400</v>
      </c>
      <c r="N139" t="s">
        <v>1489</v>
      </c>
    </row>
    <row r="140" spans="1:14" x14ac:dyDescent="0.2">
      <c r="A140" t="s">
        <v>302</v>
      </c>
      <c r="B140" t="s">
        <v>303</v>
      </c>
      <c r="C140">
        <v>1371</v>
      </c>
      <c r="D140" t="s">
        <v>92</v>
      </c>
      <c r="E140" s="1">
        <v>45429</v>
      </c>
      <c r="F140">
        <v>3</v>
      </c>
      <c r="G140" t="s">
        <v>32</v>
      </c>
      <c r="H140" t="s">
        <v>43</v>
      </c>
      <c r="I140" t="s">
        <v>1530</v>
      </c>
      <c r="J140" t="s">
        <v>1299</v>
      </c>
      <c r="K140">
        <v>2500</v>
      </c>
      <c r="L140">
        <v>600</v>
      </c>
      <c r="M140">
        <v>1800</v>
      </c>
      <c r="N140" t="s">
        <v>1531</v>
      </c>
    </row>
    <row r="141" spans="1:14" x14ac:dyDescent="0.2">
      <c r="A141" t="s">
        <v>311</v>
      </c>
      <c r="B141" t="s">
        <v>312</v>
      </c>
      <c r="C141">
        <v>1376</v>
      </c>
      <c r="D141" t="s">
        <v>42</v>
      </c>
      <c r="E141" s="1">
        <v>45495</v>
      </c>
      <c r="F141">
        <v>2</v>
      </c>
      <c r="G141" t="s">
        <v>38</v>
      </c>
      <c r="H141" t="s">
        <v>43</v>
      </c>
      <c r="I141" t="s">
        <v>1540</v>
      </c>
      <c r="J141" t="s">
        <v>1244</v>
      </c>
      <c r="K141">
        <v>2300</v>
      </c>
      <c r="L141">
        <v>300</v>
      </c>
      <c r="M141">
        <v>600</v>
      </c>
      <c r="N141" t="s">
        <v>1541</v>
      </c>
    </row>
    <row r="142" spans="1:14" x14ac:dyDescent="0.2">
      <c r="A142" t="s">
        <v>320</v>
      </c>
      <c r="B142" t="s">
        <v>321</v>
      </c>
      <c r="C142">
        <v>1381</v>
      </c>
      <c r="D142" t="s">
        <v>37</v>
      </c>
      <c r="E142" s="1">
        <v>45540</v>
      </c>
      <c r="F142">
        <v>3</v>
      </c>
      <c r="G142" t="s">
        <v>52</v>
      </c>
      <c r="H142" t="s">
        <v>43</v>
      </c>
      <c r="I142" t="s">
        <v>1550</v>
      </c>
      <c r="J142" t="s">
        <v>865</v>
      </c>
      <c r="K142">
        <v>2000</v>
      </c>
      <c r="L142">
        <v>800</v>
      </c>
      <c r="M142">
        <v>2400</v>
      </c>
      <c r="N142" t="s">
        <v>1551</v>
      </c>
    </row>
    <row r="143" spans="1:14" x14ac:dyDescent="0.2">
      <c r="A143" t="s">
        <v>322</v>
      </c>
      <c r="B143" t="s">
        <v>323</v>
      </c>
      <c r="C143">
        <v>1382</v>
      </c>
      <c r="D143" t="s">
        <v>76</v>
      </c>
      <c r="E143" s="1">
        <v>45614</v>
      </c>
      <c r="F143">
        <v>2</v>
      </c>
      <c r="G143" t="s">
        <v>52</v>
      </c>
      <c r="H143" t="s">
        <v>43</v>
      </c>
      <c r="I143" t="s">
        <v>1552</v>
      </c>
      <c r="J143" t="s">
        <v>865</v>
      </c>
      <c r="K143">
        <v>2000</v>
      </c>
      <c r="L143">
        <v>1200</v>
      </c>
      <c r="M143">
        <v>2400</v>
      </c>
      <c r="N143" t="s">
        <v>1553</v>
      </c>
    </row>
    <row r="144" spans="1:14" x14ac:dyDescent="0.2">
      <c r="A144" t="s">
        <v>275</v>
      </c>
      <c r="B144" t="s">
        <v>324</v>
      </c>
      <c r="C144">
        <v>1383</v>
      </c>
      <c r="D144" t="s">
        <v>42</v>
      </c>
      <c r="E144" s="1">
        <v>45543</v>
      </c>
      <c r="F144">
        <v>3</v>
      </c>
      <c r="G144" t="s">
        <v>52</v>
      </c>
      <c r="H144" t="s">
        <v>43</v>
      </c>
      <c r="I144" t="s">
        <v>1554</v>
      </c>
      <c r="J144" t="s">
        <v>1299</v>
      </c>
      <c r="K144">
        <v>2500</v>
      </c>
      <c r="L144">
        <v>300</v>
      </c>
      <c r="M144">
        <v>900</v>
      </c>
      <c r="N144" t="s">
        <v>1555</v>
      </c>
    </row>
    <row r="145" spans="1:14" x14ac:dyDescent="0.2">
      <c r="A145" t="s">
        <v>325</v>
      </c>
      <c r="B145" t="s">
        <v>326</v>
      </c>
      <c r="C145">
        <v>1384</v>
      </c>
      <c r="D145" t="s">
        <v>76</v>
      </c>
      <c r="E145" s="1">
        <v>45520</v>
      </c>
      <c r="F145">
        <v>1</v>
      </c>
      <c r="G145" t="s">
        <v>52</v>
      </c>
      <c r="H145" t="s">
        <v>43</v>
      </c>
      <c r="I145" t="s">
        <v>1556</v>
      </c>
      <c r="J145" t="s">
        <v>1244</v>
      </c>
      <c r="K145">
        <v>2300</v>
      </c>
      <c r="L145">
        <v>1200</v>
      </c>
      <c r="M145">
        <v>1200</v>
      </c>
      <c r="N145" t="s">
        <v>1557</v>
      </c>
    </row>
    <row r="146" spans="1:14" x14ac:dyDescent="0.2">
      <c r="A146" t="s">
        <v>338</v>
      </c>
      <c r="B146" t="s">
        <v>339</v>
      </c>
      <c r="C146">
        <v>1394</v>
      </c>
      <c r="D146" t="s">
        <v>92</v>
      </c>
      <c r="E146" s="1">
        <v>45471</v>
      </c>
      <c r="F146">
        <v>3</v>
      </c>
      <c r="G146" t="s">
        <v>32</v>
      </c>
      <c r="H146" t="s">
        <v>43</v>
      </c>
      <c r="I146" t="s">
        <v>1576</v>
      </c>
      <c r="J146" t="s">
        <v>1244</v>
      </c>
      <c r="K146">
        <v>2300</v>
      </c>
      <c r="L146">
        <v>600</v>
      </c>
      <c r="M146">
        <v>1800</v>
      </c>
      <c r="N146" t="s">
        <v>1577</v>
      </c>
    </row>
    <row r="147" spans="1:14" x14ac:dyDescent="0.2">
      <c r="A147" t="s">
        <v>355</v>
      </c>
      <c r="B147" t="s">
        <v>356</v>
      </c>
      <c r="C147">
        <v>1405</v>
      </c>
      <c r="D147" t="s">
        <v>37</v>
      </c>
      <c r="E147" s="1">
        <v>45372</v>
      </c>
      <c r="F147">
        <v>3</v>
      </c>
      <c r="G147" t="s">
        <v>38</v>
      </c>
      <c r="H147" t="s">
        <v>43</v>
      </c>
      <c r="I147" t="s">
        <v>1598</v>
      </c>
      <c r="J147" t="s">
        <v>865</v>
      </c>
      <c r="K147">
        <v>2000</v>
      </c>
      <c r="L147">
        <v>800</v>
      </c>
      <c r="M147">
        <v>2400</v>
      </c>
      <c r="N147" t="s">
        <v>1599</v>
      </c>
    </row>
    <row r="148" spans="1:14" x14ac:dyDescent="0.2">
      <c r="A148" t="s">
        <v>357</v>
      </c>
      <c r="B148" t="s">
        <v>358</v>
      </c>
      <c r="C148">
        <v>1406</v>
      </c>
      <c r="D148" t="s">
        <v>31</v>
      </c>
      <c r="E148" s="1">
        <v>45491</v>
      </c>
      <c r="F148">
        <v>3</v>
      </c>
      <c r="G148" t="s">
        <v>32</v>
      </c>
      <c r="H148" t="s">
        <v>43</v>
      </c>
      <c r="I148" t="s">
        <v>1600</v>
      </c>
      <c r="J148" t="s">
        <v>1299</v>
      </c>
      <c r="K148">
        <v>2500</v>
      </c>
      <c r="L148">
        <v>250</v>
      </c>
      <c r="M148">
        <v>750</v>
      </c>
      <c r="N148" t="s">
        <v>1601</v>
      </c>
    </row>
    <row r="149" spans="1:14" x14ac:dyDescent="0.2">
      <c r="A149" t="s">
        <v>227</v>
      </c>
      <c r="B149" t="s">
        <v>360</v>
      </c>
      <c r="C149">
        <v>1408</v>
      </c>
      <c r="D149" t="s">
        <v>37</v>
      </c>
      <c r="E149" s="1">
        <v>45598</v>
      </c>
      <c r="F149">
        <v>1</v>
      </c>
      <c r="G149" t="s">
        <v>71</v>
      </c>
      <c r="H149" t="s">
        <v>43</v>
      </c>
      <c r="I149" t="s">
        <v>1604</v>
      </c>
      <c r="J149" t="s">
        <v>1244</v>
      </c>
      <c r="K149">
        <v>2300</v>
      </c>
      <c r="L149">
        <v>800</v>
      </c>
      <c r="M149">
        <v>800</v>
      </c>
      <c r="N149" t="s">
        <v>1605</v>
      </c>
    </row>
    <row r="150" spans="1:14" x14ac:dyDescent="0.2">
      <c r="A150" t="s">
        <v>396</v>
      </c>
      <c r="B150" t="s">
        <v>397</v>
      </c>
      <c r="C150">
        <v>1430</v>
      </c>
      <c r="D150" t="s">
        <v>76</v>
      </c>
      <c r="E150" s="1">
        <v>45462</v>
      </c>
      <c r="F150">
        <v>3</v>
      </c>
      <c r="G150" t="s">
        <v>32</v>
      </c>
      <c r="H150" t="s">
        <v>43</v>
      </c>
      <c r="I150" t="s">
        <v>1648</v>
      </c>
      <c r="J150" t="s">
        <v>865</v>
      </c>
      <c r="K150">
        <v>2000</v>
      </c>
      <c r="L150">
        <v>1200</v>
      </c>
      <c r="M150">
        <v>3600</v>
      </c>
      <c r="N150" t="s">
        <v>1649</v>
      </c>
    </row>
    <row r="151" spans="1:14" x14ac:dyDescent="0.2">
      <c r="A151" t="s">
        <v>401</v>
      </c>
      <c r="B151" t="s">
        <v>402</v>
      </c>
      <c r="C151">
        <v>1433</v>
      </c>
      <c r="D151" t="s">
        <v>92</v>
      </c>
      <c r="E151" s="1">
        <v>45574</v>
      </c>
      <c r="F151">
        <v>3</v>
      </c>
      <c r="G151" t="s">
        <v>52</v>
      </c>
      <c r="H151" t="s">
        <v>43</v>
      </c>
      <c r="I151" t="s">
        <v>1654</v>
      </c>
      <c r="J151" t="s">
        <v>1299</v>
      </c>
      <c r="K151">
        <v>2500</v>
      </c>
      <c r="L151">
        <v>600</v>
      </c>
      <c r="M151">
        <v>1800</v>
      </c>
      <c r="N151" t="s">
        <v>1655</v>
      </c>
    </row>
    <row r="152" spans="1:14" x14ac:dyDescent="0.2">
      <c r="A152" t="s">
        <v>105</v>
      </c>
      <c r="B152" t="s">
        <v>438</v>
      </c>
      <c r="C152">
        <v>1455</v>
      </c>
      <c r="D152" t="s">
        <v>51</v>
      </c>
      <c r="E152" s="1">
        <v>45524</v>
      </c>
      <c r="F152">
        <v>2</v>
      </c>
      <c r="G152" t="s">
        <v>32</v>
      </c>
      <c r="H152" t="s">
        <v>43</v>
      </c>
      <c r="I152" t="s">
        <v>1698</v>
      </c>
      <c r="J152" t="s">
        <v>865</v>
      </c>
      <c r="K152">
        <v>2000</v>
      </c>
      <c r="L152">
        <v>250</v>
      </c>
      <c r="M152">
        <v>500</v>
      </c>
      <c r="N152" t="s">
        <v>1699</v>
      </c>
    </row>
    <row r="153" spans="1:14" x14ac:dyDescent="0.2">
      <c r="A153" t="s">
        <v>461</v>
      </c>
      <c r="B153" t="s">
        <v>462</v>
      </c>
      <c r="C153">
        <v>1472</v>
      </c>
      <c r="D153" t="s">
        <v>31</v>
      </c>
      <c r="E153" s="1">
        <v>45434</v>
      </c>
      <c r="F153">
        <v>3</v>
      </c>
      <c r="G153" t="s">
        <v>32</v>
      </c>
      <c r="H153" t="s">
        <v>43</v>
      </c>
      <c r="I153" t="s">
        <v>1732</v>
      </c>
      <c r="J153" t="s">
        <v>865</v>
      </c>
      <c r="K153">
        <v>2000</v>
      </c>
      <c r="L153">
        <v>250</v>
      </c>
      <c r="M153">
        <v>750</v>
      </c>
      <c r="N153" t="s">
        <v>1733</v>
      </c>
    </row>
    <row r="154" spans="1:14" x14ac:dyDescent="0.2">
      <c r="A154" t="s">
        <v>467</v>
      </c>
      <c r="B154" t="s">
        <v>468</v>
      </c>
      <c r="C154">
        <v>1475</v>
      </c>
      <c r="D154" t="s">
        <v>31</v>
      </c>
      <c r="E154" s="1">
        <v>45292</v>
      </c>
      <c r="F154">
        <v>3</v>
      </c>
      <c r="G154" t="s">
        <v>32</v>
      </c>
      <c r="H154" t="s">
        <v>43</v>
      </c>
      <c r="I154" t="s">
        <v>1738</v>
      </c>
      <c r="J154" t="s">
        <v>1244</v>
      </c>
      <c r="K154">
        <v>2300</v>
      </c>
      <c r="L154">
        <v>250</v>
      </c>
      <c r="M154">
        <v>750</v>
      </c>
      <c r="N154" t="s">
        <v>1739</v>
      </c>
    </row>
    <row r="155" spans="1:14" x14ac:dyDescent="0.2">
      <c r="A155" t="s">
        <v>209</v>
      </c>
      <c r="B155" t="s">
        <v>54</v>
      </c>
      <c r="C155">
        <v>1495</v>
      </c>
      <c r="D155" t="s">
        <v>31</v>
      </c>
      <c r="E155" s="1">
        <v>45467</v>
      </c>
      <c r="F155">
        <v>1</v>
      </c>
      <c r="G155" t="s">
        <v>52</v>
      </c>
      <c r="H155" t="s">
        <v>43</v>
      </c>
      <c r="I155" t="s">
        <v>1778</v>
      </c>
      <c r="J155" t="s">
        <v>865</v>
      </c>
      <c r="K155">
        <v>2000</v>
      </c>
      <c r="L155">
        <v>250</v>
      </c>
      <c r="M155">
        <v>250</v>
      </c>
      <c r="N155" t="s">
        <v>1779</v>
      </c>
    </row>
    <row r="156" spans="1:14" x14ac:dyDescent="0.2">
      <c r="A156" t="s">
        <v>513</v>
      </c>
      <c r="B156" t="s">
        <v>102</v>
      </c>
      <c r="C156">
        <v>1506</v>
      </c>
      <c r="D156" t="s">
        <v>31</v>
      </c>
      <c r="E156" s="1">
        <v>45606</v>
      </c>
      <c r="F156">
        <v>2</v>
      </c>
      <c r="G156" t="s">
        <v>52</v>
      </c>
      <c r="H156" t="s">
        <v>43</v>
      </c>
      <c r="I156" t="s">
        <v>1800</v>
      </c>
      <c r="J156" t="s">
        <v>1244</v>
      </c>
      <c r="K156">
        <v>2300</v>
      </c>
      <c r="L156">
        <v>250</v>
      </c>
      <c r="M156">
        <v>500</v>
      </c>
      <c r="N156" t="s">
        <v>1801</v>
      </c>
    </row>
    <row r="157" spans="1:14" x14ac:dyDescent="0.2">
      <c r="A157" t="s">
        <v>497</v>
      </c>
      <c r="B157" t="s">
        <v>517</v>
      </c>
      <c r="C157">
        <v>1511</v>
      </c>
      <c r="D157" t="s">
        <v>92</v>
      </c>
      <c r="E157" s="1">
        <v>45438</v>
      </c>
      <c r="F157">
        <v>1</v>
      </c>
      <c r="G157" t="s">
        <v>38</v>
      </c>
      <c r="H157" t="s">
        <v>43</v>
      </c>
      <c r="I157" t="s">
        <v>1810</v>
      </c>
      <c r="J157" t="s">
        <v>865</v>
      </c>
      <c r="K157">
        <v>2000</v>
      </c>
      <c r="L157">
        <v>600</v>
      </c>
      <c r="M157">
        <v>600</v>
      </c>
      <c r="N157" t="s">
        <v>1811</v>
      </c>
    </row>
    <row r="158" spans="1:14" x14ac:dyDescent="0.2">
      <c r="A158" t="s">
        <v>501</v>
      </c>
      <c r="B158" t="s">
        <v>527</v>
      </c>
      <c r="C158">
        <v>1518</v>
      </c>
      <c r="D158" t="s">
        <v>76</v>
      </c>
      <c r="E158" s="1">
        <v>45425</v>
      </c>
      <c r="F158">
        <v>1</v>
      </c>
      <c r="G158" t="s">
        <v>71</v>
      </c>
      <c r="H158" t="s">
        <v>43</v>
      </c>
      <c r="I158" t="s">
        <v>1824</v>
      </c>
      <c r="J158" t="s">
        <v>865</v>
      </c>
      <c r="K158">
        <v>2000</v>
      </c>
      <c r="L158">
        <v>1200</v>
      </c>
      <c r="M158">
        <v>1200</v>
      </c>
      <c r="N158" t="s">
        <v>1825</v>
      </c>
    </row>
    <row r="159" spans="1:14" x14ac:dyDescent="0.2">
      <c r="A159" t="s">
        <v>115</v>
      </c>
      <c r="B159" t="s">
        <v>557</v>
      </c>
      <c r="C159">
        <v>1544</v>
      </c>
      <c r="D159" t="s">
        <v>92</v>
      </c>
      <c r="E159" s="1">
        <v>45562</v>
      </c>
      <c r="F159">
        <v>2</v>
      </c>
      <c r="G159" t="s">
        <v>52</v>
      </c>
      <c r="H159" t="s">
        <v>43</v>
      </c>
      <c r="I159" t="s">
        <v>1876</v>
      </c>
      <c r="J159" t="s">
        <v>865</v>
      </c>
      <c r="K159">
        <v>2000</v>
      </c>
      <c r="L159">
        <v>600</v>
      </c>
      <c r="M159">
        <v>1200</v>
      </c>
      <c r="N159" t="s">
        <v>1877</v>
      </c>
    </row>
    <row r="160" spans="1:14" x14ac:dyDescent="0.2">
      <c r="A160" t="s">
        <v>566</v>
      </c>
      <c r="B160" t="s">
        <v>567</v>
      </c>
      <c r="C160">
        <v>1551</v>
      </c>
      <c r="D160" t="s">
        <v>31</v>
      </c>
      <c r="E160" s="1">
        <v>45484</v>
      </c>
      <c r="F160">
        <v>1</v>
      </c>
      <c r="G160" t="s">
        <v>32</v>
      </c>
      <c r="H160" t="s">
        <v>43</v>
      </c>
      <c r="I160" t="s">
        <v>1890</v>
      </c>
      <c r="J160" t="s">
        <v>1244</v>
      </c>
      <c r="K160">
        <v>2300</v>
      </c>
      <c r="L160">
        <v>250</v>
      </c>
      <c r="M160">
        <v>250</v>
      </c>
      <c r="N160" t="s">
        <v>1891</v>
      </c>
    </row>
    <row r="161" spans="1:14" x14ac:dyDescent="0.2">
      <c r="A161" t="s">
        <v>578</v>
      </c>
      <c r="B161" t="s">
        <v>579</v>
      </c>
      <c r="C161">
        <v>1559</v>
      </c>
      <c r="D161" t="s">
        <v>92</v>
      </c>
      <c r="E161" s="1">
        <v>45456</v>
      </c>
      <c r="F161">
        <v>3</v>
      </c>
      <c r="G161" t="s">
        <v>32</v>
      </c>
      <c r="H161" t="s">
        <v>43</v>
      </c>
      <c r="I161" t="s">
        <v>1906</v>
      </c>
      <c r="J161" t="s">
        <v>1299</v>
      </c>
      <c r="K161">
        <v>2500</v>
      </c>
      <c r="L161">
        <v>600</v>
      </c>
      <c r="M161">
        <v>1800</v>
      </c>
      <c r="N161" t="s">
        <v>1907</v>
      </c>
    </row>
    <row r="162" spans="1:14" x14ac:dyDescent="0.2">
      <c r="A162" t="s">
        <v>583</v>
      </c>
      <c r="B162" t="s">
        <v>584</v>
      </c>
      <c r="C162">
        <v>1562</v>
      </c>
      <c r="D162" t="s">
        <v>51</v>
      </c>
      <c r="E162" s="1">
        <v>45504</v>
      </c>
      <c r="F162">
        <v>3</v>
      </c>
      <c r="G162" t="s">
        <v>38</v>
      </c>
      <c r="H162" t="s">
        <v>43</v>
      </c>
      <c r="I162" t="s">
        <v>1912</v>
      </c>
      <c r="J162" t="s">
        <v>1244</v>
      </c>
      <c r="K162">
        <v>2300</v>
      </c>
      <c r="L162">
        <v>250</v>
      </c>
      <c r="M162">
        <v>750</v>
      </c>
      <c r="N162" t="s">
        <v>1913</v>
      </c>
    </row>
    <row r="163" spans="1:14" x14ac:dyDescent="0.2">
      <c r="A163" t="s">
        <v>593</v>
      </c>
      <c r="B163" t="s">
        <v>427</v>
      </c>
      <c r="C163">
        <v>1568</v>
      </c>
      <c r="D163" t="s">
        <v>37</v>
      </c>
      <c r="E163" s="1">
        <v>45391</v>
      </c>
      <c r="F163">
        <v>2</v>
      </c>
      <c r="G163" t="s">
        <v>32</v>
      </c>
      <c r="H163" t="s">
        <v>43</v>
      </c>
      <c r="I163" t="s">
        <v>1924</v>
      </c>
      <c r="J163" t="s">
        <v>865</v>
      </c>
      <c r="K163">
        <v>2000</v>
      </c>
      <c r="L163">
        <v>800</v>
      </c>
      <c r="M163">
        <v>1600</v>
      </c>
      <c r="N163" t="s">
        <v>1925</v>
      </c>
    </row>
    <row r="164" spans="1:14" x14ac:dyDescent="0.2">
      <c r="A164" t="s">
        <v>240</v>
      </c>
      <c r="B164" t="s">
        <v>614</v>
      </c>
      <c r="C164">
        <v>1587</v>
      </c>
      <c r="D164" t="s">
        <v>76</v>
      </c>
      <c r="E164" s="1">
        <v>45396</v>
      </c>
      <c r="F164">
        <v>1</v>
      </c>
      <c r="G164" t="s">
        <v>32</v>
      </c>
      <c r="H164" t="s">
        <v>43</v>
      </c>
      <c r="I164" t="s">
        <v>1962</v>
      </c>
      <c r="J164" t="s">
        <v>865</v>
      </c>
      <c r="K164">
        <v>2000</v>
      </c>
      <c r="L164">
        <v>1200</v>
      </c>
      <c r="M164">
        <v>1200</v>
      </c>
      <c r="N164" t="s">
        <v>1963</v>
      </c>
    </row>
    <row r="165" spans="1:14" x14ac:dyDescent="0.2">
      <c r="A165" t="s">
        <v>623</v>
      </c>
      <c r="B165" t="s">
        <v>624</v>
      </c>
      <c r="C165">
        <v>1595</v>
      </c>
      <c r="D165" t="s">
        <v>76</v>
      </c>
      <c r="E165" s="1">
        <v>45441</v>
      </c>
      <c r="F165">
        <v>2</v>
      </c>
      <c r="G165" t="s">
        <v>52</v>
      </c>
      <c r="H165" t="s">
        <v>43</v>
      </c>
      <c r="I165" t="s">
        <v>1978</v>
      </c>
      <c r="J165" t="s">
        <v>865</v>
      </c>
      <c r="K165">
        <v>2000</v>
      </c>
      <c r="L165">
        <v>1200</v>
      </c>
      <c r="M165">
        <v>2400</v>
      </c>
      <c r="N165" t="s">
        <v>1979</v>
      </c>
    </row>
    <row r="166" spans="1:14" x14ac:dyDescent="0.2">
      <c r="A166" t="s">
        <v>105</v>
      </c>
      <c r="B166" t="s">
        <v>190</v>
      </c>
      <c r="C166">
        <v>1600</v>
      </c>
      <c r="D166" t="s">
        <v>92</v>
      </c>
      <c r="E166" s="1">
        <v>45349</v>
      </c>
      <c r="F166">
        <v>2</v>
      </c>
      <c r="G166" t="s">
        <v>38</v>
      </c>
      <c r="H166" t="s">
        <v>43</v>
      </c>
      <c r="I166" t="s">
        <v>1988</v>
      </c>
      <c r="J166" t="s">
        <v>1244</v>
      </c>
      <c r="K166">
        <v>2300</v>
      </c>
      <c r="L166">
        <v>600</v>
      </c>
      <c r="M166">
        <v>1200</v>
      </c>
      <c r="N166" t="s">
        <v>1989</v>
      </c>
    </row>
    <row r="167" spans="1:14" x14ac:dyDescent="0.2">
      <c r="A167" t="s">
        <v>653</v>
      </c>
      <c r="B167" t="s">
        <v>654</v>
      </c>
      <c r="C167">
        <v>1621</v>
      </c>
      <c r="D167" t="s">
        <v>76</v>
      </c>
      <c r="E167" s="1">
        <v>45608</v>
      </c>
      <c r="F167">
        <v>1</v>
      </c>
      <c r="G167" t="s">
        <v>71</v>
      </c>
      <c r="H167" t="s">
        <v>43</v>
      </c>
      <c r="I167" t="s">
        <v>2032</v>
      </c>
      <c r="J167" t="s">
        <v>1299</v>
      </c>
      <c r="K167">
        <v>2500</v>
      </c>
      <c r="L167">
        <v>1200</v>
      </c>
      <c r="M167">
        <v>1200</v>
      </c>
      <c r="N167" t="s">
        <v>2033</v>
      </c>
    </row>
    <row r="168" spans="1:14" x14ac:dyDescent="0.2">
      <c r="A168" t="s">
        <v>656</v>
      </c>
      <c r="B168" t="s">
        <v>657</v>
      </c>
      <c r="C168">
        <v>1624</v>
      </c>
      <c r="D168" t="s">
        <v>92</v>
      </c>
      <c r="E168" s="1">
        <v>45517</v>
      </c>
      <c r="F168">
        <v>1</v>
      </c>
      <c r="G168" t="s">
        <v>52</v>
      </c>
      <c r="H168" t="s">
        <v>43</v>
      </c>
      <c r="I168" t="s">
        <v>2038</v>
      </c>
      <c r="J168" t="s">
        <v>1299</v>
      </c>
      <c r="K168">
        <v>2500</v>
      </c>
      <c r="L168">
        <v>600</v>
      </c>
      <c r="M168">
        <v>600</v>
      </c>
      <c r="N168" t="s">
        <v>2039</v>
      </c>
    </row>
    <row r="169" spans="1:14" x14ac:dyDescent="0.2">
      <c r="A169" t="s">
        <v>561</v>
      </c>
      <c r="B169" t="s">
        <v>118</v>
      </c>
      <c r="C169">
        <v>1644</v>
      </c>
      <c r="D169" t="s">
        <v>92</v>
      </c>
      <c r="E169" s="1">
        <v>45541</v>
      </c>
      <c r="F169">
        <v>1</v>
      </c>
      <c r="G169" t="s">
        <v>52</v>
      </c>
      <c r="H169" t="s">
        <v>43</v>
      </c>
      <c r="I169" t="s">
        <v>2078</v>
      </c>
      <c r="J169" t="s">
        <v>1299</v>
      </c>
      <c r="K169">
        <v>2500</v>
      </c>
      <c r="L169">
        <v>600</v>
      </c>
      <c r="M169">
        <v>600</v>
      </c>
      <c r="N169" t="s">
        <v>2079</v>
      </c>
    </row>
    <row r="170" spans="1:14" x14ac:dyDescent="0.2">
      <c r="A170" t="s">
        <v>154</v>
      </c>
      <c r="B170" t="s">
        <v>610</v>
      </c>
      <c r="C170">
        <v>1652</v>
      </c>
      <c r="D170" t="s">
        <v>76</v>
      </c>
      <c r="E170" s="1">
        <v>45528</v>
      </c>
      <c r="F170">
        <v>2</v>
      </c>
      <c r="G170" t="s">
        <v>32</v>
      </c>
      <c r="H170" t="s">
        <v>43</v>
      </c>
      <c r="I170" t="s">
        <v>2094</v>
      </c>
      <c r="J170" t="s">
        <v>865</v>
      </c>
      <c r="K170">
        <v>2000</v>
      </c>
      <c r="L170">
        <v>1200</v>
      </c>
      <c r="M170">
        <v>2400</v>
      </c>
      <c r="N170" t="s">
        <v>2095</v>
      </c>
    </row>
    <row r="171" spans="1:14" x14ac:dyDescent="0.2">
      <c r="A171" t="s">
        <v>448</v>
      </c>
      <c r="B171" t="s">
        <v>703</v>
      </c>
      <c r="C171">
        <v>1661</v>
      </c>
      <c r="D171" t="s">
        <v>51</v>
      </c>
      <c r="E171" s="1">
        <v>45657</v>
      </c>
      <c r="F171">
        <v>1</v>
      </c>
      <c r="G171" t="s">
        <v>38</v>
      </c>
      <c r="H171" t="s">
        <v>43</v>
      </c>
      <c r="I171" t="s">
        <v>2112</v>
      </c>
      <c r="J171" t="s">
        <v>1244</v>
      </c>
      <c r="K171">
        <v>2300</v>
      </c>
      <c r="L171">
        <v>250</v>
      </c>
      <c r="M171">
        <v>250</v>
      </c>
      <c r="N171" t="s">
        <v>2113</v>
      </c>
    </row>
    <row r="172" spans="1:14" x14ac:dyDescent="0.2">
      <c r="A172" t="s">
        <v>710</v>
      </c>
      <c r="B172" t="s">
        <v>711</v>
      </c>
      <c r="C172">
        <v>1667</v>
      </c>
      <c r="D172" t="s">
        <v>37</v>
      </c>
      <c r="E172" s="1">
        <v>45581</v>
      </c>
      <c r="F172">
        <v>3</v>
      </c>
      <c r="G172" t="s">
        <v>32</v>
      </c>
      <c r="H172" t="s">
        <v>43</v>
      </c>
      <c r="I172" t="s">
        <v>2124</v>
      </c>
      <c r="J172" t="s">
        <v>1244</v>
      </c>
      <c r="K172">
        <v>2300</v>
      </c>
      <c r="L172">
        <v>800</v>
      </c>
      <c r="M172">
        <v>2400</v>
      </c>
      <c r="N172" t="s">
        <v>2125</v>
      </c>
    </row>
    <row r="173" spans="1:14" x14ac:dyDescent="0.2">
      <c r="A173" t="s">
        <v>724</v>
      </c>
      <c r="B173" t="s">
        <v>559</v>
      </c>
      <c r="C173">
        <v>1677</v>
      </c>
      <c r="D173" t="s">
        <v>76</v>
      </c>
      <c r="E173" s="1">
        <v>45488</v>
      </c>
      <c r="F173">
        <v>1</v>
      </c>
      <c r="G173" t="s">
        <v>52</v>
      </c>
      <c r="H173" t="s">
        <v>43</v>
      </c>
      <c r="I173" t="s">
        <v>2144</v>
      </c>
      <c r="J173" t="s">
        <v>1244</v>
      </c>
      <c r="K173">
        <v>2300</v>
      </c>
      <c r="L173">
        <v>1200</v>
      </c>
      <c r="M173">
        <v>1200</v>
      </c>
      <c r="N173" t="s">
        <v>2145</v>
      </c>
    </row>
    <row r="174" spans="1:14" x14ac:dyDescent="0.2">
      <c r="A174" t="s">
        <v>180</v>
      </c>
      <c r="B174" t="s">
        <v>727</v>
      </c>
      <c r="C174">
        <v>1680</v>
      </c>
      <c r="D174" t="s">
        <v>31</v>
      </c>
      <c r="E174" s="1">
        <v>45330</v>
      </c>
      <c r="F174">
        <v>3</v>
      </c>
      <c r="G174" t="s">
        <v>38</v>
      </c>
      <c r="H174" t="s">
        <v>43</v>
      </c>
      <c r="I174" t="s">
        <v>2150</v>
      </c>
      <c r="J174" t="s">
        <v>1244</v>
      </c>
      <c r="K174">
        <v>2300</v>
      </c>
      <c r="L174">
        <v>250</v>
      </c>
      <c r="M174">
        <v>750</v>
      </c>
      <c r="N174" t="s">
        <v>2151</v>
      </c>
    </row>
    <row r="175" spans="1:14" x14ac:dyDescent="0.2">
      <c r="A175" t="s">
        <v>720</v>
      </c>
      <c r="B175" t="s">
        <v>750</v>
      </c>
      <c r="C175">
        <v>1697</v>
      </c>
      <c r="D175" t="s">
        <v>51</v>
      </c>
      <c r="E175" s="1">
        <v>45344</v>
      </c>
      <c r="F175">
        <v>1</v>
      </c>
      <c r="G175" t="s">
        <v>52</v>
      </c>
      <c r="H175" t="s">
        <v>43</v>
      </c>
      <c r="I175" t="s">
        <v>2184</v>
      </c>
      <c r="J175" t="s">
        <v>1299</v>
      </c>
      <c r="K175">
        <v>2500</v>
      </c>
      <c r="L175">
        <v>250</v>
      </c>
      <c r="M175">
        <v>250</v>
      </c>
      <c r="N175" t="s">
        <v>2185</v>
      </c>
    </row>
    <row r="176" spans="1:14" x14ac:dyDescent="0.2">
      <c r="A176" t="s">
        <v>759</v>
      </c>
      <c r="B176" t="s">
        <v>745</v>
      </c>
      <c r="C176">
        <v>1704</v>
      </c>
      <c r="D176" t="s">
        <v>51</v>
      </c>
      <c r="E176" s="1">
        <v>45300</v>
      </c>
      <c r="F176">
        <v>1</v>
      </c>
      <c r="G176" t="s">
        <v>71</v>
      </c>
      <c r="H176" t="s">
        <v>43</v>
      </c>
      <c r="I176" t="s">
        <v>2198</v>
      </c>
      <c r="J176" t="s">
        <v>1299</v>
      </c>
      <c r="K176">
        <v>2500</v>
      </c>
      <c r="L176">
        <v>250</v>
      </c>
      <c r="M176">
        <v>250</v>
      </c>
      <c r="N176" t="s">
        <v>2199</v>
      </c>
    </row>
    <row r="177" spans="1:14" x14ac:dyDescent="0.2">
      <c r="A177" t="s">
        <v>760</v>
      </c>
      <c r="B177" t="s">
        <v>270</v>
      </c>
      <c r="C177">
        <v>1705</v>
      </c>
      <c r="D177" t="s">
        <v>76</v>
      </c>
      <c r="E177" s="1">
        <v>45360</v>
      </c>
      <c r="F177">
        <v>2</v>
      </c>
      <c r="G177" t="s">
        <v>52</v>
      </c>
      <c r="H177" t="s">
        <v>43</v>
      </c>
      <c r="I177" t="s">
        <v>2200</v>
      </c>
      <c r="J177" t="s">
        <v>1244</v>
      </c>
      <c r="K177">
        <v>2300</v>
      </c>
      <c r="L177">
        <v>1200</v>
      </c>
      <c r="M177">
        <v>2400</v>
      </c>
      <c r="N177" t="s">
        <v>2201</v>
      </c>
    </row>
    <row r="178" spans="1:14" x14ac:dyDescent="0.2">
      <c r="A178" t="s">
        <v>690</v>
      </c>
      <c r="B178" t="s">
        <v>243</v>
      </c>
      <c r="C178">
        <v>1708</v>
      </c>
      <c r="D178" t="s">
        <v>42</v>
      </c>
      <c r="E178" s="1">
        <v>45323</v>
      </c>
      <c r="F178">
        <v>1</v>
      </c>
      <c r="G178" t="s">
        <v>32</v>
      </c>
      <c r="H178" t="s">
        <v>43</v>
      </c>
      <c r="I178" t="s">
        <v>2206</v>
      </c>
      <c r="J178" t="s">
        <v>1299</v>
      </c>
      <c r="K178">
        <v>2500</v>
      </c>
      <c r="L178">
        <v>300</v>
      </c>
      <c r="M178">
        <v>300</v>
      </c>
      <c r="N178" t="s">
        <v>2207</v>
      </c>
    </row>
    <row r="179" spans="1:14" x14ac:dyDescent="0.2">
      <c r="A179" t="s">
        <v>381</v>
      </c>
      <c r="B179" t="s">
        <v>774</v>
      </c>
      <c r="C179">
        <v>1720</v>
      </c>
      <c r="D179" t="s">
        <v>42</v>
      </c>
      <c r="E179" s="1">
        <v>45569</v>
      </c>
      <c r="F179">
        <v>1</v>
      </c>
      <c r="G179" t="s">
        <v>32</v>
      </c>
      <c r="H179" t="s">
        <v>43</v>
      </c>
      <c r="I179" t="s">
        <v>2230</v>
      </c>
      <c r="J179" t="s">
        <v>865</v>
      </c>
      <c r="K179">
        <v>2000</v>
      </c>
      <c r="L179">
        <v>300</v>
      </c>
      <c r="M179">
        <v>300</v>
      </c>
      <c r="N179" t="s">
        <v>2231</v>
      </c>
    </row>
    <row r="180" spans="1:14" x14ac:dyDescent="0.2">
      <c r="A180" t="s">
        <v>279</v>
      </c>
      <c r="B180" t="s">
        <v>397</v>
      </c>
      <c r="C180">
        <v>1735</v>
      </c>
      <c r="D180" t="s">
        <v>42</v>
      </c>
      <c r="E180" s="1">
        <v>45548</v>
      </c>
      <c r="F180">
        <v>1</v>
      </c>
      <c r="G180" t="s">
        <v>52</v>
      </c>
      <c r="H180" t="s">
        <v>43</v>
      </c>
      <c r="I180" t="s">
        <v>2260</v>
      </c>
      <c r="J180" t="s">
        <v>1299</v>
      </c>
      <c r="K180">
        <v>2500</v>
      </c>
      <c r="L180">
        <v>300</v>
      </c>
      <c r="M180">
        <v>300</v>
      </c>
      <c r="N180" t="s">
        <v>2261</v>
      </c>
    </row>
    <row r="181" spans="1:14" x14ac:dyDescent="0.2">
      <c r="A181" t="s">
        <v>193</v>
      </c>
      <c r="B181" t="s">
        <v>792</v>
      </c>
      <c r="C181">
        <v>1736</v>
      </c>
      <c r="D181" t="s">
        <v>42</v>
      </c>
      <c r="E181" s="1">
        <v>45455</v>
      </c>
      <c r="F181">
        <v>3</v>
      </c>
      <c r="G181" t="s">
        <v>71</v>
      </c>
      <c r="H181" t="s">
        <v>43</v>
      </c>
      <c r="I181" t="s">
        <v>2262</v>
      </c>
      <c r="J181" t="s">
        <v>1299</v>
      </c>
      <c r="K181">
        <v>2500</v>
      </c>
      <c r="L181">
        <v>300</v>
      </c>
      <c r="M181">
        <v>900</v>
      </c>
      <c r="N181" t="s">
        <v>2263</v>
      </c>
    </row>
    <row r="182" spans="1:14" x14ac:dyDescent="0.2">
      <c r="A182" t="s">
        <v>193</v>
      </c>
      <c r="B182" t="s">
        <v>803</v>
      </c>
      <c r="C182">
        <v>1746</v>
      </c>
      <c r="D182" t="s">
        <v>42</v>
      </c>
      <c r="E182" s="1">
        <v>45586</v>
      </c>
      <c r="F182">
        <v>2</v>
      </c>
      <c r="G182" t="s">
        <v>32</v>
      </c>
      <c r="H182" t="s">
        <v>43</v>
      </c>
      <c r="I182" t="s">
        <v>2282</v>
      </c>
      <c r="J182" t="s">
        <v>1244</v>
      </c>
      <c r="K182">
        <v>2300</v>
      </c>
      <c r="L182">
        <v>300</v>
      </c>
      <c r="M182">
        <v>600</v>
      </c>
      <c r="N182" t="s">
        <v>2283</v>
      </c>
    </row>
    <row r="183" spans="1:14" x14ac:dyDescent="0.2">
      <c r="A183" t="s">
        <v>139</v>
      </c>
      <c r="B183" t="s">
        <v>806</v>
      </c>
      <c r="C183">
        <v>1750</v>
      </c>
      <c r="D183" t="s">
        <v>51</v>
      </c>
      <c r="E183" s="1">
        <v>45561</v>
      </c>
      <c r="F183">
        <v>1</v>
      </c>
      <c r="G183" t="s">
        <v>32</v>
      </c>
      <c r="H183" t="s">
        <v>43</v>
      </c>
      <c r="I183" t="s">
        <v>2290</v>
      </c>
      <c r="J183" t="s">
        <v>865</v>
      </c>
      <c r="K183">
        <v>2000</v>
      </c>
      <c r="L183">
        <v>250</v>
      </c>
      <c r="M183">
        <v>250</v>
      </c>
      <c r="N183" t="s">
        <v>2291</v>
      </c>
    </row>
    <row r="184" spans="1:14" x14ac:dyDescent="0.2">
      <c r="A184" t="s">
        <v>808</v>
      </c>
      <c r="B184" t="s">
        <v>94</v>
      </c>
      <c r="C184">
        <v>1753</v>
      </c>
      <c r="D184" t="s">
        <v>76</v>
      </c>
      <c r="E184" s="1">
        <v>45574</v>
      </c>
      <c r="F184">
        <v>1</v>
      </c>
      <c r="G184" t="s">
        <v>52</v>
      </c>
      <c r="H184" t="s">
        <v>43</v>
      </c>
      <c r="I184" t="s">
        <v>2296</v>
      </c>
      <c r="J184" t="s">
        <v>865</v>
      </c>
      <c r="K184">
        <v>2000</v>
      </c>
      <c r="L184">
        <v>1200</v>
      </c>
      <c r="M184">
        <v>1200</v>
      </c>
      <c r="N184" t="s">
        <v>2297</v>
      </c>
    </row>
    <row r="185" spans="1:14" x14ac:dyDescent="0.2">
      <c r="A185" t="s">
        <v>446</v>
      </c>
      <c r="B185" t="s">
        <v>659</v>
      </c>
      <c r="C185">
        <v>1773</v>
      </c>
      <c r="D185" t="s">
        <v>42</v>
      </c>
      <c r="E185" s="1">
        <v>45325</v>
      </c>
      <c r="F185">
        <v>2</v>
      </c>
      <c r="G185" t="s">
        <v>71</v>
      </c>
      <c r="H185" t="s">
        <v>43</v>
      </c>
      <c r="I185" t="s">
        <v>2336</v>
      </c>
      <c r="J185" t="s">
        <v>1299</v>
      </c>
      <c r="K185">
        <v>2500</v>
      </c>
      <c r="L185">
        <v>300</v>
      </c>
      <c r="M185">
        <v>600</v>
      </c>
      <c r="N185" t="s">
        <v>2337</v>
      </c>
    </row>
    <row r="186" spans="1:14" x14ac:dyDescent="0.2">
      <c r="A186" t="s">
        <v>558</v>
      </c>
      <c r="B186" t="s">
        <v>387</v>
      </c>
      <c r="C186">
        <v>1777</v>
      </c>
      <c r="D186" t="s">
        <v>92</v>
      </c>
      <c r="E186" s="1">
        <v>45463</v>
      </c>
      <c r="F186">
        <v>1</v>
      </c>
      <c r="G186" t="s">
        <v>38</v>
      </c>
      <c r="H186" t="s">
        <v>43</v>
      </c>
      <c r="I186" t="s">
        <v>2344</v>
      </c>
      <c r="J186" t="s">
        <v>1299</v>
      </c>
      <c r="K186">
        <v>2500</v>
      </c>
      <c r="L186">
        <v>600</v>
      </c>
      <c r="M186">
        <v>600</v>
      </c>
      <c r="N186" t="s">
        <v>2345</v>
      </c>
    </row>
    <row r="187" spans="1:14" x14ac:dyDescent="0.2">
      <c r="A187" t="s">
        <v>352</v>
      </c>
      <c r="B187" t="s">
        <v>836</v>
      </c>
      <c r="C187">
        <v>1781</v>
      </c>
      <c r="D187" t="s">
        <v>42</v>
      </c>
      <c r="E187" s="1">
        <v>45354</v>
      </c>
      <c r="F187">
        <v>1</v>
      </c>
      <c r="G187" t="s">
        <v>71</v>
      </c>
      <c r="H187" t="s">
        <v>43</v>
      </c>
      <c r="I187" t="s">
        <v>2352</v>
      </c>
      <c r="J187" t="s">
        <v>865</v>
      </c>
      <c r="K187">
        <v>2000</v>
      </c>
      <c r="L187">
        <v>300</v>
      </c>
      <c r="M187">
        <v>300</v>
      </c>
      <c r="N187" t="s">
        <v>2353</v>
      </c>
    </row>
    <row r="188" spans="1:14" x14ac:dyDescent="0.2">
      <c r="A188" t="s">
        <v>267</v>
      </c>
      <c r="B188" t="s">
        <v>432</v>
      </c>
      <c r="C188">
        <v>1785</v>
      </c>
      <c r="D188" t="s">
        <v>92</v>
      </c>
      <c r="E188" s="1">
        <v>45394</v>
      </c>
      <c r="F188">
        <v>1</v>
      </c>
      <c r="G188" t="s">
        <v>71</v>
      </c>
      <c r="H188" t="s">
        <v>43</v>
      </c>
      <c r="I188" t="s">
        <v>2360</v>
      </c>
      <c r="J188" t="s">
        <v>1244</v>
      </c>
      <c r="K188">
        <v>2300</v>
      </c>
      <c r="L188">
        <v>600</v>
      </c>
      <c r="M188">
        <v>600</v>
      </c>
      <c r="N188" t="s">
        <v>2361</v>
      </c>
    </row>
    <row r="189" spans="1:14" x14ac:dyDescent="0.2">
      <c r="A189" t="s">
        <v>477</v>
      </c>
      <c r="B189" t="s">
        <v>841</v>
      </c>
      <c r="C189">
        <v>1787</v>
      </c>
      <c r="D189" t="s">
        <v>42</v>
      </c>
      <c r="E189" s="1">
        <v>45323</v>
      </c>
      <c r="F189">
        <v>1</v>
      </c>
      <c r="G189" t="s">
        <v>32</v>
      </c>
      <c r="H189" t="s">
        <v>43</v>
      </c>
      <c r="I189" t="s">
        <v>2364</v>
      </c>
      <c r="J189" t="s">
        <v>1244</v>
      </c>
      <c r="K189">
        <v>2300</v>
      </c>
      <c r="L189">
        <v>300</v>
      </c>
      <c r="M189">
        <v>300</v>
      </c>
      <c r="N189" t="s">
        <v>2365</v>
      </c>
    </row>
    <row r="190" spans="1:14" x14ac:dyDescent="0.2">
      <c r="A190" t="s">
        <v>852</v>
      </c>
      <c r="B190" t="s">
        <v>853</v>
      </c>
      <c r="C190">
        <v>1795</v>
      </c>
      <c r="D190" t="s">
        <v>92</v>
      </c>
      <c r="E190" s="1">
        <v>45433</v>
      </c>
      <c r="F190">
        <v>1</v>
      </c>
      <c r="G190" t="s">
        <v>32</v>
      </c>
      <c r="H190" t="s">
        <v>43</v>
      </c>
      <c r="I190" t="s">
        <v>2380</v>
      </c>
      <c r="J190" t="s">
        <v>865</v>
      </c>
      <c r="K190">
        <v>2000</v>
      </c>
      <c r="L190">
        <v>600</v>
      </c>
      <c r="M190">
        <v>600</v>
      </c>
      <c r="N190" t="s">
        <v>2381</v>
      </c>
    </row>
    <row r="191" spans="1:14" x14ac:dyDescent="0.2">
      <c r="A191" t="s">
        <v>858</v>
      </c>
      <c r="B191" t="s">
        <v>859</v>
      </c>
      <c r="C191">
        <v>1803</v>
      </c>
      <c r="D191" t="s">
        <v>76</v>
      </c>
      <c r="E191" s="1">
        <v>45373</v>
      </c>
      <c r="F191">
        <v>3</v>
      </c>
      <c r="G191" t="s">
        <v>52</v>
      </c>
      <c r="H191" t="s">
        <v>43</v>
      </c>
      <c r="I191" t="s">
        <v>2396</v>
      </c>
      <c r="J191" t="s">
        <v>1299</v>
      </c>
      <c r="K191">
        <v>2500</v>
      </c>
      <c r="L191">
        <v>1200</v>
      </c>
      <c r="M191">
        <v>3600</v>
      </c>
      <c r="N191" t="s">
        <v>2397</v>
      </c>
    </row>
    <row r="192" spans="1:14" x14ac:dyDescent="0.2">
      <c r="A192" t="s">
        <v>713</v>
      </c>
      <c r="B192" t="s">
        <v>865</v>
      </c>
      <c r="C192">
        <v>1810</v>
      </c>
      <c r="D192" t="s">
        <v>76</v>
      </c>
      <c r="E192" s="1">
        <v>45431</v>
      </c>
      <c r="F192">
        <v>1</v>
      </c>
      <c r="G192" t="s">
        <v>52</v>
      </c>
      <c r="H192" t="s">
        <v>43</v>
      </c>
      <c r="I192" t="s">
        <v>2410</v>
      </c>
      <c r="J192" t="s">
        <v>1299</v>
      </c>
      <c r="K192">
        <v>2500</v>
      </c>
      <c r="L192">
        <v>1200</v>
      </c>
      <c r="M192">
        <v>1200</v>
      </c>
      <c r="N192" t="s">
        <v>2411</v>
      </c>
    </row>
    <row r="193" spans="1:14" x14ac:dyDescent="0.2">
      <c r="A193" t="s">
        <v>636</v>
      </c>
      <c r="B193" t="s">
        <v>881</v>
      </c>
      <c r="C193">
        <v>1825</v>
      </c>
      <c r="D193" t="s">
        <v>51</v>
      </c>
      <c r="E193" s="1">
        <v>45595</v>
      </c>
      <c r="F193">
        <v>2</v>
      </c>
      <c r="G193" t="s">
        <v>71</v>
      </c>
      <c r="H193" t="s">
        <v>43</v>
      </c>
      <c r="I193" t="s">
        <v>2440</v>
      </c>
      <c r="J193" t="s">
        <v>865</v>
      </c>
      <c r="K193">
        <v>2000</v>
      </c>
      <c r="L193">
        <v>250</v>
      </c>
      <c r="M193">
        <v>500</v>
      </c>
      <c r="N193" t="s">
        <v>2441</v>
      </c>
    </row>
    <row r="194" spans="1:14" x14ac:dyDescent="0.2">
      <c r="A194" t="s">
        <v>868</v>
      </c>
      <c r="B194" t="s">
        <v>153</v>
      </c>
      <c r="C194">
        <v>1829</v>
      </c>
      <c r="D194" t="s">
        <v>42</v>
      </c>
      <c r="E194" s="1">
        <v>45525</v>
      </c>
      <c r="F194">
        <v>1</v>
      </c>
      <c r="G194" t="s">
        <v>38</v>
      </c>
      <c r="H194" t="s">
        <v>43</v>
      </c>
      <c r="I194" t="s">
        <v>2448</v>
      </c>
      <c r="J194" t="s">
        <v>1299</v>
      </c>
      <c r="K194">
        <v>2500</v>
      </c>
      <c r="L194">
        <v>300</v>
      </c>
      <c r="M194">
        <v>300</v>
      </c>
      <c r="N194" t="s">
        <v>2449</v>
      </c>
    </row>
    <row r="195" spans="1:14" x14ac:dyDescent="0.2">
      <c r="A195" t="s">
        <v>888</v>
      </c>
      <c r="B195" t="s">
        <v>335</v>
      </c>
      <c r="C195">
        <v>1830</v>
      </c>
      <c r="D195" t="s">
        <v>42</v>
      </c>
      <c r="E195" s="1">
        <v>45520</v>
      </c>
      <c r="F195">
        <v>1</v>
      </c>
      <c r="G195" t="s">
        <v>38</v>
      </c>
      <c r="H195" t="s">
        <v>43</v>
      </c>
      <c r="I195" t="s">
        <v>2450</v>
      </c>
      <c r="J195" t="s">
        <v>865</v>
      </c>
      <c r="K195">
        <v>2000</v>
      </c>
      <c r="L195">
        <v>300</v>
      </c>
      <c r="M195">
        <v>300</v>
      </c>
      <c r="N195" t="s">
        <v>2451</v>
      </c>
    </row>
    <row r="196" spans="1:14" x14ac:dyDescent="0.2">
      <c r="A196" t="s">
        <v>921</v>
      </c>
      <c r="B196" t="s">
        <v>845</v>
      </c>
      <c r="C196">
        <v>1862</v>
      </c>
      <c r="D196" t="s">
        <v>76</v>
      </c>
      <c r="E196" s="1">
        <v>45306</v>
      </c>
      <c r="F196">
        <v>3</v>
      </c>
      <c r="G196" t="s">
        <v>32</v>
      </c>
      <c r="H196" t="s">
        <v>43</v>
      </c>
      <c r="I196" t="s">
        <v>2513</v>
      </c>
      <c r="J196" t="s">
        <v>1244</v>
      </c>
      <c r="K196">
        <v>2300</v>
      </c>
      <c r="L196">
        <v>1200</v>
      </c>
      <c r="M196">
        <v>3600</v>
      </c>
      <c r="N196" t="s">
        <v>2514</v>
      </c>
    </row>
    <row r="197" spans="1:14" x14ac:dyDescent="0.2">
      <c r="A197" t="s">
        <v>922</v>
      </c>
      <c r="B197" t="s">
        <v>923</v>
      </c>
      <c r="C197">
        <v>1863</v>
      </c>
      <c r="D197" t="s">
        <v>37</v>
      </c>
      <c r="E197" s="1">
        <v>45449</v>
      </c>
      <c r="F197">
        <v>2</v>
      </c>
      <c r="G197" t="s">
        <v>52</v>
      </c>
      <c r="H197" t="s">
        <v>43</v>
      </c>
      <c r="I197" t="s">
        <v>2515</v>
      </c>
      <c r="J197" t="s">
        <v>1244</v>
      </c>
      <c r="K197">
        <v>2300</v>
      </c>
      <c r="L197">
        <v>800</v>
      </c>
      <c r="M197">
        <v>1600</v>
      </c>
      <c r="N197" t="s">
        <v>2516</v>
      </c>
    </row>
    <row r="198" spans="1:14" x14ac:dyDescent="0.2">
      <c r="A198" t="s">
        <v>924</v>
      </c>
      <c r="B198" t="s">
        <v>472</v>
      </c>
      <c r="C198">
        <v>1864</v>
      </c>
      <c r="D198" t="s">
        <v>37</v>
      </c>
      <c r="E198" s="1">
        <v>45411</v>
      </c>
      <c r="F198">
        <v>2</v>
      </c>
      <c r="G198" t="s">
        <v>32</v>
      </c>
      <c r="H198" t="s">
        <v>43</v>
      </c>
      <c r="I198" t="s">
        <v>2517</v>
      </c>
      <c r="J198" t="s">
        <v>1299</v>
      </c>
      <c r="K198">
        <v>2500</v>
      </c>
      <c r="L198">
        <v>800</v>
      </c>
      <c r="M198">
        <v>1600</v>
      </c>
      <c r="N198" t="s">
        <v>2518</v>
      </c>
    </row>
    <row r="199" spans="1:14" x14ac:dyDescent="0.2">
      <c r="A199" t="s">
        <v>929</v>
      </c>
      <c r="B199" t="s">
        <v>100</v>
      </c>
      <c r="C199">
        <v>1869</v>
      </c>
      <c r="D199" t="s">
        <v>42</v>
      </c>
      <c r="E199" s="1">
        <v>45341</v>
      </c>
      <c r="F199">
        <v>1</v>
      </c>
      <c r="G199" t="s">
        <v>38</v>
      </c>
      <c r="H199" t="s">
        <v>43</v>
      </c>
      <c r="I199" t="s">
        <v>2527</v>
      </c>
      <c r="J199" t="s">
        <v>1244</v>
      </c>
      <c r="K199">
        <v>2300</v>
      </c>
      <c r="L199">
        <v>300</v>
      </c>
      <c r="M199">
        <v>300</v>
      </c>
      <c r="N199" t="s">
        <v>2528</v>
      </c>
    </row>
    <row r="200" spans="1:14" x14ac:dyDescent="0.2">
      <c r="A200" t="s">
        <v>404</v>
      </c>
      <c r="B200" t="s">
        <v>938</v>
      </c>
      <c r="C200">
        <v>1878</v>
      </c>
      <c r="D200" t="s">
        <v>76</v>
      </c>
      <c r="E200" s="1">
        <v>45474</v>
      </c>
      <c r="F200">
        <v>2</v>
      </c>
      <c r="G200" t="s">
        <v>32</v>
      </c>
      <c r="H200" t="s">
        <v>43</v>
      </c>
      <c r="I200" t="s">
        <v>2545</v>
      </c>
      <c r="J200" t="s">
        <v>1244</v>
      </c>
      <c r="K200">
        <v>2300</v>
      </c>
      <c r="L200">
        <v>1200</v>
      </c>
      <c r="M200">
        <v>2400</v>
      </c>
      <c r="N200" t="s">
        <v>2546</v>
      </c>
    </row>
    <row r="201" spans="1:14" x14ac:dyDescent="0.2">
      <c r="A201" t="s">
        <v>953</v>
      </c>
      <c r="B201" t="s">
        <v>954</v>
      </c>
      <c r="C201">
        <v>1892</v>
      </c>
      <c r="D201" t="s">
        <v>92</v>
      </c>
      <c r="E201" s="1">
        <v>45534</v>
      </c>
      <c r="F201">
        <v>2</v>
      </c>
      <c r="G201" t="s">
        <v>52</v>
      </c>
      <c r="H201" t="s">
        <v>43</v>
      </c>
      <c r="I201" t="s">
        <v>2573</v>
      </c>
      <c r="J201" t="s">
        <v>1299</v>
      </c>
      <c r="K201">
        <v>2500</v>
      </c>
      <c r="L201">
        <v>600</v>
      </c>
      <c r="M201">
        <v>1200</v>
      </c>
      <c r="N201" t="s">
        <v>2574</v>
      </c>
    </row>
    <row r="202" spans="1:14" x14ac:dyDescent="0.2">
      <c r="A202" t="s">
        <v>1001</v>
      </c>
      <c r="B202" t="s">
        <v>384</v>
      </c>
      <c r="C202">
        <v>1939</v>
      </c>
      <c r="D202" t="s">
        <v>31</v>
      </c>
      <c r="E202" s="1">
        <v>45515</v>
      </c>
      <c r="F202">
        <v>2</v>
      </c>
      <c r="G202" t="s">
        <v>32</v>
      </c>
      <c r="H202" t="s">
        <v>43</v>
      </c>
      <c r="I202" t="s">
        <v>2667</v>
      </c>
      <c r="J202" t="s">
        <v>1299</v>
      </c>
      <c r="K202">
        <v>2500</v>
      </c>
      <c r="L202">
        <v>250</v>
      </c>
      <c r="M202">
        <v>500</v>
      </c>
      <c r="N202" t="s">
        <v>2668</v>
      </c>
    </row>
    <row r="203" spans="1:14" x14ac:dyDescent="0.2">
      <c r="A203" t="s">
        <v>1004</v>
      </c>
      <c r="B203" t="s">
        <v>68</v>
      </c>
      <c r="C203">
        <v>1943</v>
      </c>
      <c r="D203" t="s">
        <v>92</v>
      </c>
      <c r="E203" s="1">
        <v>45513</v>
      </c>
      <c r="F203">
        <v>3</v>
      </c>
      <c r="G203" t="s">
        <v>52</v>
      </c>
      <c r="H203" t="s">
        <v>43</v>
      </c>
      <c r="I203" t="s">
        <v>2675</v>
      </c>
      <c r="J203" t="s">
        <v>865</v>
      </c>
      <c r="K203">
        <v>2000</v>
      </c>
      <c r="L203">
        <v>600</v>
      </c>
      <c r="M203">
        <v>1800</v>
      </c>
      <c r="N203" t="s">
        <v>2676</v>
      </c>
    </row>
    <row r="204" spans="1:14" x14ac:dyDescent="0.2">
      <c r="A204" t="s">
        <v>1007</v>
      </c>
      <c r="B204" t="s">
        <v>981</v>
      </c>
      <c r="C204">
        <v>1948</v>
      </c>
      <c r="D204" t="s">
        <v>92</v>
      </c>
      <c r="E204" s="1">
        <v>45424</v>
      </c>
      <c r="F204">
        <v>1</v>
      </c>
      <c r="G204" t="s">
        <v>32</v>
      </c>
      <c r="H204" t="s">
        <v>43</v>
      </c>
      <c r="I204" t="s">
        <v>2685</v>
      </c>
      <c r="J204" t="s">
        <v>1299</v>
      </c>
      <c r="K204">
        <v>2500</v>
      </c>
      <c r="L204">
        <v>600</v>
      </c>
      <c r="M204">
        <v>600</v>
      </c>
      <c r="N204" t="s">
        <v>2686</v>
      </c>
    </row>
    <row r="205" spans="1:14" x14ac:dyDescent="0.2">
      <c r="A205" t="s">
        <v>1008</v>
      </c>
      <c r="B205" t="s">
        <v>1009</v>
      </c>
      <c r="C205">
        <v>1949</v>
      </c>
      <c r="D205" t="s">
        <v>37</v>
      </c>
      <c r="E205" s="1">
        <v>45591</v>
      </c>
      <c r="F205">
        <v>3</v>
      </c>
      <c r="G205" t="s">
        <v>52</v>
      </c>
      <c r="H205" t="s">
        <v>43</v>
      </c>
      <c r="I205" t="s">
        <v>2687</v>
      </c>
      <c r="J205" t="s">
        <v>1244</v>
      </c>
      <c r="K205">
        <v>2300</v>
      </c>
      <c r="L205">
        <v>800</v>
      </c>
      <c r="M205">
        <v>2400</v>
      </c>
      <c r="N205" t="s">
        <v>2688</v>
      </c>
    </row>
    <row r="206" spans="1:14" x14ac:dyDescent="0.2">
      <c r="A206" t="s">
        <v>933</v>
      </c>
      <c r="B206" t="s">
        <v>1013</v>
      </c>
      <c r="C206">
        <v>1957</v>
      </c>
      <c r="D206" t="s">
        <v>31</v>
      </c>
      <c r="E206" s="1">
        <v>45365</v>
      </c>
      <c r="F206">
        <v>1</v>
      </c>
      <c r="G206" t="s">
        <v>32</v>
      </c>
      <c r="H206" t="s">
        <v>43</v>
      </c>
      <c r="I206" t="s">
        <v>2703</v>
      </c>
      <c r="J206" t="s">
        <v>865</v>
      </c>
      <c r="K206">
        <v>2000</v>
      </c>
      <c r="L206">
        <v>250</v>
      </c>
      <c r="M206">
        <v>250</v>
      </c>
      <c r="N206" t="s">
        <v>2704</v>
      </c>
    </row>
    <row r="207" spans="1:14" x14ac:dyDescent="0.2">
      <c r="A207" t="s">
        <v>1018</v>
      </c>
      <c r="B207" t="s">
        <v>1019</v>
      </c>
      <c r="C207">
        <v>1964</v>
      </c>
      <c r="D207" t="s">
        <v>31</v>
      </c>
      <c r="E207" s="1">
        <v>45355</v>
      </c>
      <c r="F207">
        <v>1</v>
      </c>
      <c r="G207" t="s">
        <v>52</v>
      </c>
      <c r="H207" t="s">
        <v>43</v>
      </c>
      <c r="I207" t="s">
        <v>2717</v>
      </c>
      <c r="J207" t="s">
        <v>865</v>
      </c>
      <c r="K207">
        <v>2000</v>
      </c>
      <c r="L207">
        <v>250</v>
      </c>
      <c r="M207">
        <v>250</v>
      </c>
      <c r="N207" t="s">
        <v>2718</v>
      </c>
    </row>
    <row r="208" spans="1:14" x14ac:dyDescent="0.2">
      <c r="A208" t="s">
        <v>103</v>
      </c>
      <c r="B208" t="s">
        <v>176</v>
      </c>
      <c r="C208">
        <v>1965</v>
      </c>
      <c r="D208" t="s">
        <v>76</v>
      </c>
      <c r="E208" s="1">
        <v>45514</v>
      </c>
      <c r="F208">
        <v>2</v>
      </c>
      <c r="G208" t="s">
        <v>32</v>
      </c>
      <c r="H208" t="s">
        <v>43</v>
      </c>
      <c r="I208" t="s">
        <v>2719</v>
      </c>
      <c r="J208" t="s">
        <v>865</v>
      </c>
      <c r="K208">
        <v>2000</v>
      </c>
      <c r="L208">
        <v>1200</v>
      </c>
      <c r="M208">
        <v>2400</v>
      </c>
      <c r="N208" t="s">
        <v>2720</v>
      </c>
    </row>
    <row r="209" spans="1:14" x14ac:dyDescent="0.2">
      <c r="A209" t="s">
        <v>351</v>
      </c>
      <c r="B209" t="s">
        <v>354</v>
      </c>
      <c r="C209">
        <v>1967</v>
      </c>
      <c r="D209" t="s">
        <v>92</v>
      </c>
      <c r="E209" s="1">
        <v>45359</v>
      </c>
      <c r="F209">
        <v>3</v>
      </c>
      <c r="G209" t="s">
        <v>32</v>
      </c>
      <c r="H209" t="s">
        <v>43</v>
      </c>
      <c r="I209" t="s">
        <v>2723</v>
      </c>
      <c r="J209" t="s">
        <v>865</v>
      </c>
      <c r="K209">
        <v>2000</v>
      </c>
      <c r="L209">
        <v>600</v>
      </c>
      <c r="M209">
        <v>1800</v>
      </c>
      <c r="N209" t="s">
        <v>2724</v>
      </c>
    </row>
    <row r="210" spans="1:14" x14ac:dyDescent="0.2">
      <c r="A210" t="s">
        <v>637</v>
      </c>
      <c r="B210" t="s">
        <v>345</v>
      </c>
      <c r="C210">
        <v>1975</v>
      </c>
      <c r="D210" t="s">
        <v>76</v>
      </c>
      <c r="E210" s="1">
        <v>45640</v>
      </c>
      <c r="F210">
        <v>3</v>
      </c>
      <c r="G210" t="s">
        <v>52</v>
      </c>
      <c r="H210" t="s">
        <v>43</v>
      </c>
      <c r="I210" t="s">
        <v>2739</v>
      </c>
      <c r="J210" t="s">
        <v>865</v>
      </c>
      <c r="K210">
        <v>2000</v>
      </c>
      <c r="L210">
        <v>1200</v>
      </c>
      <c r="M210">
        <v>3600</v>
      </c>
      <c r="N210" t="s">
        <v>2740</v>
      </c>
    </row>
    <row r="211" spans="1:14" x14ac:dyDescent="0.2">
      <c r="A211" t="s">
        <v>1034</v>
      </c>
      <c r="B211" t="s">
        <v>1035</v>
      </c>
      <c r="C211">
        <v>1986</v>
      </c>
      <c r="D211" t="s">
        <v>37</v>
      </c>
      <c r="E211" s="1">
        <v>45510</v>
      </c>
      <c r="F211">
        <v>2</v>
      </c>
      <c r="G211" t="s">
        <v>52</v>
      </c>
      <c r="H211" t="s">
        <v>43</v>
      </c>
      <c r="I211" t="s">
        <v>2761</v>
      </c>
      <c r="J211" t="s">
        <v>1244</v>
      </c>
      <c r="K211">
        <v>2300</v>
      </c>
      <c r="L211">
        <v>800</v>
      </c>
      <c r="M211">
        <v>1600</v>
      </c>
      <c r="N211" t="s">
        <v>2762</v>
      </c>
    </row>
    <row r="212" spans="1:14" x14ac:dyDescent="0.2">
      <c r="A212" t="s">
        <v>412</v>
      </c>
      <c r="B212" t="s">
        <v>1035</v>
      </c>
      <c r="C212">
        <v>1989</v>
      </c>
      <c r="D212" t="s">
        <v>92</v>
      </c>
      <c r="E212" s="1">
        <v>45647</v>
      </c>
      <c r="F212">
        <v>3</v>
      </c>
      <c r="G212" t="s">
        <v>52</v>
      </c>
      <c r="H212" t="s">
        <v>43</v>
      </c>
      <c r="I212" t="s">
        <v>2767</v>
      </c>
      <c r="J212" t="s">
        <v>1299</v>
      </c>
      <c r="K212">
        <v>2500</v>
      </c>
      <c r="L212">
        <v>600</v>
      </c>
      <c r="M212">
        <v>1800</v>
      </c>
      <c r="N212" t="s">
        <v>2768</v>
      </c>
    </row>
    <row r="213" spans="1:14" x14ac:dyDescent="0.2">
      <c r="A213" t="s">
        <v>137</v>
      </c>
      <c r="B213" t="s">
        <v>625</v>
      </c>
      <c r="C213">
        <v>2001</v>
      </c>
      <c r="D213" t="s">
        <v>76</v>
      </c>
      <c r="E213" s="1">
        <v>45369</v>
      </c>
      <c r="F213">
        <v>3</v>
      </c>
      <c r="G213" t="s">
        <v>32</v>
      </c>
      <c r="H213" t="s">
        <v>43</v>
      </c>
      <c r="I213" t="s">
        <v>2791</v>
      </c>
      <c r="J213" t="s">
        <v>1299</v>
      </c>
      <c r="K213">
        <v>2500</v>
      </c>
      <c r="L213">
        <v>1200</v>
      </c>
      <c r="M213">
        <v>3600</v>
      </c>
      <c r="N213" t="s">
        <v>2792</v>
      </c>
    </row>
    <row r="214" spans="1:14" x14ac:dyDescent="0.2">
      <c r="A214" t="s">
        <v>269</v>
      </c>
      <c r="B214" t="s">
        <v>1047</v>
      </c>
      <c r="C214">
        <v>2003</v>
      </c>
      <c r="D214" t="s">
        <v>37</v>
      </c>
      <c r="E214" s="1">
        <v>45651</v>
      </c>
      <c r="F214">
        <v>2</v>
      </c>
      <c r="G214" t="s">
        <v>52</v>
      </c>
      <c r="H214" t="s">
        <v>43</v>
      </c>
      <c r="I214" t="s">
        <v>2795</v>
      </c>
      <c r="J214" t="s">
        <v>1299</v>
      </c>
      <c r="K214">
        <v>2500</v>
      </c>
      <c r="L214">
        <v>800</v>
      </c>
      <c r="M214">
        <v>1600</v>
      </c>
      <c r="N214" t="s">
        <v>2796</v>
      </c>
    </row>
    <row r="215" spans="1:14" x14ac:dyDescent="0.2">
      <c r="A215" t="s">
        <v>660</v>
      </c>
      <c r="B215" t="s">
        <v>973</v>
      </c>
      <c r="C215">
        <v>2004</v>
      </c>
      <c r="D215" t="s">
        <v>31</v>
      </c>
      <c r="E215" s="1">
        <v>45622</v>
      </c>
      <c r="F215">
        <v>1</v>
      </c>
      <c r="G215" t="s">
        <v>52</v>
      </c>
      <c r="H215" t="s">
        <v>43</v>
      </c>
      <c r="I215" t="s">
        <v>2797</v>
      </c>
      <c r="J215" t="s">
        <v>1299</v>
      </c>
      <c r="K215">
        <v>2500</v>
      </c>
      <c r="L215">
        <v>250</v>
      </c>
      <c r="M215">
        <v>250</v>
      </c>
      <c r="N215" t="s">
        <v>2798</v>
      </c>
    </row>
    <row r="216" spans="1:14" x14ac:dyDescent="0.2">
      <c r="A216" t="s">
        <v>848</v>
      </c>
      <c r="B216" t="s">
        <v>203</v>
      </c>
      <c r="C216">
        <v>2006</v>
      </c>
      <c r="D216" t="s">
        <v>51</v>
      </c>
      <c r="E216" s="1">
        <v>45591</v>
      </c>
      <c r="F216">
        <v>1</v>
      </c>
      <c r="G216" t="s">
        <v>52</v>
      </c>
      <c r="H216" t="s">
        <v>43</v>
      </c>
      <c r="I216" t="s">
        <v>2801</v>
      </c>
      <c r="J216" t="s">
        <v>1299</v>
      </c>
      <c r="K216">
        <v>2500</v>
      </c>
      <c r="L216">
        <v>250</v>
      </c>
      <c r="M216">
        <v>250</v>
      </c>
      <c r="N216" t="s">
        <v>2802</v>
      </c>
    </row>
    <row r="217" spans="1:14" x14ac:dyDescent="0.2">
      <c r="A217" t="s">
        <v>396</v>
      </c>
      <c r="B217" t="s">
        <v>920</v>
      </c>
      <c r="C217">
        <v>2007</v>
      </c>
      <c r="D217" t="s">
        <v>51</v>
      </c>
      <c r="E217" s="1">
        <v>45361</v>
      </c>
      <c r="F217">
        <v>3</v>
      </c>
      <c r="G217" t="s">
        <v>52</v>
      </c>
      <c r="H217" t="s">
        <v>43</v>
      </c>
      <c r="I217" t="s">
        <v>2803</v>
      </c>
      <c r="J217" t="s">
        <v>1244</v>
      </c>
      <c r="K217">
        <v>2300</v>
      </c>
      <c r="L217">
        <v>250</v>
      </c>
      <c r="M217">
        <v>750</v>
      </c>
      <c r="N217" t="s">
        <v>2804</v>
      </c>
    </row>
    <row r="218" spans="1:14" x14ac:dyDescent="0.2">
      <c r="A218" t="s">
        <v>573</v>
      </c>
      <c r="B218" t="s">
        <v>891</v>
      </c>
      <c r="C218">
        <v>2019</v>
      </c>
      <c r="D218" t="s">
        <v>76</v>
      </c>
      <c r="E218" s="1">
        <v>45548</v>
      </c>
      <c r="F218">
        <v>2</v>
      </c>
      <c r="G218" t="s">
        <v>32</v>
      </c>
      <c r="H218" t="s">
        <v>43</v>
      </c>
      <c r="I218" t="s">
        <v>2827</v>
      </c>
      <c r="J218" t="s">
        <v>1244</v>
      </c>
      <c r="K218">
        <v>2300</v>
      </c>
      <c r="L218">
        <v>1200</v>
      </c>
      <c r="M218">
        <v>2400</v>
      </c>
      <c r="N218" t="s">
        <v>2828</v>
      </c>
    </row>
    <row r="219" spans="1:14" x14ac:dyDescent="0.2">
      <c r="A219" t="s">
        <v>1074</v>
      </c>
      <c r="B219" t="s">
        <v>283</v>
      </c>
      <c r="C219">
        <v>2040</v>
      </c>
      <c r="D219" t="s">
        <v>51</v>
      </c>
      <c r="E219" s="1">
        <v>45360</v>
      </c>
      <c r="F219">
        <v>2</v>
      </c>
      <c r="G219" t="s">
        <v>71</v>
      </c>
      <c r="H219" t="s">
        <v>43</v>
      </c>
      <c r="I219" t="s">
        <v>2869</v>
      </c>
      <c r="J219" t="s">
        <v>865</v>
      </c>
      <c r="K219">
        <v>2000</v>
      </c>
      <c r="L219">
        <v>250</v>
      </c>
      <c r="M219">
        <v>500</v>
      </c>
      <c r="N219" t="s">
        <v>2870</v>
      </c>
    </row>
    <row r="220" spans="1:14" x14ac:dyDescent="0.2">
      <c r="A220" t="s">
        <v>1077</v>
      </c>
      <c r="B220" t="s">
        <v>1078</v>
      </c>
      <c r="C220">
        <v>2043</v>
      </c>
      <c r="D220" t="s">
        <v>51</v>
      </c>
      <c r="E220" s="1">
        <v>45543</v>
      </c>
      <c r="F220">
        <v>2</v>
      </c>
      <c r="G220" t="s">
        <v>38</v>
      </c>
      <c r="H220" t="s">
        <v>43</v>
      </c>
      <c r="I220" t="s">
        <v>2875</v>
      </c>
      <c r="J220" t="s">
        <v>1244</v>
      </c>
      <c r="K220">
        <v>2300</v>
      </c>
      <c r="L220">
        <v>250</v>
      </c>
      <c r="M220">
        <v>500</v>
      </c>
      <c r="N220" t="s">
        <v>2876</v>
      </c>
    </row>
    <row r="221" spans="1:14" x14ac:dyDescent="0.2">
      <c r="A221" t="s">
        <v>1080</v>
      </c>
      <c r="B221" t="s">
        <v>535</v>
      </c>
      <c r="C221">
        <v>2045</v>
      </c>
      <c r="D221" t="s">
        <v>37</v>
      </c>
      <c r="E221" s="1">
        <v>45295</v>
      </c>
      <c r="F221">
        <v>3</v>
      </c>
      <c r="G221" t="s">
        <v>32</v>
      </c>
      <c r="H221" t="s">
        <v>43</v>
      </c>
      <c r="I221" t="s">
        <v>2879</v>
      </c>
      <c r="J221" t="s">
        <v>1299</v>
      </c>
      <c r="K221">
        <v>2500</v>
      </c>
      <c r="L221">
        <v>800</v>
      </c>
      <c r="M221">
        <v>2400</v>
      </c>
      <c r="N221" t="s">
        <v>2880</v>
      </c>
    </row>
    <row r="222" spans="1:14" x14ac:dyDescent="0.2">
      <c r="A222" t="s">
        <v>1082</v>
      </c>
      <c r="B222" t="s">
        <v>788</v>
      </c>
      <c r="C222">
        <v>2047</v>
      </c>
      <c r="D222" t="s">
        <v>37</v>
      </c>
      <c r="E222" s="1">
        <v>45376</v>
      </c>
      <c r="F222">
        <v>1</v>
      </c>
      <c r="G222" t="s">
        <v>52</v>
      </c>
      <c r="H222" t="s">
        <v>43</v>
      </c>
      <c r="I222" t="s">
        <v>2883</v>
      </c>
      <c r="J222" t="s">
        <v>1244</v>
      </c>
      <c r="K222">
        <v>2300</v>
      </c>
      <c r="L222">
        <v>800</v>
      </c>
      <c r="M222">
        <v>800</v>
      </c>
      <c r="N222" t="s">
        <v>2884</v>
      </c>
    </row>
    <row r="223" spans="1:14" x14ac:dyDescent="0.2">
      <c r="A223" t="s">
        <v>1093</v>
      </c>
      <c r="B223" t="s">
        <v>1094</v>
      </c>
      <c r="C223">
        <v>2058</v>
      </c>
      <c r="D223" t="s">
        <v>76</v>
      </c>
      <c r="E223" s="1">
        <v>45458</v>
      </c>
      <c r="F223">
        <v>1</v>
      </c>
      <c r="G223" t="s">
        <v>52</v>
      </c>
      <c r="H223" t="s">
        <v>43</v>
      </c>
      <c r="I223" t="s">
        <v>2905</v>
      </c>
      <c r="J223" t="s">
        <v>865</v>
      </c>
      <c r="K223">
        <v>2000</v>
      </c>
      <c r="L223">
        <v>1200</v>
      </c>
      <c r="M223">
        <v>1200</v>
      </c>
      <c r="N223" t="s">
        <v>2906</v>
      </c>
    </row>
    <row r="224" spans="1:14" x14ac:dyDescent="0.2">
      <c r="A224" t="s">
        <v>884</v>
      </c>
      <c r="B224" t="s">
        <v>1095</v>
      </c>
      <c r="C224">
        <v>2059</v>
      </c>
      <c r="D224" t="s">
        <v>51</v>
      </c>
      <c r="E224" s="1">
        <v>45299</v>
      </c>
      <c r="F224">
        <v>2</v>
      </c>
      <c r="G224" t="s">
        <v>32</v>
      </c>
      <c r="H224" t="s">
        <v>43</v>
      </c>
      <c r="I224" t="s">
        <v>2907</v>
      </c>
      <c r="J224" t="s">
        <v>1299</v>
      </c>
      <c r="K224">
        <v>2500</v>
      </c>
      <c r="L224">
        <v>250</v>
      </c>
      <c r="M224">
        <v>500</v>
      </c>
      <c r="N224" t="s">
        <v>2908</v>
      </c>
    </row>
    <row r="225" spans="1:14" x14ac:dyDescent="0.2">
      <c r="A225" t="s">
        <v>198</v>
      </c>
      <c r="B225" t="s">
        <v>1099</v>
      </c>
      <c r="C225">
        <v>2063</v>
      </c>
      <c r="D225" t="s">
        <v>37</v>
      </c>
      <c r="E225" s="1">
        <v>45444</v>
      </c>
      <c r="F225">
        <v>3</v>
      </c>
      <c r="G225" t="s">
        <v>52</v>
      </c>
      <c r="H225" t="s">
        <v>43</v>
      </c>
      <c r="I225" t="s">
        <v>2915</v>
      </c>
      <c r="J225" t="s">
        <v>1244</v>
      </c>
      <c r="K225">
        <v>2300</v>
      </c>
      <c r="L225">
        <v>800</v>
      </c>
      <c r="M225">
        <v>2400</v>
      </c>
      <c r="N225" t="s">
        <v>2916</v>
      </c>
    </row>
    <row r="226" spans="1:14" x14ac:dyDescent="0.2">
      <c r="A226" t="s">
        <v>884</v>
      </c>
      <c r="B226" t="s">
        <v>672</v>
      </c>
      <c r="C226">
        <v>2064</v>
      </c>
      <c r="D226" t="s">
        <v>76</v>
      </c>
      <c r="E226" s="1">
        <v>45357</v>
      </c>
      <c r="F226">
        <v>2</v>
      </c>
      <c r="G226" t="s">
        <v>52</v>
      </c>
      <c r="H226" t="s">
        <v>43</v>
      </c>
      <c r="I226" t="s">
        <v>2917</v>
      </c>
      <c r="J226" t="s">
        <v>865</v>
      </c>
      <c r="K226">
        <v>2000</v>
      </c>
      <c r="L226">
        <v>1200</v>
      </c>
      <c r="M226">
        <v>2400</v>
      </c>
      <c r="N226" t="s">
        <v>2918</v>
      </c>
    </row>
    <row r="227" spans="1:14" x14ac:dyDescent="0.2">
      <c r="A227" t="s">
        <v>656</v>
      </c>
      <c r="B227" t="s">
        <v>1108</v>
      </c>
      <c r="C227">
        <v>2073</v>
      </c>
      <c r="D227" t="s">
        <v>31</v>
      </c>
      <c r="E227" s="1">
        <v>45619</v>
      </c>
      <c r="F227">
        <v>3</v>
      </c>
      <c r="G227" t="s">
        <v>32</v>
      </c>
      <c r="H227" t="s">
        <v>43</v>
      </c>
      <c r="I227" t="s">
        <v>2935</v>
      </c>
      <c r="J227" t="s">
        <v>865</v>
      </c>
      <c r="K227">
        <v>2000</v>
      </c>
      <c r="L227">
        <v>250</v>
      </c>
      <c r="M227">
        <v>750</v>
      </c>
      <c r="N227" t="s">
        <v>2936</v>
      </c>
    </row>
    <row r="228" spans="1:14" x14ac:dyDescent="0.2">
      <c r="A228" t="s">
        <v>1110</v>
      </c>
      <c r="B228" t="s">
        <v>922</v>
      </c>
      <c r="C228">
        <v>2076</v>
      </c>
      <c r="D228" t="s">
        <v>92</v>
      </c>
      <c r="E228" s="1">
        <v>45543</v>
      </c>
      <c r="F228">
        <v>3</v>
      </c>
      <c r="G228" t="s">
        <v>52</v>
      </c>
      <c r="H228" t="s">
        <v>43</v>
      </c>
      <c r="I228" t="s">
        <v>2941</v>
      </c>
      <c r="J228" t="s">
        <v>1299</v>
      </c>
      <c r="K228">
        <v>2500</v>
      </c>
      <c r="L228">
        <v>600</v>
      </c>
      <c r="M228">
        <v>1800</v>
      </c>
      <c r="N228" t="s">
        <v>2942</v>
      </c>
    </row>
    <row r="229" spans="1:14" x14ac:dyDescent="0.2">
      <c r="A229" t="s">
        <v>1111</v>
      </c>
      <c r="B229" t="s">
        <v>1112</v>
      </c>
      <c r="C229">
        <v>2077</v>
      </c>
      <c r="D229" t="s">
        <v>42</v>
      </c>
      <c r="E229" s="1">
        <v>45501</v>
      </c>
      <c r="F229">
        <v>2</v>
      </c>
      <c r="G229" t="s">
        <v>32</v>
      </c>
      <c r="H229" t="s">
        <v>43</v>
      </c>
      <c r="I229" t="s">
        <v>2943</v>
      </c>
      <c r="J229" t="s">
        <v>1299</v>
      </c>
      <c r="K229">
        <v>2500</v>
      </c>
      <c r="L229">
        <v>300</v>
      </c>
      <c r="M229">
        <v>600</v>
      </c>
      <c r="N229" t="s">
        <v>2944</v>
      </c>
    </row>
    <row r="230" spans="1:14" x14ac:dyDescent="0.2">
      <c r="A230" t="s">
        <v>763</v>
      </c>
      <c r="B230" t="s">
        <v>1116</v>
      </c>
      <c r="C230">
        <v>2082</v>
      </c>
      <c r="D230" t="s">
        <v>76</v>
      </c>
      <c r="E230" s="1">
        <v>45489</v>
      </c>
      <c r="F230">
        <v>2</v>
      </c>
      <c r="G230" t="s">
        <v>52</v>
      </c>
      <c r="H230" t="s">
        <v>43</v>
      </c>
      <c r="I230" t="s">
        <v>2953</v>
      </c>
      <c r="J230" t="s">
        <v>1299</v>
      </c>
      <c r="K230">
        <v>2500</v>
      </c>
      <c r="L230">
        <v>1200</v>
      </c>
      <c r="M230">
        <v>2400</v>
      </c>
      <c r="N230" t="s">
        <v>2954</v>
      </c>
    </row>
    <row r="231" spans="1:14" x14ac:dyDescent="0.2">
      <c r="A231" t="s">
        <v>491</v>
      </c>
      <c r="B231" t="s">
        <v>951</v>
      </c>
      <c r="C231">
        <v>2104</v>
      </c>
      <c r="D231" t="s">
        <v>51</v>
      </c>
      <c r="E231" s="1">
        <v>45423</v>
      </c>
      <c r="F231">
        <v>1</v>
      </c>
      <c r="G231" t="s">
        <v>32</v>
      </c>
      <c r="H231" t="s">
        <v>43</v>
      </c>
      <c r="I231" t="s">
        <v>2999</v>
      </c>
      <c r="J231" t="s">
        <v>865</v>
      </c>
      <c r="K231">
        <v>2000</v>
      </c>
      <c r="L231">
        <v>250</v>
      </c>
      <c r="M231">
        <v>250</v>
      </c>
      <c r="N231" t="s">
        <v>3000</v>
      </c>
    </row>
    <row r="232" spans="1:14" x14ac:dyDescent="0.2">
      <c r="A232" t="s">
        <v>736</v>
      </c>
      <c r="B232" t="s">
        <v>262</v>
      </c>
      <c r="C232">
        <v>2114</v>
      </c>
      <c r="D232" t="s">
        <v>31</v>
      </c>
      <c r="E232" s="1">
        <v>45442</v>
      </c>
      <c r="F232">
        <v>1</v>
      </c>
      <c r="G232" t="s">
        <v>32</v>
      </c>
      <c r="H232" t="s">
        <v>43</v>
      </c>
      <c r="I232" t="s">
        <v>3019</v>
      </c>
      <c r="J232" t="s">
        <v>1244</v>
      </c>
      <c r="K232">
        <v>2300</v>
      </c>
      <c r="L232">
        <v>250</v>
      </c>
      <c r="M232">
        <v>250</v>
      </c>
      <c r="N232" t="s">
        <v>3020</v>
      </c>
    </row>
    <row r="233" spans="1:14" x14ac:dyDescent="0.2">
      <c r="A233" t="s">
        <v>1146</v>
      </c>
      <c r="B233" t="s">
        <v>1147</v>
      </c>
      <c r="C233">
        <v>2116</v>
      </c>
      <c r="D233" t="s">
        <v>76</v>
      </c>
      <c r="E233" s="1">
        <v>45530</v>
      </c>
      <c r="F233">
        <v>2</v>
      </c>
      <c r="G233" t="s">
        <v>32</v>
      </c>
      <c r="H233" t="s">
        <v>43</v>
      </c>
      <c r="I233" t="s">
        <v>3023</v>
      </c>
      <c r="J233" t="s">
        <v>865</v>
      </c>
      <c r="K233">
        <v>2000</v>
      </c>
      <c r="L233">
        <v>1200</v>
      </c>
      <c r="M233">
        <v>2400</v>
      </c>
      <c r="N233" t="s">
        <v>3024</v>
      </c>
    </row>
    <row r="234" spans="1:14" x14ac:dyDescent="0.2">
      <c r="A234" t="s">
        <v>665</v>
      </c>
      <c r="B234" t="s">
        <v>234</v>
      </c>
      <c r="C234">
        <v>2119</v>
      </c>
      <c r="D234" t="s">
        <v>51</v>
      </c>
      <c r="E234" s="1">
        <v>45313</v>
      </c>
      <c r="F234">
        <v>3</v>
      </c>
      <c r="G234" t="s">
        <v>38</v>
      </c>
      <c r="H234" t="s">
        <v>43</v>
      </c>
      <c r="I234" t="s">
        <v>3029</v>
      </c>
      <c r="J234" t="s">
        <v>1244</v>
      </c>
      <c r="K234">
        <v>2300</v>
      </c>
      <c r="L234">
        <v>250</v>
      </c>
      <c r="M234">
        <v>750</v>
      </c>
      <c r="N234" t="s">
        <v>3030</v>
      </c>
    </row>
    <row r="235" spans="1:14" x14ac:dyDescent="0.2">
      <c r="A235" t="s">
        <v>213</v>
      </c>
      <c r="B235" t="s">
        <v>1150</v>
      </c>
      <c r="C235">
        <v>2120</v>
      </c>
      <c r="D235" t="s">
        <v>76</v>
      </c>
      <c r="E235" s="1">
        <v>45589</v>
      </c>
      <c r="F235">
        <v>2</v>
      </c>
      <c r="G235" t="s">
        <v>52</v>
      </c>
      <c r="H235" t="s">
        <v>43</v>
      </c>
      <c r="I235" t="s">
        <v>3031</v>
      </c>
      <c r="J235" t="s">
        <v>1299</v>
      </c>
      <c r="K235">
        <v>2500</v>
      </c>
      <c r="L235">
        <v>1200</v>
      </c>
      <c r="M235">
        <v>2400</v>
      </c>
      <c r="N235" t="s">
        <v>3032</v>
      </c>
    </row>
    <row r="236" spans="1:14" x14ac:dyDescent="0.2">
      <c r="A236" t="s">
        <v>1156</v>
      </c>
      <c r="B236" t="s">
        <v>1157</v>
      </c>
      <c r="C236">
        <v>2125</v>
      </c>
      <c r="D236" t="s">
        <v>51</v>
      </c>
      <c r="E236" s="1">
        <v>45619</v>
      </c>
      <c r="F236">
        <v>1</v>
      </c>
      <c r="G236" t="s">
        <v>32</v>
      </c>
      <c r="H236" t="s">
        <v>43</v>
      </c>
      <c r="I236" t="s">
        <v>3041</v>
      </c>
      <c r="J236" t="s">
        <v>1299</v>
      </c>
      <c r="K236">
        <v>2500</v>
      </c>
      <c r="L236">
        <v>250</v>
      </c>
      <c r="M236">
        <v>250</v>
      </c>
      <c r="N236" t="s">
        <v>3042</v>
      </c>
    </row>
    <row r="237" spans="1:14" x14ac:dyDescent="0.2">
      <c r="A237" t="s">
        <v>1158</v>
      </c>
      <c r="B237" t="s">
        <v>984</v>
      </c>
      <c r="C237">
        <v>2126</v>
      </c>
      <c r="D237" t="s">
        <v>51</v>
      </c>
      <c r="E237" s="1">
        <v>45323</v>
      </c>
      <c r="F237">
        <v>3</v>
      </c>
      <c r="G237" t="s">
        <v>71</v>
      </c>
      <c r="H237" t="s">
        <v>43</v>
      </c>
      <c r="I237" t="s">
        <v>3043</v>
      </c>
      <c r="J237" t="s">
        <v>1299</v>
      </c>
      <c r="K237">
        <v>2500</v>
      </c>
      <c r="L237">
        <v>250</v>
      </c>
      <c r="M237">
        <v>750</v>
      </c>
      <c r="N237" t="s">
        <v>3044</v>
      </c>
    </row>
    <row r="238" spans="1:14" x14ac:dyDescent="0.2">
      <c r="A238" t="s">
        <v>96</v>
      </c>
      <c r="B238" t="s">
        <v>102</v>
      </c>
      <c r="C238">
        <v>2135</v>
      </c>
      <c r="D238" t="s">
        <v>31</v>
      </c>
      <c r="E238" s="1">
        <v>45642</v>
      </c>
      <c r="F238">
        <v>3</v>
      </c>
      <c r="G238" t="s">
        <v>52</v>
      </c>
      <c r="H238" t="s">
        <v>43</v>
      </c>
      <c r="I238" t="s">
        <v>3061</v>
      </c>
      <c r="J238" t="s">
        <v>1244</v>
      </c>
      <c r="K238">
        <v>2300</v>
      </c>
      <c r="L238">
        <v>250</v>
      </c>
      <c r="M238">
        <v>750</v>
      </c>
      <c r="N238" t="s">
        <v>3062</v>
      </c>
    </row>
    <row r="239" spans="1:14" x14ac:dyDescent="0.2">
      <c r="A239" t="s">
        <v>1171</v>
      </c>
      <c r="B239" t="s">
        <v>1130</v>
      </c>
      <c r="C239">
        <v>2139</v>
      </c>
      <c r="D239" t="s">
        <v>76</v>
      </c>
      <c r="E239" s="1">
        <v>45434</v>
      </c>
      <c r="F239">
        <v>3</v>
      </c>
      <c r="G239" t="s">
        <v>52</v>
      </c>
      <c r="H239" t="s">
        <v>43</v>
      </c>
      <c r="I239" t="s">
        <v>3069</v>
      </c>
      <c r="J239" t="s">
        <v>865</v>
      </c>
      <c r="K239">
        <v>2000</v>
      </c>
      <c r="L239">
        <v>1200</v>
      </c>
      <c r="M239">
        <v>3600</v>
      </c>
      <c r="N239" t="s">
        <v>3070</v>
      </c>
    </row>
    <row r="240" spans="1:14" x14ac:dyDescent="0.2">
      <c r="A240" t="s">
        <v>1132</v>
      </c>
      <c r="B240" t="s">
        <v>1177</v>
      </c>
      <c r="C240">
        <v>2149</v>
      </c>
      <c r="D240" t="s">
        <v>51</v>
      </c>
      <c r="E240" s="1">
        <v>45605</v>
      </c>
      <c r="F240">
        <v>2</v>
      </c>
      <c r="G240" t="s">
        <v>52</v>
      </c>
      <c r="H240" t="s">
        <v>43</v>
      </c>
      <c r="I240" t="s">
        <v>3089</v>
      </c>
      <c r="J240" t="s">
        <v>1244</v>
      </c>
      <c r="K240">
        <v>2300</v>
      </c>
      <c r="L240">
        <v>250</v>
      </c>
      <c r="M240">
        <v>500</v>
      </c>
      <c r="N240" t="s">
        <v>3090</v>
      </c>
    </row>
    <row r="241" spans="1:14" x14ac:dyDescent="0.2">
      <c r="A241" t="s">
        <v>1179</v>
      </c>
      <c r="B241" t="s">
        <v>1180</v>
      </c>
      <c r="C241">
        <v>2151</v>
      </c>
      <c r="D241" t="s">
        <v>42</v>
      </c>
      <c r="E241" s="1">
        <v>45616</v>
      </c>
      <c r="F241">
        <v>3</v>
      </c>
      <c r="G241" t="s">
        <v>32</v>
      </c>
      <c r="H241" t="s">
        <v>43</v>
      </c>
      <c r="I241" t="s">
        <v>3093</v>
      </c>
      <c r="J241" t="s">
        <v>1299</v>
      </c>
      <c r="K241">
        <v>2500</v>
      </c>
      <c r="L241">
        <v>300</v>
      </c>
      <c r="M241">
        <v>900</v>
      </c>
      <c r="N241" t="s">
        <v>3094</v>
      </c>
    </row>
    <row r="242" spans="1:14" x14ac:dyDescent="0.2">
      <c r="A242" t="s">
        <v>1183</v>
      </c>
      <c r="B242" t="s">
        <v>1013</v>
      </c>
      <c r="C242">
        <v>2153</v>
      </c>
      <c r="D242" t="s">
        <v>37</v>
      </c>
      <c r="E242" s="1">
        <v>45491</v>
      </c>
      <c r="F242">
        <v>1</v>
      </c>
      <c r="G242" t="s">
        <v>38</v>
      </c>
      <c r="H242" t="s">
        <v>43</v>
      </c>
      <c r="I242" t="s">
        <v>3097</v>
      </c>
      <c r="J242" t="s">
        <v>1244</v>
      </c>
      <c r="K242">
        <v>2300</v>
      </c>
      <c r="L242">
        <v>800</v>
      </c>
      <c r="M242">
        <v>800</v>
      </c>
      <c r="N242" t="s">
        <v>3098</v>
      </c>
    </row>
    <row r="243" spans="1:14" x14ac:dyDescent="0.2">
      <c r="A243" t="s">
        <v>229</v>
      </c>
      <c r="B243" t="s">
        <v>494</v>
      </c>
      <c r="C243">
        <v>2161</v>
      </c>
      <c r="D243" t="s">
        <v>76</v>
      </c>
      <c r="E243" s="1">
        <v>45358</v>
      </c>
      <c r="F243">
        <v>2</v>
      </c>
      <c r="G243" t="s">
        <v>32</v>
      </c>
      <c r="H243" t="s">
        <v>43</v>
      </c>
      <c r="I243" t="s">
        <v>3113</v>
      </c>
      <c r="J243" t="s">
        <v>1244</v>
      </c>
      <c r="K243">
        <v>2300</v>
      </c>
      <c r="L243">
        <v>1200</v>
      </c>
      <c r="M243">
        <v>2400</v>
      </c>
      <c r="N243" t="s">
        <v>3114</v>
      </c>
    </row>
    <row r="244" spans="1:14" x14ac:dyDescent="0.2">
      <c r="A244" t="s">
        <v>734</v>
      </c>
      <c r="B244" t="s">
        <v>1192</v>
      </c>
      <c r="C244">
        <v>2168</v>
      </c>
      <c r="D244" t="s">
        <v>42</v>
      </c>
      <c r="E244" s="1">
        <v>45592</v>
      </c>
      <c r="F244">
        <v>1</v>
      </c>
      <c r="G244" t="s">
        <v>71</v>
      </c>
      <c r="H244" t="s">
        <v>43</v>
      </c>
      <c r="I244" t="s">
        <v>3127</v>
      </c>
      <c r="J244" t="s">
        <v>1244</v>
      </c>
      <c r="K244">
        <v>2300</v>
      </c>
      <c r="L244">
        <v>300</v>
      </c>
      <c r="M244">
        <v>300</v>
      </c>
      <c r="N244" t="s">
        <v>3128</v>
      </c>
    </row>
    <row r="245" spans="1:14" x14ac:dyDescent="0.2">
      <c r="A245" t="s">
        <v>1193</v>
      </c>
      <c r="B245" t="s">
        <v>582</v>
      </c>
      <c r="C245">
        <v>2169</v>
      </c>
      <c r="D245" t="s">
        <v>51</v>
      </c>
      <c r="E245" s="1">
        <v>45642</v>
      </c>
      <c r="F245">
        <v>2</v>
      </c>
      <c r="G245" t="s">
        <v>32</v>
      </c>
      <c r="H245" t="s">
        <v>43</v>
      </c>
      <c r="I245" t="s">
        <v>3129</v>
      </c>
      <c r="J245" t="s">
        <v>1244</v>
      </c>
      <c r="K245">
        <v>2300</v>
      </c>
      <c r="L245">
        <v>250</v>
      </c>
      <c r="M245">
        <v>500</v>
      </c>
      <c r="N245" t="s">
        <v>3130</v>
      </c>
    </row>
    <row r="246" spans="1:14" x14ac:dyDescent="0.2">
      <c r="A246" t="s">
        <v>29</v>
      </c>
      <c r="B246" t="s">
        <v>1196</v>
      </c>
      <c r="C246">
        <v>2175</v>
      </c>
      <c r="D246" t="s">
        <v>76</v>
      </c>
      <c r="E246" s="1">
        <v>45395</v>
      </c>
      <c r="F246">
        <v>1</v>
      </c>
      <c r="G246" t="s">
        <v>38</v>
      </c>
      <c r="H246" t="s">
        <v>43</v>
      </c>
      <c r="I246" t="s">
        <v>3141</v>
      </c>
      <c r="J246" t="s">
        <v>865</v>
      </c>
      <c r="K246">
        <v>2000</v>
      </c>
      <c r="L246">
        <v>1200</v>
      </c>
      <c r="M246">
        <v>1200</v>
      </c>
      <c r="N246" t="s">
        <v>3142</v>
      </c>
    </row>
    <row r="247" spans="1:14" x14ac:dyDescent="0.2">
      <c r="A247" t="s">
        <v>1199</v>
      </c>
      <c r="B247" t="s">
        <v>1200</v>
      </c>
      <c r="C247">
        <v>2181</v>
      </c>
      <c r="D247" t="s">
        <v>76</v>
      </c>
      <c r="E247" s="1">
        <v>45461</v>
      </c>
      <c r="F247">
        <v>1</v>
      </c>
      <c r="G247" t="s">
        <v>38</v>
      </c>
      <c r="H247" t="s">
        <v>43</v>
      </c>
      <c r="I247" t="s">
        <v>3153</v>
      </c>
      <c r="J247" t="s">
        <v>1244</v>
      </c>
      <c r="K247">
        <v>2300</v>
      </c>
      <c r="L247">
        <v>1200</v>
      </c>
      <c r="M247">
        <v>1200</v>
      </c>
      <c r="N247" t="s">
        <v>3154</v>
      </c>
    </row>
    <row r="248" spans="1:14" x14ac:dyDescent="0.2">
      <c r="A248" t="s">
        <v>878</v>
      </c>
      <c r="B248" t="s">
        <v>745</v>
      </c>
      <c r="C248">
        <v>2182</v>
      </c>
      <c r="D248" t="s">
        <v>31</v>
      </c>
      <c r="E248" s="1">
        <v>45465</v>
      </c>
      <c r="F248">
        <v>2</v>
      </c>
      <c r="G248" t="s">
        <v>52</v>
      </c>
      <c r="H248" t="s">
        <v>43</v>
      </c>
      <c r="I248" t="s">
        <v>3155</v>
      </c>
      <c r="J248" t="s">
        <v>1299</v>
      </c>
      <c r="K248">
        <v>2500</v>
      </c>
      <c r="L248">
        <v>250</v>
      </c>
      <c r="M248">
        <v>500</v>
      </c>
      <c r="N248" t="s">
        <v>3156</v>
      </c>
    </row>
    <row r="249" spans="1:14" x14ac:dyDescent="0.2">
      <c r="A249" t="s">
        <v>1201</v>
      </c>
      <c r="B249" t="s">
        <v>1202</v>
      </c>
      <c r="C249">
        <v>2183</v>
      </c>
      <c r="D249" t="s">
        <v>31</v>
      </c>
      <c r="E249" s="1">
        <v>45503</v>
      </c>
      <c r="F249">
        <v>1</v>
      </c>
      <c r="G249" t="s">
        <v>71</v>
      </c>
      <c r="H249" t="s">
        <v>43</v>
      </c>
      <c r="I249" t="s">
        <v>3157</v>
      </c>
      <c r="J249" t="s">
        <v>1244</v>
      </c>
      <c r="K249">
        <v>2300</v>
      </c>
      <c r="L249">
        <v>250</v>
      </c>
      <c r="M249">
        <v>250</v>
      </c>
      <c r="N249" t="s">
        <v>3158</v>
      </c>
    </row>
    <row r="250" spans="1:14" x14ac:dyDescent="0.2">
      <c r="A250" t="s">
        <v>1206</v>
      </c>
      <c r="B250" t="s">
        <v>158</v>
      </c>
      <c r="C250">
        <v>2191</v>
      </c>
      <c r="D250" t="s">
        <v>31</v>
      </c>
      <c r="E250" s="1">
        <v>45396</v>
      </c>
      <c r="F250">
        <v>1</v>
      </c>
      <c r="G250" t="s">
        <v>32</v>
      </c>
      <c r="H250" t="s">
        <v>43</v>
      </c>
      <c r="I250" t="s">
        <v>3173</v>
      </c>
      <c r="J250" t="s">
        <v>1244</v>
      </c>
      <c r="K250">
        <v>2300</v>
      </c>
      <c r="L250">
        <v>250</v>
      </c>
      <c r="M250">
        <v>250</v>
      </c>
      <c r="N250" t="s">
        <v>3174</v>
      </c>
    </row>
    <row r="251" spans="1:14" x14ac:dyDescent="0.2">
      <c r="A251" t="s">
        <v>1212</v>
      </c>
      <c r="B251" t="s">
        <v>703</v>
      </c>
      <c r="C251">
        <v>2203</v>
      </c>
      <c r="D251" t="s">
        <v>92</v>
      </c>
      <c r="E251" s="1">
        <v>45441</v>
      </c>
      <c r="F251">
        <v>3</v>
      </c>
      <c r="G251" t="s">
        <v>52</v>
      </c>
      <c r="H251" t="s">
        <v>43</v>
      </c>
      <c r="I251" t="s">
        <v>3197</v>
      </c>
      <c r="J251" t="s">
        <v>1299</v>
      </c>
      <c r="K251">
        <v>2500</v>
      </c>
      <c r="L251">
        <v>600</v>
      </c>
      <c r="M251">
        <v>1800</v>
      </c>
      <c r="N251" t="s">
        <v>3198</v>
      </c>
    </row>
    <row r="252" spans="1:14" x14ac:dyDescent="0.2">
      <c r="A252" t="s">
        <v>1213</v>
      </c>
      <c r="B252" t="s">
        <v>263</v>
      </c>
      <c r="C252">
        <v>2204</v>
      </c>
      <c r="D252" t="s">
        <v>92</v>
      </c>
      <c r="E252" s="1">
        <v>45322</v>
      </c>
      <c r="F252">
        <v>1</v>
      </c>
      <c r="G252" t="s">
        <v>71</v>
      </c>
      <c r="H252" t="s">
        <v>43</v>
      </c>
      <c r="I252" t="s">
        <v>3199</v>
      </c>
      <c r="J252" t="s">
        <v>865</v>
      </c>
      <c r="K252">
        <v>2000</v>
      </c>
      <c r="L252">
        <v>600</v>
      </c>
      <c r="M252">
        <v>600</v>
      </c>
      <c r="N252" t="s">
        <v>3200</v>
      </c>
    </row>
    <row r="253" spans="1:14" x14ac:dyDescent="0.2">
      <c r="A253" t="s">
        <v>467</v>
      </c>
      <c r="B253" t="s">
        <v>1217</v>
      </c>
      <c r="C253">
        <v>2209</v>
      </c>
      <c r="D253" t="s">
        <v>51</v>
      </c>
      <c r="E253" s="1">
        <v>45305</v>
      </c>
      <c r="F253">
        <v>3</v>
      </c>
      <c r="G253" t="s">
        <v>32</v>
      </c>
      <c r="H253" t="s">
        <v>43</v>
      </c>
      <c r="I253" t="s">
        <v>3209</v>
      </c>
      <c r="J253" t="s">
        <v>865</v>
      </c>
      <c r="K253">
        <v>2000</v>
      </c>
      <c r="L253">
        <v>250</v>
      </c>
      <c r="M253">
        <v>750</v>
      </c>
      <c r="N253" t="s">
        <v>3210</v>
      </c>
    </row>
    <row r="254" spans="1:14" x14ac:dyDescent="0.2">
      <c r="A254" t="s">
        <v>1227</v>
      </c>
      <c r="B254" t="s">
        <v>1215</v>
      </c>
      <c r="C254">
        <v>2226</v>
      </c>
      <c r="D254" t="s">
        <v>92</v>
      </c>
      <c r="E254" s="1">
        <v>45319</v>
      </c>
      <c r="F254">
        <v>1</v>
      </c>
      <c r="G254" t="s">
        <v>32</v>
      </c>
      <c r="H254" t="s">
        <v>43</v>
      </c>
      <c r="I254" t="s">
        <v>3243</v>
      </c>
      <c r="J254" t="s">
        <v>1299</v>
      </c>
      <c r="K254">
        <v>2500</v>
      </c>
      <c r="L254">
        <v>600</v>
      </c>
      <c r="M254">
        <v>600</v>
      </c>
      <c r="N254" t="s">
        <v>3244</v>
      </c>
    </row>
    <row r="255" spans="1:14" x14ac:dyDescent="0.2">
      <c r="A255" t="s">
        <v>79</v>
      </c>
      <c r="B255" t="s">
        <v>80</v>
      </c>
      <c r="C255">
        <v>1249</v>
      </c>
      <c r="D255" t="s">
        <v>51</v>
      </c>
      <c r="E255" s="1">
        <v>45517</v>
      </c>
      <c r="F255">
        <v>3</v>
      </c>
      <c r="G255" t="s">
        <v>32</v>
      </c>
      <c r="H255" t="s">
        <v>81</v>
      </c>
      <c r="I255" t="s">
        <v>1279</v>
      </c>
      <c r="J255" t="s">
        <v>1280</v>
      </c>
      <c r="K255">
        <v>800</v>
      </c>
      <c r="L255">
        <v>250</v>
      </c>
      <c r="M255">
        <v>750</v>
      </c>
      <c r="N255" t="s">
        <v>1281</v>
      </c>
    </row>
    <row r="256" spans="1:14" x14ac:dyDescent="0.2">
      <c r="A256" t="s">
        <v>104</v>
      </c>
      <c r="B256" t="s">
        <v>105</v>
      </c>
      <c r="C256">
        <v>1261</v>
      </c>
      <c r="D256" t="s">
        <v>76</v>
      </c>
      <c r="E256" s="1">
        <v>45348</v>
      </c>
      <c r="F256">
        <v>1</v>
      </c>
      <c r="G256" t="s">
        <v>52</v>
      </c>
      <c r="H256" t="s">
        <v>81</v>
      </c>
      <c r="I256" t="s">
        <v>1307</v>
      </c>
      <c r="J256" t="s">
        <v>1280</v>
      </c>
      <c r="K256">
        <v>800</v>
      </c>
      <c r="L256">
        <v>1200</v>
      </c>
      <c r="M256">
        <v>1200</v>
      </c>
      <c r="N256" t="s">
        <v>1308</v>
      </c>
    </row>
    <row r="257" spans="1:14" x14ac:dyDescent="0.2">
      <c r="A257" t="s">
        <v>117</v>
      </c>
      <c r="B257" t="s">
        <v>118</v>
      </c>
      <c r="C257">
        <v>1267</v>
      </c>
      <c r="D257" t="s">
        <v>76</v>
      </c>
      <c r="E257" s="1">
        <v>45530</v>
      </c>
      <c r="F257">
        <v>2</v>
      </c>
      <c r="G257" t="s">
        <v>71</v>
      </c>
      <c r="H257" t="s">
        <v>81</v>
      </c>
      <c r="I257" t="s">
        <v>1319</v>
      </c>
      <c r="J257" t="s">
        <v>1280</v>
      </c>
      <c r="K257">
        <v>800</v>
      </c>
      <c r="L257">
        <v>1200</v>
      </c>
      <c r="M257">
        <v>2400</v>
      </c>
      <c r="N257" t="s">
        <v>1320</v>
      </c>
    </row>
    <row r="258" spans="1:14" x14ac:dyDescent="0.2">
      <c r="A258" t="s">
        <v>121</v>
      </c>
      <c r="B258" t="s">
        <v>156</v>
      </c>
      <c r="C258">
        <v>1287</v>
      </c>
      <c r="D258" t="s">
        <v>37</v>
      </c>
      <c r="E258" s="1">
        <v>45531</v>
      </c>
      <c r="F258">
        <v>3</v>
      </c>
      <c r="G258" t="s">
        <v>52</v>
      </c>
      <c r="H258" t="s">
        <v>81</v>
      </c>
      <c r="I258" t="s">
        <v>1360</v>
      </c>
      <c r="J258" t="s">
        <v>1361</v>
      </c>
      <c r="K258">
        <v>870</v>
      </c>
      <c r="L258">
        <v>800</v>
      </c>
      <c r="M258">
        <v>2400</v>
      </c>
      <c r="N258" t="s">
        <v>1362</v>
      </c>
    </row>
    <row r="259" spans="1:14" x14ac:dyDescent="0.2">
      <c r="A259" t="s">
        <v>150</v>
      </c>
      <c r="B259" t="s">
        <v>165</v>
      </c>
      <c r="C259">
        <v>1292</v>
      </c>
      <c r="D259" t="s">
        <v>51</v>
      </c>
      <c r="E259" s="1">
        <v>45447</v>
      </c>
      <c r="F259">
        <v>3</v>
      </c>
      <c r="G259" t="s">
        <v>32</v>
      </c>
      <c r="H259" t="s">
        <v>81</v>
      </c>
      <c r="I259" t="s">
        <v>1371</v>
      </c>
      <c r="J259" t="s">
        <v>1280</v>
      </c>
      <c r="K259">
        <v>800</v>
      </c>
      <c r="L259">
        <v>250</v>
      </c>
      <c r="M259">
        <v>750</v>
      </c>
      <c r="N259" t="s">
        <v>1372</v>
      </c>
    </row>
    <row r="260" spans="1:14" x14ac:dyDescent="0.2">
      <c r="A260" t="s">
        <v>173</v>
      </c>
      <c r="B260" t="s">
        <v>174</v>
      </c>
      <c r="C260">
        <v>1297</v>
      </c>
      <c r="D260" t="s">
        <v>51</v>
      </c>
      <c r="E260" s="1">
        <v>45382</v>
      </c>
      <c r="F260">
        <v>3</v>
      </c>
      <c r="G260" t="s">
        <v>32</v>
      </c>
      <c r="H260" t="s">
        <v>81</v>
      </c>
      <c r="I260" t="s">
        <v>1381</v>
      </c>
      <c r="J260" t="s">
        <v>1280</v>
      </c>
      <c r="K260">
        <v>800</v>
      </c>
      <c r="L260">
        <v>250</v>
      </c>
      <c r="M260">
        <v>750</v>
      </c>
      <c r="N260" t="s">
        <v>1382</v>
      </c>
    </row>
    <row r="261" spans="1:14" x14ac:dyDescent="0.2">
      <c r="A261" t="s">
        <v>56</v>
      </c>
      <c r="B261" t="s">
        <v>177</v>
      </c>
      <c r="C261">
        <v>1299</v>
      </c>
      <c r="D261" t="s">
        <v>76</v>
      </c>
      <c r="E261" s="1">
        <v>45636</v>
      </c>
      <c r="F261">
        <v>3</v>
      </c>
      <c r="G261" t="s">
        <v>52</v>
      </c>
      <c r="H261" t="s">
        <v>81</v>
      </c>
      <c r="I261" t="s">
        <v>1385</v>
      </c>
      <c r="J261" t="s">
        <v>1361</v>
      </c>
      <c r="K261">
        <v>870</v>
      </c>
      <c r="L261">
        <v>1200</v>
      </c>
      <c r="M261">
        <v>3600</v>
      </c>
      <c r="N261" t="s">
        <v>1386</v>
      </c>
    </row>
    <row r="262" spans="1:14" x14ac:dyDescent="0.2">
      <c r="A262" t="s">
        <v>133</v>
      </c>
      <c r="B262" t="s">
        <v>186</v>
      </c>
      <c r="C262">
        <v>1304</v>
      </c>
      <c r="D262" t="s">
        <v>92</v>
      </c>
      <c r="E262" s="1">
        <v>45657</v>
      </c>
      <c r="F262">
        <v>1</v>
      </c>
      <c r="G262" t="s">
        <v>32</v>
      </c>
      <c r="H262" t="s">
        <v>81</v>
      </c>
      <c r="I262" t="s">
        <v>1395</v>
      </c>
      <c r="J262" t="s">
        <v>1361</v>
      </c>
      <c r="K262">
        <v>870</v>
      </c>
      <c r="L262">
        <v>600</v>
      </c>
      <c r="M262">
        <v>600</v>
      </c>
      <c r="N262" t="s">
        <v>1396</v>
      </c>
    </row>
    <row r="263" spans="1:14" x14ac:dyDescent="0.2">
      <c r="A263" t="s">
        <v>193</v>
      </c>
      <c r="B263" t="s">
        <v>194</v>
      </c>
      <c r="C263">
        <v>1308</v>
      </c>
      <c r="D263" t="s">
        <v>51</v>
      </c>
      <c r="E263" s="1">
        <v>45396</v>
      </c>
      <c r="F263">
        <v>3</v>
      </c>
      <c r="G263" t="s">
        <v>32</v>
      </c>
      <c r="H263" t="s">
        <v>81</v>
      </c>
      <c r="I263" t="s">
        <v>1404</v>
      </c>
      <c r="J263" t="s">
        <v>1361</v>
      </c>
      <c r="K263">
        <v>870</v>
      </c>
      <c r="L263">
        <v>250</v>
      </c>
      <c r="M263">
        <v>750</v>
      </c>
      <c r="N263" t="s">
        <v>1405</v>
      </c>
    </row>
    <row r="264" spans="1:14" x14ac:dyDescent="0.2">
      <c r="A264" t="s">
        <v>198</v>
      </c>
      <c r="B264" t="s">
        <v>199</v>
      </c>
      <c r="C264">
        <v>1311</v>
      </c>
      <c r="D264" t="s">
        <v>76</v>
      </c>
      <c r="E264" s="1">
        <v>45561</v>
      </c>
      <c r="F264">
        <v>2</v>
      </c>
      <c r="G264" t="s">
        <v>32</v>
      </c>
      <c r="H264" t="s">
        <v>81</v>
      </c>
      <c r="I264" t="s">
        <v>1410</v>
      </c>
      <c r="J264" t="s">
        <v>1280</v>
      </c>
      <c r="K264">
        <v>800</v>
      </c>
      <c r="L264">
        <v>1200</v>
      </c>
      <c r="M264">
        <v>2400</v>
      </c>
      <c r="N264" t="s">
        <v>1411</v>
      </c>
    </row>
    <row r="265" spans="1:14" x14ac:dyDescent="0.2">
      <c r="A265" t="s">
        <v>215</v>
      </c>
      <c r="B265" t="s">
        <v>216</v>
      </c>
      <c r="C265">
        <v>1320</v>
      </c>
      <c r="D265" t="s">
        <v>92</v>
      </c>
      <c r="E265" s="1">
        <v>45314</v>
      </c>
      <c r="F265">
        <v>1</v>
      </c>
      <c r="G265" t="s">
        <v>38</v>
      </c>
      <c r="H265" t="s">
        <v>81</v>
      </c>
      <c r="I265" t="s">
        <v>1428</v>
      </c>
      <c r="J265" t="s">
        <v>1361</v>
      </c>
      <c r="K265">
        <v>870</v>
      </c>
      <c r="L265">
        <v>600</v>
      </c>
      <c r="M265">
        <v>600</v>
      </c>
      <c r="N265" t="s">
        <v>1429</v>
      </c>
    </row>
    <row r="266" spans="1:14" x14ac:dyDescent="0.2">
      <c r="A266" t="s">
        <v>222</v>
      </c>
      <c r="B266" t="s">
        <v>223</v>
      </c>
      <c r="C266">
        <v>1324</v>
      </c>
      <c r="D266" t="s">
        <v>92</v>
      </c>
      <c r="E266" s="1">
        <v>45609</v>
      </c>
      <c r="F266">
        <v>1</v>
      </c>
      <c r="G266" t="s">
        <v>32</v>
      </c>
      <c r="H266" t="s">
        <v>81</v>
      </c>
      <c r="I266" t="s">
        <v>1436</v>
      </c>
      <c r="J266" t="s">
        <v>1280</v>
      </c>
      <c r="K266">
        <v>800</v>
      </c>
      <c r="L266">
        <v>600</v>
      </c>
      <c r="M266">
        <v>600</v>
      </c>
      <c r="N266" t="s">
        <v>1437</v>
      </c>
    </row>
    <row r="267" spans="1:14" x14ac:dyDescent="0.2">
      <c r="A267" t="s">
        <v>229</v>
      </c>
      <c r="B267" t="s">
        <v>230</v>
      </c>
      <c r="C267">
        <v>1328</v>
      </c>
      <c r="D267" t="s">
        <v>76</v>
      </c>
      <c r="E267" s="1">
        <v>45406</v>
      </c>
      <c r="F267">
        <v>3</v>
      </c>
      <c r="G267" t="s">
        <v>71</v>
      </c>
      <c r="H267" t="s">
        <v>81</v>
      </c>
      <c r="I267" t="s">
        <v>1444</v>
      </c>
      <c r="J267" t="s">
        <v>1280</v>
      </c>
      <c r="K267">
        <v>800</v>
      </c>
      <c r="L267">
        <v>1200</v>
      </c>
      <c r="M267">
        <v>3600</v>
      </c>
      <c r="N267" t="s">
        <v>1445</v>
      </c>
    </row>
    <row r="268" spans="1:14" x14ac:dyDescent="0.2">
      <c r="A268" t="s">
        <v>241</v>
      </c>
      <c r="B268" t="s">
        <v>242</v>
      </c>
      <c r="C268">
        <v>1334</v>
      </c>
      <c r="D268" t="s">
        <v>31</v>
      </c>
      <c r="E268" s="1">
        <v>45407</v>
      </c>
      <c r="F268">
        <v>2</v>
      </c>
      <c r="G268" t="s">
        <v>32</v>
      </c>
      <c r="H268" t="s">
        <v>81</v>
      </c>
      <c r="I268" t="s">
        <v>1456</v>
      </c>
      <c r="J268" t="s">
        <v>1280</v>
      </c>
      <c r="K268">
        <v>800</v>
      </c>
      <c r="L268">
        <v>250</v>
      </c>
      <c r="M268">
        <v>500</v>
      </c>
      <c r="N268" t="s">
        <v>1457</v>
      </c>
    </row>
    <row r="269" spans="1:14" x14ac:dyDescent="0.2">
      <c r="A269" t="s">
        <v>180</v>
      </c>
      <c r="B269" t="s">
        <v>274</v>
      </c>
      <c r="C269">
        <v>1355</v>
      </c>
      <c r="D269" t="s">
        <v>42</v>
      </c>
      <c r="E269" s="1">
        <v>45518</v>
      </c>
      <c r="F269">
        <v>2</v>
      </c>
      <c r="G269" t="s">
        <v>32</v>
      </c>
      <c r="H269" t="s">
        <v>81</v>
      </c>
      <c r="I269" t="s">
        <v>1498</v>
      </c>
      <c r="J269" t="s">
        <v>1361</v>
      </c>
      <c r="K269">
        <v>870</v>
      </c>
      <c r="L269">
        <v>300</v>
      </c>
      <c r="M269">
        <v>600</v>
      </c>
      <c r="N269" t="s">
        <v>1499</v>
      </c>
    </row>
    <row r="270" spans="1:14" x14ac:dyDescent="0.2">
      <c r="A270" t="s">
        <v>300</v>
      </c>
      <c r="B270" t="s">
        <v>301</v>
      </c>
      <c r="C270">
        <v>1370</v>
      </c>
      <c r="D270" t="s">
        <v>76</v>
      </c>
      <c r="E270" s="1">
        <v>45568</v>
      </c>
      <c r="F270">
        <v>2</v>
      </c>
      <c r="G270" t="s">
        <v>38</v>
      </c>
      <c r="H270" t="s">
        <v>81</v>
      </c>
      <c r="I270" t="s">
        <v>1528</v>
      </c>
      <c r="J270" t="s">
        <v>1361</v>
      </c>
      <c r="K270">
        <v>870</v>
      </c>
      <c r="L270">
        <v>1200</v>
      </c>
      <c r="M270">
        <v>2400</v>
      </c>
      <c r="N270" t="s">
        <v>1529</v>
      </c>
    </row>
    <row r="271" spans="1:14" x14ac:dyDescent="0.2">
      <c r="A271" t="s">
        <v>304</v>
      </c>
      <c r="B271" t="s">
        <v>305</v>
      </c>
      <c r="C271">
        <v>1372</v>
      </c>
      <c r="D271" t="s">
        <v>37</v>
      </c>
      <c r="E271" s="1">
        <v>45466</v>
      </c>
      <c r="F271">
        <v>1</v>
      </c>
      <c r="G271" t="s">
        <v>32</v>
      </c>
      <c r="H271" t="s">
        <v>81</v>
      </c>
      <c r="I271" t="s">
        <v>1532</v>
      </c>
      <c r="J271" t="s">
        <v>1361</v>
      </c>
      <c r="K271">
        <v>870</v>
      </c>
      <c r="L271">
        <v>800</v>
      </c>
      <c r="M271">
        <v>800</v>
      </c>
      <c r="N271" t="s">
        <v>1533</v>
      </c>
    </row>
    <row r="272" spans="1:14" x14ac:dyDescent="0.2">
      <c r="A272" t="s">
        <v>310</v>
      </c>
      <c r="B272" t="s">
        <v>59</v>
      </c>
      <c r="C272">
        <v>1375</v>
      </c>
      <c r="D272" t="s">
        <v>42</v>
      </c>
      <c r="E272" s="1">
        <v>45500</v>
      </c>
      <c r="F272">
        <v>3</v>
      </c>
      <c r="G272" t="s">
        <v>32</v>
      </c>
      <c r="H272" t="s">
        <v>81</v>
      </c>
      <c r="I272" t="s">
        <v>1538</v>
      </c>
      <c r="J272" t="s">
        <v>1361</v>
      </c>
      <c r="K272">
        <v>870</v>
      </c>
      <c r="L272">
        <v>300</v>
      </c>
      <c r="M272">
        <v>900</v>
      </c>
      <c r="N272" t="s">
        <v>1539</v>
      </c>
    </row>
    <row r="273" spans="1:14" x14ac:dyDescent="0.2">
      <c r="A273" t="s">
        <v>313</v>
      </c>
      <c r="B273" t="s">
        <v>314</v>
      </c>
      <c r="C273">
        <v>1377</v>
      </c>
      <c r="D273" t="s">
        <v>92</v>
      </c>
      <c r="E273" s="1">
        <v>45650</v>
      </c>
      <c r="F273">
        <v>3</v>
      </c>
      <c r="G273" t="s">
        <v>52</v>
      </c>
      <c r="H273" t="s">
        <v>81</v>
      </c>
      <c r="I273" t="s">
        <v>1542</v>
      </c>
      <c r="J273" t="s">
        <v>1280</v>
      </c>
      <c r="K273">
        <v>800</v>
      </c>
      <c r="L273">
        <v>600</v>
      </c>
      <c r="M273">
        <v>1800</v>
      </c>
      <c r="N273" t="s">
        <v>1543</v>
      </c>
    </row>
    <row r="274" spans="1:14" x14ac:dyDescent="0.2">
      <c r="A274" t="s">
        <v>317</v>
      </c>
      <c r="B274" t="s">
        <v>318</v>
      </c>
      <c r="C274">
        <v>1379</v>
      </c>
      <c r="D274" t="s">
        <v>42</v>
      </c>
      <c r="E274" s="1">
        <v>45345</v>
      </c>
      <c r="F274">
        <v>2</v>
      </c>
      <c r="G274" t="s">
        <v>32</v>
      </c>
      <c r="H274" t="s">
        <v>81</v>
      </c>
      <c r="I274" t="s">
        <v>1546</v>
      </c>
      <c r="J274" t="s">
        <v>1280</v>
      </c>
      <c r="K274">
        <v>800</v>
      </c>
      <c r="L274">
        <v>300</v>
      </c>
      <c r="M274">
        <v>600</v>
      </c>
      <c r="N274" t="s">
        <v>1547</v>
      </c>
    </row>
    <row r="275" spans="1:14" x14ac:dyDescent="0.2">
      <c r="A275" t="s">
        <v>330</v>
      </c>
      <c r="B275" t="s">
        <v>331</v>
      </c>
      <c r="C275">
        <v>1388</v>
      </c>
      <c r="D275" t="s">
        <v>42</v>
      </c>
      <c r="E275" s="1">
        <v>45462</v>
      </c>
      <c r="F275">
        <v>2</v>
      </c>
      <c r="G275" t="s">
        <v>71</v>
      </c>
      <c r="H275" t="s">
        <v>81</v>
      </c>
      <c r="I275" t="s">
        <v>1564</v>
      </c>
      <c r="J275" t="s">
        <v>1361</v>
      </c>
      <c r="K275">
        <v>870</v>
      </c>
      <c r="L275">
        <v>300</v>
      </c>
      <c r="M275">
        <v>600</v>
      </c>
      <c r="N275" t="s">
        <v>1565</v>
      </c>
    </row>
    <row r="276" spans="1:14" x14ac:dyDescent="0.2">
      <c r="A276" t="s">
        <v>195</v>
      </c>
      <c r="B276" t="s">
        <v>340</v>
      </c>
      <c r="C276">
        <v>1395</v>
      </c>
      <c r="D276" t="s">
        <v>76</v>
      </c>
      <c r="E276" s="1">
        <v>45389</v>
      </c>
      <c r="F276">
        <v>1</v>
      </c>
      <c r="G276" t="s">
        <v>32</v>
      </c>
      <c r="H276" t="s">
        <v>81</v>
      </c>
      <c r="I276" t="s">
        <v>1578</v>
      </c>
      <c r="J276" t="s">
        <v>1361</v>
      </c>
      <c r="K276">
        <v>870</v>
      </c>
      <c r="L276">
        <v>1200</v>
      </c>
      <c r="M276">
        <v>1200</v>
      </c>
      <c r="N276" t="s">
        <v>1579</v>
      </c>
    </row>
    <row r="277" spans="1:14" x14ac:dyDescent="0.2">
      <c r="A277" t="s">
        <v>342</v>
      </c>
      <c r="B277" t="s">
        <v>343</v>
      </c>
      <c r="C277">
        <v>1397</v>
      </c>
      <c r="D277" t="s">
        <v>76</v>
      </c>
      <c r="E277" s="1">
        <v>45338</v>
      </c>
      <c r="F277">
        <v>1</v>
      </c>
      <c r="G277" t="s">
        <v>52</v>
      </c>
      <c r="H277" t="s">
        <v>81</v>
      </c>
      <c r="I277" t="s">
        <v>1582</v>
      </c>
      <c r="J277" t="s">
        <v>1280</v>
      </c>
      <c r="K277">
        <v>800</v>
      </c>
      <c r="L277">
        <v>1200</v>
      </c>
      <c r="M277">
        <v>1200</v>
      </c>
      <c r="N277" t="s">
        <v>1583</v>
      </c>
    </row>
    <row r="278" spans="1:14" x14ac:dyDescent="0.2">
      <c r="A278" t="s">
        <v>349</v>
      </c>
      <c r="B278" t="s">
        <v>350</v>
      </c>
      <c r="C278">
        <v>1401</v>
      </c>
      <c r="D278" t="s">
        <v>76</v>
      </c>
      <c r="E278" s="1">
        <v>45571</v>
      </c>
      <c r="F278">
        <v>1</v>
      </c>
      <c r="G278" t="s">
        <v>32</v>
      </c>
      <c r="H278" t="s">
        <v>81</v>
      </c>
      <c r="I278" t="s">
        <v>1590</v>
      </c>
      <c r="J278" t="s">
        <v>1361</v>
      </c>
      <c r="K278">
        <v>870</v>
      </c>
      <c r="L278">
        <v>1200</v>
      </c>
      <c r="M278">
        <v>1200</v>
      </c>
      <c r="N278" t="s">
        <v>1591</v>
      </c>
    </row>
    <row r="279" spans="1:14" x14ac:dyDescent="0.2">
      <c r="A279" t="s">
        <v>351</v>
      </c>
      <c r="B279" t="s">
        <v>206</v>
      </c>
      <c r="C279">
        <v>1402</v>
      </c>
      <c r="D279" t="s">
        <v>92</v>
      </c>
      <c r="E279" s="1">
        <v>45639</v>
      </c>
      <c r="F279">
        <v>2</v>
      </c>
      <c r="G279" t="s">
        <v>52</v>
      </c>
      <c r="H279" t="s">
        <v>81</v>
      </c>
      <c r="I279" t="s">
        <v>1592</v>
      </c>
      <c r="J279" t="s">
        <v>1280</v>
      </c>
      <c r="K279">
        <v>800</v>
      </c>
      <c r="L279">
        <v>600</v>
      </c>
      <c r="M279">
        <v>1200</v>
      </c>
      <c r="N279" t="s">
        <v>1593</v>
      </c>
    </row>
    <row r="280" spans="1:14" x14ac:dyDescent="0.2">
      <c r="A280" t="s">
        <v>352</v>
      </c>
      <c r="B280" t="s">
        <v>353</v>
      </c>
      <c r="C280">
        <v>1403</v>
      </c>
      <c r="D280" t="s">
        <v>51</v>
      </c>
      <c r="E280" s="1">
        <v>45577</v>
      </c>
      <c r="F280">
        <v>1</v>
      </c>
      <c r="G280" t="s">
        <v>52</v>
      </c>
      <c r="H280" t="s">
        <v>81</v>
      </c>
      <c r="I280" t="s">
        <v>1594</v>
      </c>
      <c r="J280" t="s">
        <v>1361</v>
      </c>
      <c r="K280">
        <v>870</v>
      </c>
      <c r="L280">
        <v>250</v>
      </c>
      <c r="M280">
        <v>250</v>
      </c>
      <c r="N280" t="s">
        <v>1595</v>
      </c>
    </row>
    <row r="281" spans="1:14" x14ac:dyDescent="0.2">
      <c r="A281" t="s">
        <v>385</v>
      </c>
      <c r="B281" t="s">
        <v>376</v>
      </c>
      <c r="C281">
        <v>1422</v>
      </c>
      <c r="D281" t="s">
        <v>51</v>
      </c>
      <c r="E281" s="1">
        <v>45498</v>
      </c>
      <c r="F281">
        <v>1</v>
      </c>
      <c r="G281" t="s">
        <v>71</v>
      </c>
      <c r="H281" t="s">
        <v>81</v>
      </c>
      <c r="I281" t="s">
        <v>1632</v>
      </c>
      <c r="J281" t="s">
        <v>1280</v>
      </c>
      <c r="K281">
        <v>800</v>
      </c>
      <c r="L281">
        <v>250</v>
      </c>
      <c r="M281">
        <v>250</v>
      </c>
      <c r="N281" t="s">
        <v>1633</v>
      </c>
    </row>
    <row r="282" spans="1:14" x14ac:dyDescent="0.2">
      <c r="A282" t="s">
        <v>388</v>
      </c>
      <c r="B282" t="s">
        <v>268</v>
      </c>
      <c r="C282">
        <v>1424</v>
      </c>
      <c r="D282" t="s">
        <v>37</v>
      </c>
      <c r="E282" s="1">
        <v>45321</v>
      </c>
      <c r="F282">
        <v>2</v>
      </c>
      <c r="G282" t="s">
        <v>38</v>
      </c>
      <c r="H282" t="s">
        <v>81</v>
      </c>
      <c r="I282" t="s">
        <v>1636</v>
      </c>
      <c r="J282" t="s">
        <v>1280</v>
      </c>
      <c r="K282">
        <v>800</v>
      </c>
      <c r="L282">
        <v>800</v>
      </c>
      <c r="M282">
        <v>1600</v>
      </c>
      <c r="N282" t="s">
        <v>1637</v>
      </c>
    </row>
    <row r="283" spans="1:14" x14ac:dyDescent="0.2">
      <c r="A283" t="s">
        <v>398</v>
      </c>
      <c r="B283" t="s">
        <v>399</v>
      </c>
      <c r="C283">
        <v>1431</v>
      </c>
      <c r="D283" t="s">
        <v>76</v>
      </c>
      <c r="E283" s="1">
        <v>45589</v>
      </c>
      <c r="F283">
        <v>1</v>
      </c>
      <c r="G283" t="s">
        <v>52</v>
      </c>
      <c r="H283" t="s">
        <v>81</v>
      </c>
      <c r="I283" t="s">
        <v>1650</v>
      </c>
      <c r="J283" t="s">
        <v>1361</v>
      </c>
      <c r="K283">
        <v>870</v>
      </c>
      <c r="L283">
        <v>1200</v>
      </c>
      <c r="M283">
        <v>1200</v>
      </c>
      <c r="N283" t="s">
        <v>1651</v>
      </c>
    </row>
    <row r="284" spans="1:14" x14ac:dyDescent="0.2">
      <c r="A284" t="s">
        <v>407</v>
      </c>
      <c r="B284" t="s">
        <v>408</v>
      </c>
      <c r="C284">
        <v>1437</v>
      </c>
      <c r="D284" t="s">
        <v>51</v>
      </c>
      <c r="E284" s="1">
        <v>45344</v>
      </c>
      <c r="F284">
        <v>2</v>
      </c>
      <c r="G284" t="s">
        <v>32</v>
      </c>
      <c r="H284" t="s">
        <v>81</v>
      </c>
      <c r="I284" t="s">
        <v>1662</v>
      </c>
      <c r="J284" t="s">
        <v>1361</v>
      </c>
      <c r="K284">
        <v>870</v>
      </c>
      <c r="L284">
        <v>250</v>
      </c>
      <c r="M284">
        <v>500</v>
      </c>
      <c r="N284" t="s">
        <v>1663</v>
      </c>
    </row>
    <row r="285" spans="1:14" x14ac:dyDescent="0.2">
      <c r="A285" t="s">
        <v>420</v>
      </c>
      <c r="B285" t="s">
        <v>421</v>
      </c>
      <c r="C285">
        <v>1445</v>
      </c>
      <c r="D285" t="s">
        <v>92</v>
      </c>
      <c r="E285" s="1">
        <v>45540</v>
      </c>
      <c r="F285">
        <v>3</v>
      </c>
      <c r="G285" t="s">
        <v>52</v>
      </c>
      <c r="H285" t="s">
        <v>81</v>
      </c>
      <c r="I285" t="s">
        <v>1678</v>
      </c>
      <c r="J285" t="s">
        <v>1361</v>
      </c>
      <c r="K285">
        <v>870</v>
      </c>
      <c r="L285">
        <v>600</v>
      </c>
      <c r="M285">
        <v>1800</v>
      </c>
      <c r="N285" t="s">
        <v>1679</v>
      </c>
    </row>
    <row r="286" spans="1:14" x14ac:dyDescent="0.2">
      <c r="A286" t="s">
        <v>428</v>
      </c>
      <c r="B286" t="s">
        <v>429</v>
      </c>
      <c r="C286">
        <v>1449</v>
      </c>
      <c r="D286" t="s">
        <v>76</v>
      </c>
      <c r="E286" s="1">
        <v>45560</v>
      </c>
      <c r="F286">
        <v>3</v>
      </c>
      <c r="G286" t="s">
        <v>52</v>
      </c>
      <c r="H286" t="s">
        <v>81</v>
      </c>
      <c r="I286" t="s">
        <v>1686</v>
      </c>
      <c r="J286" t="s">
        <v>1361</v>
      </c>
      <c r="K286">
        <v>870</v>
      </c>
      <c r="L286">
        <v>1200</v>
      </c>
      <c r="M286">
        <v>3600</v>
      </c>
      <c r="N286" t="s">
        <v>1687</v>
      </c>
    </row>
    <row r="287" spans="1:14" x14ac:dyDescent="0.2">
      <c r="A287" t="s">
        <v>430</v>
      </c>
      <c r="B287" t="s">
        <v>252</v>
      </c>
      <c r="C287">
        <v>1450</v>
      </c>
      <c r="D287" t="s">
        <v>76</v>
      </c>
      <c r="E287" s="1">
        <v>45611</v>
      </c>
      <c r="F287">
        <v>1</v>
      </c>
      <c r="G287" t="s">
        <v>38</v>
      </c>
      <c r="H287" t="s">
        <v>81</v>
      </c>
      <c r="I287" t="s">
        <v>1688</v>
      </c>
      <c r="J287" t="s">
        <v>1280</v>
      </c>
      <c r="K287">
        <v>800</v>
      </c>
      <c r="L287">
        <v>1200</v>
      </c>
      <c r="M287">
        <v>1200</v>
      </c>
      <c r="N287" t="s">
        <v>1689</v>
      </c>
    </row>
    <row r="288" spans="1:14" x14ac:dyDescent="0.2">
      <c r="A288" t="s">
        <v>348</v>
      </c>
      <c r="B288" t="s">
        <v>457</v>
      </c>
      <c r="C288">
        <v>1469</v>
      </c>
      <c r="D288" t="s">
        <v>92</v>
      </c>
      <c r="E288" s="1">
        <v>45531</v>
      </c>
      <c r="F288">
        <v>2</v>
      </c>
      <c r="G288" t="s">
        <v>71</v>
      </c>
      <c r="H288" t="s">
        <v>81</v>
      </c>
      <c r="I288" t="s">
        <v>1726</v>
      </c>
      <c r="J288" t="s">
        <v>1280</v>
      </c>
      <c r="K288">
        <v>800</v>
      </c>
      <c r="L288">
        <v>600</v>
      </c>
      <c r="M288">
        <v>1200</v>
      </c>
      <c r="N288" t="s">
        <v>1727</v>
      </c>
    </row>
    <row r="289" spans="1:14" x14ac:dyDescent="0.2">
      <c r="A289" t="s">
        <v>477</v>
      </c>
      <c r="B289" t="s">
        <v>478</v>
      </c>
      <c r="C289">
        <v>1481</v>
      </c>
      <c r="D289" t="s">
        <v>76</v>
      </c>
      <c r="E289" s="1">
        <v>45603</v>
      </c>
      <c r="F289">
        <v>1</v>
      </c>
      <c r="G289" t="s">
        <v>52</v>
      </c>
      <c r="H289" t="s">
        <v>81</v>
      </c>
      <c r="I289" t="s">
        <v>1750</v>
      </c>
      <c r="J289" t="s">
        <v>1280</v>
      </c>
      <c r="K289">
        <v>800</v>
      </c>
      <c r="L289">
        <v>1200</v>
      </c>
      <c r="M289">
        <v>1200</v>
      </c>
      <c r="N289" t="s">
        <v>1751</v>
      </c>
    </row>
    <row r="290" spans="1:14" x14ac:dyDescent="0.2">
      <c r="A290" t="s">
        <v>480</v>
      </c>
      <c r="B290" t="s">
        <v>481</v>
      </c>
      <c r="C290">
        <v>1483</v>
      </c>
      <c r="D290" t="s">
        <v>51</v>
      </c>
      <c r="E290" s="1">
        <v>45436</v>
      </c>
      <c r="F290">
        <v>2</v>
      </c>
      <c r="G290" t="s">
        <v>32</v>
      </c>
      <c r="H290" t="s">
        <v>81</v>
      </c>
      <c r="I290" t="s">
        <v>1754</v>
      </c>
      <c r="J290" t="s">
        <v>1361</v>
      </c>
      <c r="K290">
        <v>870</v>
      </c>
      <c r="L290">
        <v>250</v>
      </c>
      <c r="M290">
        <v>500</v>
      </c>
      <c r="N290" t="s">
        <v>1755</v>
      </c>
    </row>
    <row r="291" spans="1:14" x14ac:dyDescent="0.2">
      <c r="A291" t="s">
        <v>496</v>
      </c>
      <c r="B291" t="s">
        <v>177</v>
      </c>
      <c r="C291">
        <v>1494</v>
      </c>
      <c r="D291" t="s">
        <v>51</v>
      </c>
      <c r="E291" s="1">
        <v>45371</v>
      </c>
      <c r="F291">
        <v>3</v>
      </c>
      <c r="G291" t="s">
        <v>32</v>
      </c>
      <c r="H291" t="s">
        <v>81</v>
      </c>
      <c r="I291" t="s">
        <v>1776</v>
      </c>
      <c r="J291" t="s">
        <v>1361</v>
      </c>
      <c r="K291">
        <v>870</v>
      </c>
      <c r="L291">
        <v>250</v>
      </c>
      <c r="M291">
        <v>750</v>
      </c>
      <c r="N291" t="s">
        <v>1777</v>
      </c>
    </row>
    <row r="292" spans="1:14" x14ac:dyDescent="0.2">
      <c r="A292" t="s">
        <v>518</v>
      </c>
      <c r="B292" t="s">
        <v>519</v>
      </c>
      <c r="C292">
        <v>1512</v>
      </c>
      <c r="D292" t="s">
        <v>42</v>
      </c>
      <c r="E292" s="1">
        <v>45387</v>
      </c>
      <c r="F292">
        <v>3</v>
      </c>
      <c r="G292" t="s">
        <v>32</v>
      </c>
      <c r="H292" t="s">
        <v>81</v>
      </c>
      <c r="I292" t="s">
        <v>1812</v>
      </c>
      <c r="J292" t="s">
        <v>1280</v>
      </c>
      <c r="K292">
        <v>800</v>
      </c>
      <c r="L292">
        <v>300</v>
      </c>
      <c r="M292">
        <v>900</v>
      </c>
      <c r="N292" t="s">
        <v>1813</v>
      </c>
    </row>
    <row r="293" spans="1:14" x14ac:dyDescent="0.2">
      <c r="A293" t="s">
        <v>534</v>
      </c>
      <c r="B293" t="s">
        <v>527</v>
      </c>
      <c r="C293">
        <v>1524</v>
      </c>
      <c r="D293" t="s">
        <v>31</v>
      </c>
      <c r="E293" s="1">
        <v>45310</v>
      </c>
      <c r="F293">
        <v>1</v>
      </c>
      <c r="G293" t="s">
        <v>32</v>
      </c>
      <c r="H293" t="s">
        <v>81</v>
      </c>
      <c r="I293" t="s">
        <v>1836</v>
      </c>
      <c r="J293" t="s">
        <v>1280</v>
      </c>
      <c r="K293">
        <v>800</v>
      </c>
      <c r="L293">
        <v>250</v>
      </c>
      <c r="M293">
        <v>250</v>
      </c>
      <c r="N293" t="s">
        <v>1837</v>
      </c>
    </row>
    <row r="294" spans="1:14" x14ac:dyDescent="0.2">
      <c r="A294" t="s">
        <v>526</v>
      </c>
      <c r="B294" t="s">
        <v>203</v>
      </c>
      <c r="C294">
        <v>1529</v>
      </c>
      <c r="D294" t="s">
        <v>37</v>
      </c>
      <c r="E294" s="1">
        <v>45505</v>
      </c>
      <c r="F294">
        <v>2</v>
      </c>
      <c r="G294" t="s">
        <v>52</v>
      </c>
      <c r="H294" t="s">
        <v>81</v>
      </c>
      <c r="I294" t="s">
        <v>1846</v>
      </c>
      <c r="J294" t="s">
        <v>1280</v>
      </c>
      <c r="K294">
        <v>800</v>
      </c>
      <c r="L294">
        <v>800</v>
      </c>
      <c r="M294">
        <v>1600</v>
      </c>
      <c r="N294" t="s">
        <v>1847</v>
      </c>
    </row>
    <row r="295" spans="1:14" x14ac:dyDescent="0.2">
      <c r="A295" t="s">
        <v>540</v>
      </c>
      <c r="B295" t="s">
        <v>541</v>
      </c>
      <c r="C295">
        <v>1531</v>
      </c>
      <c r="D295" t="s">
        <v>31</v>
      </c>
      <c r="E295" s="1">
        <v>45594</v>
      </c>
      <c r="F295">
        <v>3</v>
      </c>
      <c r="G295" t="s">
        <v>32</v>
      </c>
      <c r="H295" t="s">
        <v>81</v>
      </c>
      <c r="I295" t="s">
        <v>1850</v>
      </c>
      <c r="J295" t="s">
        <v>1361</v>
      </c>
      <c r="K295">
        <v>870</v>
      </c>
      <c r="L295">
        <v>250</v>
      </c>
      <c r="M295">
        <v>750</v>
      </c>
      <c r="N295" t="s">
        <v>1851</v>
      </c>
    </row>
    <row r="296" spans="1:14" x14ac:dyDescent="0.2">
      <c r="A296" t="s">
        <v>361</v>
      </c>
      <c r="B296" t="s">
        <v>295</v>
      </c>
      <c r="C296">
        <v>1541</v>
      </c>
      <c r="D296" t="s">
        <v>42</v>
      </c>
      <c r="E296" s="1">
        <v>45560</v>
      </c>
      <c r="F296">
        <v>3</v>
      </c>
      <c r="G296" t="s">
        <v>32</v>
      </c>
      <c r="H296" t="s">
        <v>81</v>
      </c>
      <c r="I296" t="s">
        <v>1870</v>
      </c>
      <c r="J296" t="s">
        <v>1361</v>
      </c>
      <c r="K296">
        <v>870</v>
      </c>
      <c r="L296">
        <v>300</v>
      </c>
      <c r="M296">
        <v>900</v>
      </c>
      <c r="N296" t="s">
        <v>1871</v>
      </c>
    </row>
    <row r="297" spans="1:14" x14ac:dyDescent="0.2">
      <c r="A297" t="s">
        <v>554</v>
      </c>
      <c r="B297" t="s">
        <v>555</v>
      </c>
      <c r="C297">
        <v>1542</v>
      </c>
      <c r="D297" t="s">
        <v>37</v>
      </c>
      <c r="E297" s="1">
        <v>45535</v>
      </c>
      <c r="F297">
        <v>2</v>
      </c>
      <c r="G297" t="s">
        <v>32</v>
      </c>
      <c r="H297" t="s">
        <v>81</v>
      </c>
      <c r="I297" t="s">
        <v>1872</v>
      </c>
      <c r="J297" t="s">
        <v>1280</v>
      </c>
      <c r="K297">
        <v>800</v>
      </c>
      <c r="L297">
        <v>800</v>
      </c>
      <c r="M297">
        <v>1600</v>
      </c>
      <c r="N297" t="s">
        <v>1873</v>
      </c>
    </row>
    <row r="298" spans="1:14" x14ac:dyDescent="0.2">
      <c r="A298" t="s">
        <v>585</v>
      </c>
      <c r="B298" t="s">
        <v>124</v>
      </c>
      <c r="C298">
        <v>1563</v>
      </c>
      <c r="D298" t="s">
        <v>37</v>
      </c>
      <c r="E298" s="1">
        <v>45648</v>
      </c>
      <c r="F298">
        <v>1</v>
      </c>
      <c r="G298" t="s">
        <v>32</v>
      </c>
      <c r="H298" t="s">
        <v>81</v>
      </c>
      <c r="I298" t="s">
        <v>1914</v>
      </c>
      <c r="J298" t="s">
        <v>1361</v>
      </c>
      <c r="K298">
        <v>870</v>
      </c>
      <c r="L298">
        <v>800</v>
      </c>
      <c r="M298">
        <v>800</v>
      </c>
      <c r="N298" t="s">
        <v>1915</v>
      </c>
    </row>
    <row r="299" spans="1:14" x14ac:dyDescent="0.2">
      <c r="A299" t="s">
        <v>591</v>
      </c>
      <c r="B299" t="s">
        <v>592</v>
      </c>
      <c r="C299">
        <v>1567</v>
      </c>
      <c r="D299" t="s">
        <v>51</v>
      </c>
      <c r="E299" s="1">
        <v>45568</v>
      </c>
      <c r="F299">
        <v>2</v>
      </c>
      <c r="G299" t="s">
        <v>38</v>
      </c>
      <c r="H299" t="s">
        <v>81</v>
      </c>
      <c r="I299" t="s">
        <v>1922</v>
      </c>
      <c r="J299" t="s">
        <v>1280</v>
      </c>
      <c r="K299">
        <v>800</v>
      </c>
      <c r="L299">
        <v>250</v>
      </c>
      <c r="M299">
        <v>500</v>
      </c>
      <c r="N299" t="s">
        <v>1923</v>
      </c>
    </row>
    <row r="300" spans="1:14" x14ac:dyDescent="0.2">
      <c r="A300" t="s">
        <v>601</v>
      </c>
      <c r="B300" t="s">
        <v>602</v>
      </c>
      <c r="C300">
        <v>1576</v>
      </c>
      <c r="D300" t="s">
        <v>51</v>
      </c>
      <c r="E300" s="1">
        <v>45346</v>
      </c>
      <c r="F300">
        <v>2</v>
      </c>
      <c r="G300" t="s">
        <v>32</v>
      </c>
      <c r="H300" t="s">
        <v>81</v>
      </c>
      <c r="I300" t="s">
        <v>1940</v>
      </c>
      <c r="J300" t="s">
        <v>1280</v>
      </c>
      <c r="K300">
        <v>800</v>
      </c>
      <c r="L300">
        <v>250</v>
      </c>
      <c r="M300">
        <v>500</v>
      </c>
      <c r="N300" t="s">
        <v>1941</v>
      </c>
    </row>
    <row r="301" spans="1:14" x14ac:dyDescent="0.2">
      <c r="A301" t="s">
        <v>235</v>
      </c>
      <c r="B301" t="s">
        <v>607</v>
      </c>
      <c r="C301">
        <v>1580</v>
      </c>
      <c r="D301" t="s">
        <v>42</v>
      </c>
      <c r="E301" s="1">
        <v>45379</v>
      </c>
      <c r="F301">
        <v>3</v>
      </c>
      <c r="G301" t="s">
        <v>32</v>
      </c>
      <c r="H301" t="s">
        <v>81</v>
      </c>
      <c r="I301" t="s">
        <v>1948</v>
      </c>
      <c r="J301" t="s">
        <v>1361</v>
      </c>
      <c r="K301">
        <v>870</v>
      </c>
      <c r="L301">
        <v>300</v>
      </c>
      <c r="M301">
        <v>900</v>
      </c>
      <c r="N301" t="s">
        <v>1949</v>
      </c>
    </row>
    <row r="302" spans="1:14" x14ac:dyDescent="0.2">
      <c r="A302" t="s">
        <v>608</v>
      </c>
      <c r="B302" t="s">
        <v>454</v>
      </c>
      <c r="C302">
        <v>1581</v>
      </c>
      <c r="D302" t="s">
        <v>92</v>
      </c>
      <c r="E302" s="1">
        <v>45604</v>
      </c>
      <c r="F302">
        <v>3</v>
      </c>
      <c r="G302" t="s">
        <v>52</v>
      </c>
      <c r="H302" t="s">
        <v>81</v>
      </c>
      <c r="I302" t="s">
        <v>1950</v>
      </c>
      <c r="J302" t="s">
        <v>1361</v>
      </c>
      <c r="K302">
        <v>870</v>
      </c>
      <c r="L302">
        <v>600</v>
      </c>
      <c r="M302">
        <v>1800</v>
      </c>
      <c r="N302" t="s">
        <v>1951</v>
      </c>
    </row>
    <row r="303" spans="1:14" x14ac:dyDescent="0.2">
      <c r="A303" t="s">
        <v>619</v>
      </c>
      <c r="B303" t="s">
        <v>620</v>
      </c>
      <c r="C303">
        <v>1592</v>
      </c>
      <c r="D303" t="s">
        <v>31</v>
      </c>
      <c r="E303" s="1">
        <v>45446</v>
      </c>
      <c r="F303">
        <v>1</v>
      </c>
      <c r="G303" t="s">
        <v>71</v>
      </c>
      <c r="H303" t="s">
        <v>81</v>
      </c>
      <c r="I303" t="s">
        <v>1972</v>
      </c>
      <c r="J303" t="s">
        <v>1280</v>
      </c>
      <c r="K303">
        <v>800</v>
      </c>
      <c r="L303">
        <v>250</v>
      </c>
      <c r="M303">
        <v>250</v>
      </c>
      <c r="N303" t="s">
        <v>1973</v>
      </c>
    </row>
    <row r="304" spans="1:14" x14ac:dyDescent="0.2">
      <c r="A304" t="s">
        <v>275</v>
      </c>
      <c r="B304" t="s">
        <v>621</v>
      </c>
      <c r="C304">
        <v>1593</v>
      </c>
      <c r="D304" t="s">
        <v>76</v>
      </c>
      <c r="E304" s="1">
        <v>45506</v>
      </c>
      <c r="F304">
        <v>3</v>
      </c>
      <c r="G304" t="s">
        <v>32</v>
      </c>
      <c r="H304" t="s">
        <v>81</v>
      </c>
      <c r="I304" t="s">
        <v>1974</v>
      </c>
      <c r="J304" t="s">
        <v>1280</v>
      </c>
      <c r="K304">
        <v>800</v>
      </c>
      <c r="L304">
        <v>1200</v>
      </c>
      <c r="M304">
        <v>3600</v>
      </c>
      <c r="N304" t="s">
        <v>1975</v>
      </c>
    </row>
    <row r="305" spans="1:14" x14ac:dyDescent="0.2">
      <c r="A305" t="s">
        <v>351</v>
      </c>
      <c r="B305" t="s">
        <v>531</v>
      </c>
      <c r="C305">
        <v>1596</v>
      </c>
      <c r="D305" t="s">
        <v>92</v>
      </c>
      <c r="E305" s="1">
        <v>45464</v>
      </c>
      <c r="F305">
        <v>1</v>
      </c>
      <c r="G305" t="s">
        <v>71</v>
      </c>
      <c r="H305" t="s">
        <v>81</v>
      </c>
      <c r="I305" t="s">
        <v>1980</v>
      </c>
      <c r="J305" t="s">
        <v>1280</v>
      </c>
      <c r="K305">
        <v>800</v>
      </c>
      <c r="L305">
        <v>600</v>
      </c>
      <c r="M305">
        <v>600</v>
      </c>
      <c r="N305" t="s">
        <v>1981</v>
      </c>
    </row>
    <row r="306" spans="1:14" x14ac:dyDescent="0.2">
      <c r="A306" t="s">
        <v>306</v>
      </c>
      <c r="B306" t="s">
        <v>307</v>
      </c>
      <c r="C306">
        <v>1373</v>
      </c>
      <c r="D306" t="s">
        <v>76</v>
      </c>
      <c r="E306" s="1">
        <v>45405</v>
      </c>
      <c r="F306">
        <v>2</v>
      </c>
      <c r="G306" t="s">
        <v>52</v>
      </c>
      <c r="H306" t="s">
        <v>81</v>
      </c>
      <c r="I306" t="s">
        <v>2018</v>
      </c>
      <c r="J306" t="s">
        <v>1361</v>
      </c>
      <c r="K306">
        <v>870</v>
      </c>
      <c r="L306">
        <v>1200</v>
      </c>
      <c r="M306">
        <v>2400</v>
      </c>
      <c r="N306" t="s">
        <v>2019</v>
      </c>
    </row>
    <row r="307" spans="1:14" x14ac:dyDescent="0.2">
      <c r="A307" t="s">
        <v>660</v>
      </c>
      <c r="B307" t="s">
        <v>661</v>
      </c>
      <c r="C307">
        <v>1627</v>
      </c>
      <c r="D307" t="s">
        <v>76</v>
      </c>
      <c r="E307" s="1">
        <v>45602</v>
      </c>
      <c r="F307">
        <v>1</v>
      </c>
      <c r="G307" t="s">
        <v>32</v>
      </c>
      <c r="H307" t="s">
        <v>81</v>
      </c>
      <c r="I307" t="s">
        <v>2044</v>
      </c>
      <c r="J307" t="s">
        <v>1280</v>
      </c>
      <c r="K307">
        <v>800</v>
      </c>
      <c r="L307">
        <v>1200</v>
      </c>
      <c r="M307">
        <v>1200</v>
      </c>
      <c r="N307" t="s">
        <v>2045</v>
      </c>
    </row>
    <row r="308" spans="1:14" x14ac:dyDescent="0.2">
      <c r="A308" t="s">
        <v>172</v>
      </c>
      <c r="B308" t="s">
        <v>327</v>
      </c>
      <c r="C308">
        <v>1629</v>
      </c>
      <c r="D308" t="s">
        <v>76</v>
      </c>
      <c r="E308" s="1">
        <v>45341</v>
      </c>
      <c r="F308">
        <v>3</v>
      </c>
      <c r="G308" t="s">
        <v>52</v>
      </c>
      <c r="H308" t="s">
        <v>81</v>
      </c>
      <c r="I308" t="s">
        <v>2048</v>
      </c>
      <c r="J308" t="s">
        <v>1361</v>
      </c>
      <c r="K308">
        <v>870</v>
      </c>
      <c r="L308">
        <v>1200</v>
      </c>
      <c r="M308">
        <v>3600</v>
      </c>
      <c r="N308" t="s">
        <v>2049</v>
      </c>
    </row>
    <row r="309" spans="1:14" x14ac:dyDescent="0.2">
      <c r="A309" t="s">
        <v>667</v>
      </c>
      <c r="B309" t="s">
        <v>668</v>
      </c>
      <c r="C309">
        <v>1634</v>
      </c>
      <c r="D309" t="s">
        <v>37</v>
      </c>
      <c r="E309" s="1">
        <v>45419</v>
      </c>
      <c r="F309">
        <v>3</v>
      </c>
      <c r="G309" t="s">
        <v>52</v>
      </c>
      <c r="H309" t="s">
        <v>81</v>
      </c>
      <c r="I309" t="s">
        <v>2058</v>
      </c>
      <c r="J309" t="s">
        <v>1280</v>
      </c>
      <c r="K309">
        <v>800</v>
      </c>
      <c r="L309">
        <v>800</v>
      </c>
      <c r="M309">
        <v>2400</v>
      </c>
      <c r="N309" t="s">
        <v>2059</v>
      </c>
    </row>
    <row r="310" spans="1:14" x14ac:dyDescent="0.2">
      <c r="A310" t="s">
        <v>696</v>
      </c>
      <c r="B310" t="s">
        <v>376</v>
      </c>
      <c r="C310">
        <v>1655</v>
      </c>
      <c r="D310" t="s">
        <v>37</v>
      </c>
      <c r="E310" s="1">
        <v>45609</v>
      </c>
      <c r="F310">
        <v>3</v>
      </c>
      <c r="G310" t="s">
        <v>32</v>
      </c>
      <c r="H310" t="s">
        <v>81</v>
      </c>
      <c r="I310" t="s">
        <v>2100</v>
      </c>
      <c r="J310" t="s">
        <v>1361</v>
      </c>
      <c r="K310">
        <v>870</v>
      </c>
      <c r="L310">
        <v>800</v>
      </c>
      <c r="M310">
        <v>2400</v>
      </c>
      <c r="N310" t="s">
        <v>2101</v>
      </c>
    </row>
    <row r="311" spans="1:14" x14ac:dyDescent="0.2">
      <c r="A311" t="s">
        <v>699</v>
      </c>
      <c r="B311" t="s">
        <v>700</v>
      </c>
      <c r="C311">
        <v>1659</v>
      </c>
      <c r="D311" t="s">
        <v>31</v>
      </c>
      <c r="E311" s="1">
        <v>45457</v>
      </c>
      <c r="F311">
        <v>3</v>
      </c>
      <c r="G311" t="s">
        <v>52</v>
      </c>
      <c r="H311" t="s">
        <v>81</v>
      </c>
      <c r="I311" t="s">
        <v>2108</v>
      </c>
      <c r="J311" t="s">
        <v>1361</v>
      </c>
      <c r="K311">
        <v>870</v>
      </c>
      <c r="L311">
        <v>250</v>
      </c>
      <c r="M311">
        <v>750</v>
      </c>
      <c r="N311" t="s">
        <v>2109</v>
      </c>
    </row>
    <row r="312" spans="1:14" x14ac:dyDescent="0.2">
      <c r="A312" t="s">
        <v>708</v>
      </c>
      <c r="B312" t="s">
        <v>709</v>
      </c>
      <c r="C312">
        <v>1666</v>
      </c>
      <c r="D312" t="s">
        <v>37</v>
      </c>
      <c r="E312" s="1">
        <v>45391</v>
      </c>
      <c r="F312">
        <v>2</v>
      </c>
      <c r="G312" t="s">
        <v>32</v>
      </c>
      <c r="H312" t="s">
        <v>81</v>
      </c>
      <c r="I312" t="s">
        <v>2122</v>
      </c>
      <c r="J312" t="s">
        <v>1361</v>
      </c>
      <c r="K312">
        <v>870</v>
      </c>
      <c r="L312">
        <v>800</v>
      </c>
      <c r="M312">
        <v>1600</v>
      </c>
      <c r="N312" t="s">
        <v>2123</v>
      </c>
    </row>
    <row r="313" spans="1:14" x14ac:dyDescent="0.2">
      <c r="A313" t="s">
        <v>726</v>
      </c>
      <c r="B313" t="s">
        <v>206</v>
      </c>
      <c r="C313">
        <v>1679</v>
      </c>
      <c r="D313" t="s">
        <v>92</v>
      </c>
      <c r="E313" s="1">
        <v>45530</v>
      </c>
      <c r="F313">
        <v>1</v>
      </c>
      <c r="G313" t="s">
        <v>32</v>
      </c>
      <c r="H313" t="s">
        <v>81</v>
      </c>
      <c r="I313" t="s">
        <v>2148</v>
      </c>
      <c r="J313" t="s">
        <v>1361</v>
      </c>
      <c r="K313">
        <v>870</v>
      </c>
      <c r="L313">
        <v>600</v>
      </c>
      <c r="M313">
        <v>600</v>
      </c>
      <c r="N313" t="s">
        <v>2149</v>
      </c>
    </row>
    <row r="314" spans="1:14" x14ac:dyDescent="0.2">
      <c r="A314" t="s">
        <v>734</v>
      </c>
      <c r="B314" t="s">
        <v>188</v>
      </c>
      <c r="C314">
        <v>1685</v>
      </c>
      <c r="D314" t="s">
        <v>31</v>
      </c>
      <c r="E314" s="1">
        <v>45375</v>
      </c>
      <c r="F314">
        <v>1</v>
      </c>
      <c r="G314" t="s">
        <v>32</v>
      </c>
      <c r="H314" t="s">
        <v>81</v>
      </c>
      <c r="I314" t="s">
        <v>2160</v>
      </c>
      <c r="J314" t="s">
        <v>1280</v>
      </c>
      <c r="K314">
        <v>800</v>
      </c>
      <c r="L314">
        <v>250</v>
      </c>
      <c r="M314">
        <v>250</v>
      </c>
      <c r="N314" t="s">
        <v>2161</v>
      </c>
    </row>
    <row r="315" spans="1:14" x14ac:dyDescent="0.2">
      <c r="A315" t="s">
        <v>217</v>
      </c>
      <c r="B315" t="s">
        <v>735</v>
      </c>
      <c r="C315">
        <v>1686</v>
      </c>
      <c r="D315" t="s">
        <v>76</v>
      </c>
      <c r="E315" s="1">
        <v>45591</v>
      </c>
      <c r="F315">
        <v>2</v>
      </c>
      <c r="G315" t="s">
        <v>32</v>
      </c>
      <c r="H315" t="s">
        <v>81</v>
      </c>
      <c r="I315" t="s">
        <v>2162</v>
      </c>
      <c r="J315" t="s">
        <v>1280</v>
      </c>
      <c r="K315">
        <v>800</v>
      </c>
      <c r="L315">
        <v>1200</v>
      </c>
      <c r="M315">
        <v>2400</v>
      </c>
      <c r="N315" t="s">
        <v>2163</v>
      </c>
    </row>
    <row r="316" spans="1:14" x14ac:dyDescent="0.2">
      <c r="A316" t="s">
        <v>737</v>
      </c>
      <c r="B316" t="s">
        <v>405</v>
      </c>
      <c r="C316">
        <v>1688</v>
      </c>
      <c r="D316" t="s">
        <v>51</v>
      </c>
      <c r="E316" s="1">
        <v>45462</v>
      </c>
      <c r="F316">
        <v>3</v>
      </c>
      <c r="G316" t="s">
        <v>32</v>
      </c>
      <c r="H316" t="s">
        <v>81</v>
      </c>
      <c r="I316" t="s">
        <v>2166</v>
      </c>
      <c r="J316" t="s">
        <v>1361</v>
      </c>
      <c r="K316">
        <v>870</v>
      </c>
      <c r="L316">
        <v>250</v>
      </c>
      <c r="M316">
        <v>750</v>
      </c>
      <c r="N316" t="s">
        <v>2167</v>
      </c>
    </row>
    <row r="317" spans="1:14" x14ac:dyDescent="0.2">
      <c r="A317" t="s">
        <v>740</v>
      </c>
      <c r="B317" t="s">
        <v>741</v>
      </c>
      <c r="C317">
        <v>1690</v>
      </c>
      <c r="D317" t="s">
        <v>42</v>
      </c>
      <c r="E317" s="1">
        <v>45497</v>
      </c>
      <c r="F317">
        <v>2</v>
      </c>
      <c r="G317" t="s">
        <v>32</v>
      </c>
      <c r="H317" t="s">
        <v>81</v>
      </c>
      <c r="I317" t="s">
        <v>2170</v>
      </c>
      <c r="J317" t="s">
        <v>1280</v>
      </c>
      <c r="K317">
        <v>800</v>
      </c>
      <c r="L317">
        <v>300</v>
      </c>
      <c r="M317">
        <v>600</v>
      </c>
      <c r="N317" t="s">
        <v>2171</v>
      </c>
    </row>
    <row r="318" spans="1:14" x14ac:dyDescent="0.2">
      <c r="A318" t="s">
        <v>742</v>
      </c>
      <c r="B318" t="s">
        <v>743</v>
      </c>
      <c r="C318">
        <v>1691</v>
      </c>
      <c r="D318" t="s">
        <v>42</v>
      </c>
      <c r="E318" s="1">
        <v>45353</v>
      </c>
      <c r="F318">
        <v>1</v>
      </c>
      <c r="G318" t="s">
        <v>52</v>
      </c>
      <c r="H318" t="s">
        <v>81</v>
      </c>
      <c r="I318" t="s">
        <v>2172</v>
      </c>
      <c r="J318" t="s">
        <v>1361</v>
      </c>
      <c r="K318">
        <v>870</v>
      </c>
      <c r="L318">
        <v>300</v>
      </c>
      <c r="M318">
        <v>300</v>
      </c>
      <c r="N318" t="s">
        <v>2173</v>
      </c>
    </row>
    <row r="319" spans="1:14" x14ac:dyDescent="0.2">
      <c r="A319" t="s">
        <v>758</v>
      </c>
      <c r="B319" t="s">
        <v>632</v>
      </c>
      <c r="C319">
        <v>1703</v>
      </c>
      <c r="D319" t="s">
        <v>42</v>
      </c>
      <c r="E319" s="1">
        <v>45604</v>
      </c>
      <c r="F319">
        <v>2</v>
      </c>
      <c r="G319" t="s">
        <v>52</v>
      </c>
      <c r="H319" t="s">
        <v>81</v>
      </c>
      <c r="I319" t="s">
        <v>2196</v>
      </c>
      <c r="J319" t="s">
        <v>1280</v>
      </c>
      <c r="K319">
        <v>800</v>
      </c>
      <c r="L319">
        <v>300</v>
      </c>
      <c r="M319">
        <v>600</v>
      </c>
      <c r="N319" t="s">
        <v>2197</v>
      </c>
    </row>
    <row r="320" spans="1:14" x14ac:dyDescent="0.2">
      <c r="A320" t="s">
        <v>763</v>
      </c>
      <c r="B320" t="s">
        <v>764</v>
      </c>
      <c r="C320">
        <v>1707</v>
      </c>
      <c r="D320" t="s">
        <v>31</v>
      </c>
      <c r="E320" s="1">
        <v>45496</v>
      </c>
      <c r="F320">
        <v>3</v>
      </c>
      <c r="G320" t="s">
        <v>32</v>
      </c>
      <c r="H320" t="s">
        <v>81</v>
      </c>
      <c r="I320" t="s">
        <v>2204</v>
      </c>
      <c r="J320" t="s">
        <v>1280</v>
      </c>
      <c r="K320">
        <v>800</v>
      </c>
      <c r="L320">
        <v>250</v>
      </c>
      <c r="M320">
        <v>750</v>
      </c>
      <c r="N320" t="s">
        <v>2205</v>
      </c>
    </row>
    <row r="321" spans="1:14" x14ac:dyDescent="0.2">
      <c r="A321" t="s">
        <v>772</v>
      </c>
      <c r="B321" t="s">
        <v>661</v>
      </c>
      <c r="C321">
        <v>1717</v>
      </c>
      <c r="D321" t="s">
        <v>92</v>
      </c>
      <c r="E321" s="1">
        <v>45617</v>
      </c>
      <c r="F321">
        <v>1</v>
      </c>
      <c r="G321" t="s">
        <v>52</v>
      </c>
      <c r="H321" t="s">
        <v>81</v>
      </c>
      <c r="I321" t="s">
        <v>2224</v>
      </c>
      <c r="J321" t="s">
        <v>1361</v>
      </c>
      <c r="K321">
        <v>870</v>
      </c>
      <c r="L321">
        <v>600</v>
      </c>
      <c r="M321">
        <v>600</v>
      </c>
      <c r="N321" t="s">
        <v>2225</v>
      </c>
    </row>
    <row r="322" spans="1:14" x14ac:dyDescent="0.2">
      <c r="A322" t="s">
        <v>775</v>
      </c>
      <c r="B322" t="s">
        <v>73</v>
      </c>
      <c r="C322">
        <v>1722</v>
      </c>
      <c r="D322" t="s">
        <v>76</v>
      </c>
      <c r="E322" s="1">
        <v>45549</v>
      </c>
      <c r="F322">
        <v>1</v>
      </c>
      <c r="G322" t="s">
        <v>52</v>
      </c>
      <c r="H322" t="s">
        <v>81</v>
      </c>
      <c r="I322" t="s">
        <v>2234</v>
      </c>
      <c r="J322" t="s">
        <v>1361</v>
      </c>
      <c r="K322">
        <v>870</v>
      </c>
      <c r="L322">
        <v>1200</v>
      </c>
      <c r="M322">
        <v>1200</v>
      </c>
      <c r="N322" t="s">
        <v>2235</v>
      </c>
    </row>
    <row r="323" spans="1:14" x14ac:dyDescent="0.2">
      <c r="A323" t="s">
        <v>780</v>
      </c>
      <c r="B323" t="s">
        <v>781</v>
      </c>
      <c r="C323">
        <v>1726</v>
      </c>
      <c r="D323" t="s">
        <v>37</v>
      </c>
      <c r="E323" s="1">
        <v>45557</v>
      </c>
      <c r="F323">
        <v>3</v>
      </c>
      <c r="G323" t="s">
        <v>71</v>
      </c>
      <c r="H323" t="s">
        <v>81</v>
      </c>
      <c r="I323" t="s">
        <v>2242</v>
      </c>
      <c r="J323" t="s">
        <v>1361</v>
      </c>
      <c r="K323">
        <v>870</v>
      </c>
      <c r="L323">
        <v>800</v>
      </c>
      <c r="M323">
        <v>2400</v>
      </c>
      <c r="N323" t="s">
        <v>2243</v>
      </c>
    </row>
    <row r="324" spans="1:14" x14ac:dyDescent="0.2">
      <c r="A324" t="s">
        <v>804</v>
      </c>
      <c r="B324" t="s">
        <v>312</v>
      </c>
      <c r="C324">
        <v>1747</v>
      </c>
      <c r="D324" t="s">
        <v>31</v>
      </c>
      <c r="E324" s="1">
        <v>45576</v>
      </c>
      <c r="F324">
        <v>3</v>
      </c>
      <c r="G324" t="s">
        <v>52</v>
      </c>
      <c r="H324" t="s">
        <v>81</v>
      </c>
      <c r="I324" t="s">
        <v>2284</v>
      </c>
      <c r="J324" t="s">
        <v>1280</v>
      </c>
      <c r="K324">
        <v>800</v>
      </c>
      <c r="L324">
        <v>250</v>
      </c>
      <c r="M324">
        <v>750</v>
      </c>
      <c r="N324" t="s">
        <v>2285</v>
      </c>
    </row>
    <row r="325" spans="1:14" x14ac:dyDescent="0.2">
      <c r="A325" t="s">
        <v>506</v>
      </c>
      <c r="B325" t="s">
        <v>380</v>
      </c>
      <c r="C325">
        <v>1751</v>
      </c>
      <c r="D325" t="s">
        <v>37</v>
      </c>
      <c r="E325" s="1">
        <v>45562</v>
      </c>
      <c r="F325">
        <v>2</v>
      </c>
      <c r="G325" t="s">
        <v>52</v>
      </c>
      <c r="H325" t="s">
        <v>81</v>
      </c>
      <c r="I325" t="s">
        <v>2292</v>
      </c>
      <c r="J325" t="s">
        <v>1280</v>
      </c>
      <c r="K325">
        <v>800</v>
      </c>
      <c r="L325">
        <v>800</v>
      </c>
      <c r="M325">
        <v>1600</v>
      </c>
      <c r="N325" t="s">
        <v>2293</v>
      </c>
    </row>
    <row r="326" spans="1:14" x14ac:dyDescent="0.2">
      <c r="A326" t="s">
        <v>708</v>
      </c>
      <c r="B326" t="s">
        <v>807</v>
      </c>
      <c r="C326">
        <v>1752</v>
      </c>
      <c r="D326" t="s">
        <v>76</v>
      </c>
      <c r="E326" s="1">
        <v>45434</v>
      </c>
      <c r="F326">
        <v>2</v>
      </c>
      <c r="G326" t="s">
        <v>52</v>
      </c>
      <c r="H326" t="s">
        <v>81</v>
      </c>
      <c r="I326" t="s">
        <v>2294</v>
      </c>
      <c r="J326" t="s">
        <v>1280</v>
      </c>
      <c r="K326">
        <v>800</v>
      </c>
      <c r="L326">
        <v>1200</v>
      </c>
      <c r="M326">
        <v>2400</v>
      </c>
      <c r="N326" t="s">
        <v>2295</v>
      </c>
    </row>
    <row r="327" spans="1:14" x14ac:dyDescent="0.2">
      <c r="A327" t="s">
        <v>816</v>
      </c>
      <c r="B327" t="s">
        <v>340</v>
      </c>
      <c r="C327">
        <v>1760</v>
      </c>
      <c r="D327" t="s">
        <v>51</v>
      </c>
      <c r="E327" s="1">
        <v>45592</v>
      </c>
      <c r="F327">
        <v>2</v>
      </c>
      <c r="G327" t="s">
        <v>71</v>
      </c>
      <c r="H327" t="s">
        <v>81</v>
      </c>
      <c r="I327" t="s">
        <v>2310</v>
      </c>
      <c r="J327" t="s">
        <v>1361</v>
      </c>
      <c r="K327">
        <v>870</v>
      </c>
      <c r="L327">
        <v>250</v>
      </c>
      <c r="M327">
        <v>500</v>
      </c>
      <c r="N327" t="s">
        <v>2311</v>
      </c>
    </row>
    <row r="328" spans="1:14" x14ac:dyDescent="0.2">
      <c r="A328" t="s">
        <v>467</v>
      </c>
      <c r="B328" t="s">
        <v>821</v>
      </c>
      <c r="C328">
        <v>1767</v>
      </c>
      <c r="D328" t="s">
        <v>76</v>
      </c>
      <c r="E328" s="1">
        <v>45324</v>
      </c>
      <c r="F328">
        <v>2</v>
      </c>
      <c r="G328" t="s">
        <v>52</v>
      </c>
      <c r="H328" t="s">
        <v>81</v>
      </c>
      <c r="I328" t="s">
        <v>2324</v>
      </c>
      <c r="J328" t="s">
        <v>1280</v>
      </c>
      <c r="K328">
        <v>800</v>
      </c>
      <c r="L328">
        <v>1200</v>
      </c>
      <c r="M328">
        <v>2400</v>
      </c>
      <c r="N328" t="s">
        <v>2325</v>
      </c>
    </row>
    <row r="329" spans="1:14" x14ac:dyDescent="0.2">
      <c r="A329" t="s">
        <v>822</v>
      </c>
      <c r="B329" t="s">
        <v>823</v>
      </c>
      <c r="C329">
        <v>1769</v>
      </c>
      <c r="D329" t="s">
        <v>92</v>
      </c>
      <c r="E329" s="1">
        <v>45365</v>
      </c>
      <c r="F329">
        <v>3</v>
      </c>
      <c r="G329" t="s">
        <v>32</v>
      </c>
      <c r="H329" t="s">
        <v>81</v>
      </c>
      <c r="I329" t="s">
        <v>2328</v>
      </c>
      <c r="J329" t="s">
        <v>1361</v>
      </c>
      <c r="K329">
        <v>870</v>
      </c>
      <c r="L329">
        <v>600</v>
      </c>
      <c r="M329">
        <v>1800</v>
      </c>
      <c r="N329" t="s">
        <v>2329</v>
      </c>
    </row>
    <row r="330" spans="1:14" x14ac:dyDescent="0.2">
      <c r="A330" t="s">
        <v>97</v>
      </c>
      <c r="B330" t="s">
        <v>128</v>
      </c>
      <c r="C330">
        <v>1772</v>
      </c>
      <c r="D330" t="s">
        <v>31</v>
      </c>
      <c r="E330" s="1">
        <v>45469</v>
      </c>
      <c r="F330">
        <v>2</v>
      </c>
      <c r="G330" t="s">
        <v>52</v>
      </c>
      <c r="H330" t="s">
        <v>81</v>
      </c>
      <c r="I330" t="s">
        <v>2334</v>
      </c>
      <c r="J330" t="s">
        <v>1280</v>
      </c>
      <c r="K330">
        <v>800</v>
      </c>
      <c r="L330">
        <v>250</v>
      </c>
      <c r="M330">
        <v>500</v>
      </c>
      <c r="N330" t="s">
        <v>2335</v>
      </c>
    </row>
    <row r="331" spans="1:14" x14ac:dyDescent="0.2">
      <c r="A331" t="s">
        <v>834</v>
      </c>
      <c r="B331" t="s">
        <v>835</v>
      </c>
      <c r="C331">
        <v>1780</v>
      </c>
      <c r="D331" t="s">
        <v>31</v>
      </c>
      <c r="E331" s="1">
        <v>45340</v>
      </c>
      <c r="F331">
        <v>2</v>
      </c>
      <c r="G331" t="s">
        <v>52</v>
      </c>
      <c r="H331" t="s">
        <v>81</v>
      </c>
      <c r="I331" t="s">
        <v>2350</v>
      </c>
      <c r="J331" t="s">
        <v>1361</v>
      </c>
      <c r="K331">
        <v>870</v>
      </c>
      <c r="L331">
        <v>250</v>
      </c>
      <c r="M331">
        <v>500</v>
      </c>
      <c r="N331" t="s">
        <v>2351</v>
      </c>
    </row>
    <row r="332" spans="1:14" x14ac:dyDescent="0.2">
      <c r="A332" t="s">
        <v>847</v>
      </c>
      <c r="B332" t="s">
        <v>408</v>
      </c>
      <c r="C332">
        <v>1791</v>
      </c>
      <c r="D332" t="s">
        <v>51</v>
      </c>
      <c r="E332" s="1">
        <v>45651</v>
      </c>
      <c r="F332">
        <v>3</v>
      </c>
      <c r="G332" t="s">
        <v>52</v>
      </c>
      <c r="H332" t="s">
        <v>81</v>
      </c>
      <c r="I332" t="s">
        <v>2372</v>
      </c>
      <c r="J332" t="s">
        <v>1280</v>
      </c>
      <c r="K332">
        <v>800</v>
      </c>
      <c r="L332">
        <v>250</v>
      </c>
      <c r="M332">
        <v>750</v>
      </c>
      <c r="N332" t="s">
        <v>2373</v>
      </c>
    </row>
    <row r="333" spans="1:14" x14ac:dyDescent="0.2">
      <c r="A333" t="s">
        <v>611</v>
      </c>
      <c r="B333" t="s">
        <v>451</v>
      </c>
      <c r="C333">
        <v>1802</v>
      </c>
      <c r="D333" t="s">
        <v>51</v>
      </c>
      <c r="E333" s="1">
        <v>45546</v>
      </c>
      <c r="F333">
        <v>2</v>
      </c>
      <c r="G333" t="s">
        <v>32</v>
      </c>
      <c r="H333" t="s">
        <v>81</v>
      </c>
      <c r="I333" t="s">
        <v>2394</v>
      </c>
      <c r="J333" t="s">
        <v>1361</v>
      </c>
      <c r="K333">
        <v>870</v>
      </c>
      <c r="L333">
        <v>250</v>
      </c>
      <c r="M333">
        <v>500</v>
      </c>
      <c r="N333" t="s">
        <v>2395</v>
      </c>
    </row>
    <row r="334" spans="1:14" x14ac:dyDescent="0.2">
      <c r="A334" t="s">
        <v>251</v>
      </c>
      <c r="B334" t="s">
        <v>837</v>
      </c>
      <c r="C334">
        <v>1809</v>
      </c>
      <c r="D334" t="s">
        <v>42</v>
      </c>
      <c r="E334" s="1">
        <v>45529</v>
      </c>
      <c r="F334">
        <v>2</v>
      </c>
      <c r="G334" t="s">
        <v>32</v>
      </c>
      <c r="H334" t="s">
        <v>81</v>
      </c>
      <c r="I334" t="s">
        <v>2408</v>
      </c>
      <c r="J334" t="s">
        <v>1280</v>
      </c>
      <c r="K334">
        <v>800</v>
      </c>
      <c r="L334">
        <v>300</v>
      </c>
      <c r="M334">
        <v>600</v>
      </c>
      <c r="N334" t="s">
        <v>2409</v>
      </c>
    </row>
    <row r="335" spans="1:14" x14ac:dyDescent="0.2">
      <c r="A335" t="s">
        <v>874</v>
      </c>
      <c r="B335" t="s">
        <v>875</v>
      </c>
      <c r="C335">
        <v>1817</v>
      </c>
      <c r="D335" t="s">
        <v>76</v>
      </c>
      <c r="E335" s="1">
        <v>45490</v>
      </c>
      <c r="F335">
        <v>1</v>
      </c>
      <c r="G335" t="s">
        <v>71</v>
      </c>
      <c r="H335" t="s">
        <v>81</v>
      </c>
      <c r="I335" t="s">
        <v>2424</v>
      </c>
      <c r="J335" t="s">
        <v>1361</v>
      </c>
      <c r="K335">
        <v>870</v>
      </c>
      <c r="L335">
        <v>1200</v>
      </c>
      <c r="M335">
        <v>1200</v>
      </c>
      <c r="N335" t="s">
        <v>2425</v>
      </c>
    </row>
    <row r="336" spans="1:14" x14ac:dyDescent="0.2">
      <c r="A336" t="s">
        <v>878</v>
      </c>
      <c r="B336" t="s">
        <v>879</v>
      </c>
      <c r="C336">
        <v>1823</v>
      </c>
      <c r="D336" t="s">
        <v>76</v>
      </c>
      <c r="E336" s="1">
        <v>45453</v>
      </c>
      <c r="F336">
        <v>1</v>
      </c>
      <c r="G336" t="s">
        <v>32</v>
      </c>
      <c r="H336" t="s">
        <v>81</v>
      </c>
      <c r="I336" t="s">
        <v>2436</v>
      </c>
      <c r="J336" t="s">
        <v>1361</v>
      </c>
      <c r="K336">
        <v>870</v>
      </c>
      <c r="L336">
        <v>1200</v>
      </c>
      <c r="M336">
        <v>1200</v>
      </c>
      <c r="N336" t="s">
        <v>2437</v>
      </c>
    </row>
    <row r="337" spans="1:14" x14ac:dyDescent="0.2">
      <c r="A337" t="s">
        <v>898</v>
      </c>
      <c r="B337" t="s">
        <v>327</v>
      </c>
      <c r="C337">
        <v>1838</v>
      </c>
      <c r="D337" t="s">
        <v>76</v>
      </c>
      <c r="E337" s="1">
        <v>45564</v>
      </c>
      <c r="F337">
        <v>3</v>
      </c>
      <c r="G337" t="s">
        <v>32</v>
      </c>
      <c r="H337" t="s">
        <v>81</v>
      </c>
      <c r="I337" t="s">
        <v>2466</v>
      </c>
      <c r="J337" t="s">
        <v>1361</v>
      </c>
      <c r="K337">
        <v>870</v>
      </c>
      <c r="L337">
        <v>1200</v>
      </c>
      <c r="M337">
        <v>3600</v>
      </c>
      <c r="N337" t="s">
        <v>2467</v>
      </c>
    </row>
    <row r="338" spans="1:14" x14ac:dyDescent="0.2">
      <c r="A338" t="s">
        <v>652</v>
      </c>
      <c r="B338" t="s">
        <v>709</v>
      </c>
      <c r="C338">
        <v>1841</v>
      </c>
      <c r="D338" t="s">
        <v>76</v>
      </c>
      <c r="E338" s="1">
        <v>45468</v>
      </c>
      <c r="F338">
        <v>1</v>
      </c>
      <c r="G338" t="s">
        <v>32</v>
      </c>
      <c r="H338" t="s">
        <v>81</v>
      </c>
      <c r="I338" t="s">
        <v>2472</v>
      </c>
      <c r="J338" t="s">
        <v>1361</v>
      </c>
      <c r="K338">
        <v>870</v>
      </c>
      <c r="L338">
        <v>1200</v>
      </c>
      <c r="M338">
        <v>1200</v>
      </c>
      <c r="N338" t="s">
        <v>2473</v>
      </c>
    </row>
    <row r="339" spans="1:14" x14ac:dyDescent="0.2">
      <c r="A339" t="s">
        <v>915</v>
      </c>
      <c r="B339" t="s">
        <v>916</v>
      </c>
      <c r="C339">
        <v>1858</v>
      </c>
      <c r="D339" t="s">
        <v>76</v>
      </c>
      <c r="E339" s="1">
        <v>45642</v>
      </c>
      <c r="F339">
        <v>3</v>
      </c>
      <c r="G339" t="s">
        <v>32</v>
      </c>
      <c r="H339" t="s">
        <v>81</v>
      </c>
      <c r="I339" t="s">
        <v>2505</v>
      </c>
      <c r="J339" t="s">
        <v>1280</v>
      </c>
      <c r="K339">
        <v>800</v>
      </c>
      <c r="L339">
        <v>1200</v>
      </c>
      <c r="M339">
        <v>3600</v>
      </c>
      <c r="N339" t="s">
        <v>2506</v>
      </c>
    </row>
    <row r="340" spans="1:14" x14ac:dyDescent="0.2">
      <c r="A340" t="s">
        <v>927</v>
      </c>
      <c r="B340" t="s">
        <v>928</v>
      </c>
      <c r="C340">
        <v>1868</v>
      </c>
      <c r="D340" t="s">
        <v>51</v>
      </c>
      <c r="E340" s="1">
        <v>45498</v>
      </c>
      <c r="F340">
        <v>2</v>
      </c>
      <c r="G340" t="s">
        <v>71</v>
      </c>
      <c r="H340" t="s">
        <v>81</v>
      </c>
      <c r="I340" t="s">
        <v>2525</v>
      </c>
      <c r="J340" t="s">
        <v>1280</v>
      </c>
      <c r="K340">
        <v>800</v>
      </c>
      <c r="L340">
        <v>250</v>
      </c>
      <c r="M340">
        <v>500</v>
      </c>
      <c r="N340" t="s">
        <v>2526</v>
      </c>
    </row>
    <row r="341" spans="1:14" x14ac:dyDescent="0.2">
      <c r="A341" t="s">
        <v>485</v>
      </c>
      <c r="B341" t="s">
        <v>372</v>
      </c>
      <c r="C341">
        <v>1876</v>
      </c>
      <c r="D341" t="s">
        <v>51</v>
      </c>
      <c r="E341" s="1">
        <v>45298</v>
      </c>
      <c r="F341">
        <v>2</v>
      </c>
      <c r="G341" t="s">
        <v>52</v>
      </c>
      <c r="H341" t="s">
        <v>81</v>
      </c>
      <c r="I341" t="s">
        <v>2541</v>
      </c>
      <c r="J341" t="s">
        <v>1280</v>
      </c>
      <c r="K341">
        <v>800</v>
      </c>
      <c r="L341">
        <v>250</v>
      </c>
      <c r="M341">
        <v>500</v>
      </c>
      <c r="N341" t="s">
        <v>2542</v>
      </c>
    </row>
    <row r="342" spans="1:14" x14ac:dyDescent="0.2">
      <c r="A342" t="s">
        <v>744</v>
      </c>
      <c r="B342" t="s">
        <v>939</v>
      </c>
      <c r="C342">
        <v>1879</v>
      </c>
      <c r="D342" t="s">
        <v>37</v>
      </c>
      <c r="E342" s="1">
        <v>45617</v>
      </c>
      <c r="F342">
        <v>3</v>
      </c>
      <c r="G342" t="s">
        <v>38</v>
      </c>
      <c r="H342" t="s">
        <v>81</v>
      </c>
      <c r="I342" t="s">
        <v>2547</v>
      </c>
      <c r="J342" t="s">
        <v>1280</v>
      </c>
      <c r="K342">
        <v>800</v>
      </c>
      <c r="L342">
        <v>800</v>
      </c>
      <c r="M342">
        <v>2400</v>
      </c>
      <c r="N342" t="s">
        <v>2548</v>
      </c>
    </row>
    <row r="343" spans="1:14" x14ac:dyDescent="0.2">
      <c r="A343" t="s">
        <v>315</v>
      </c>
      <c r="B343" t="s">
        <v>592</v>
      </c>
      <c r="C343">
        <v>1881</v>
      </c>
      <c r="D343" t="s">
        <v>76</v>
      </c>
      <c r="E343" s="1">
        <v>45528</v>
      </c>
      <c r="F343">
        <v>2</v>
      </c>
      <c r="G343" t="s">
        <v>32</v>
      </c>
      <c r="H343" t="s">
        <v>81</v>
      </c>
      <c r="I343" t="s">
        <v>2551</v>
      </c>
      <c r="J343" t="s">
        <v>1280</v>
      </c>
      <c r="K343">
        <v>800</v>
      </c>
      <c r="L343">
        <v>1200</v>
      </c>
      <c r="M343">
        <v>2400</v>
      </c>
      <c r="N343" t="s">
        <v>2552</v>
      </c>
    </row>
    <row r="344" spans="1:14" x14ac:dyDescent="0.2">
      <c r="A344" t="s">
        <v>892</v>
      </c>
      <c r="B344" t="s">
        <v>945</v>
      </c>
      <c r="C344">
        <v>1886</v>
      </c>
      <c r="D344" t="s">
        <v>37</v>
      </c>
      <c r="E344" s="1">
        <v>45503</v>
      </c>
      <c r="F344">
        <v>1</v>
      </c>
      <c r="G344" t="s">
        <v>32</v>
      </c>
      <c r="H344" t="s">
        <v>81</v>
      </c>
      <c r="I344" t="s">
        <v>2561</v>
      </c>
      <c r="J344" t="s">
        <v>1280</v>
      </c>
      <c r="K344">
        <v>800</v>
      </c>
      <c r="L344">
        <v>800</v>
      </c>
      <c r="M344">
        <v>800</v>
      </c>
      <c r="N344" t="s">
        <v>2562</v>
      </c>
    </row>
    <row r="345" spans="1:14" x14ac:dyDescent="0.2">
      <c r="A345" t="s">
        <v>851</v>
      </c>
      <c r="B345" t="s">
        <v>963</v>
      </c>
      <c r="C345">
        <v>1901</v>
      </c>
      <c r="D345" t="s">
        <v>51</v>
      </c>
      <c r="E345" s="1">
        <v>45452</v>
      </c>
      <c r="F345">
        <v>2</v>
      </c>
      <c r="G345" t="s">
        <v>52</v>
      </c>
      <c r="H345" t="s">
        <v>81</v>
      </c>
      <c r="I345" t="s">
        <v>2591</v>
      </c>
      <c r="J345" t="s">
        <v>1361</v>
      </c>
      <c r="K345">
        <v>870</v>
      </c>
      <c r="L345">
        <v>250</v>
      </c>
      <c r="M345">
        <v>500</v>
      </c>
      <c r="N345" t="s">
        <v>2592</v>
      </c>
    </row>
    <row r="346" spans="1:14" x14ac:dyDescent="0.2">
      <c r="A346" t="s">
        <v>967</v>
      </c>
      <c r="B346" t="s">
        <v>968</v>
      </c>
      <c r="C346">
        <v>1907</v>
      </c>
      <c r="D346" t="s">
        <v>92</v>
      </c>
      <c r="E346" s="1">
        <v>45507</v>
      </c>
      <c r="F346">
        <v>1</v>
      </c>
      <c r="G346" t="s">
        <v>32</v>
      </c>
      <c r="H346" t="s">
        <v>81</v>
      </c>
      <c r="I346" t="s">
        <v>2603</v>
      </c>
      <c r="J346" t="s">
        <v>1280</v>
      </c>
      <c r="K346">
        <v>800</v>
      </c>
      <c r="L346">
        <v>600</v>
      </c>
      <c r="M346">
        <v>600</v>
      </c>
      <c r="N346" t="s">
        <v>2604</v>
      </c>
    </row>
    <row r="347" spans="1:14" x14ac:dyDescent="0.2">
      <c r="A347" t="s">
        <v>477</v>
      </c>
      <c r="B347" t="s">
        <v>951</v>
      </c>
      <c r="C347">
        <v>1912</v>
      </c>
      <c r="D347" t="s">
        <v>76</v>
      </c>
      <c r="E347" s="1">
        <v>45376</v>
      </c>
      <c r="F347">
        <v>2</v>
      </c>
      <c r="G347" t="s">
        <v>71</v>
      </c>
      <c r="H347" t="s">
        <v>81</v>
      </c>
      <c r="I347" t="s">
        <v>2613</v>
      </c>
      <c r="J347" t="s">
        <v>1361</v>
      </c>
      <c r="K347">
        <v>870</v>
      </c>
      <c r="L347">
        <v>1200</v>
      </c>
      <c r="M347">
        <v>2400</v>
      </c>
      <c r="N347" t="s">
        <v>2614</v>
      </c>
    </row>
    <row r="348" spans="1:14" x14ac:dyDescent="0.2">
      <c r="A348" t="s">
        <v>175</v>
      </c>
      <c r="B348" t="s">
        <v>974</v>
      </c>
      <c r="C348">
        <v>1917</v>
      </c>
      <c r="D348" t="s">
        <v>76</v>
      </c>
      <c r="E348" s="1">
        <v>45383</v>
      </c>
      <c r="F348">
        <v>2</v>
      </c>
      <c r="G348" t="s">
        <v>52</v>
      </c>
      <c r="H348" t="s">
        <v>81</v>
      </c>
      <c r="I348" t="s">
        <v>2623</v>
      </c>
      <c r="J348" t="s">
        <v>1361</v>
      </c>
      <c r="K348">
        <v>870</v>
      </c>
      <c r="L348">
        <v>1200</v>
      </c>
      <c r="M348">
        <v>2400</v>
      </c>
      <c r="N348" t="s">
        <v>2624</v>
      </c>
    </row>
    <row r="349" spans="1:14" x14ac:dyDescent="0.2">
      <c r="A349" t="s">
        <v>979</v>
      </c>
      <c r="B349" t="s">
        <v>980</v>
      </c>
      <c r="C349">
        <v>1920</v>
      </c>
      <c r="D349" t="s">
        <v>37</v>
      </c>
      <c r="E349" s="1">
        <v>45383</v>
      </c>
      <c r="F349">
        <v>1</v>
      </c>
      <c r="G349" t="s">
        <v>52</v>
      </c>
      <c r="H349" t="s">
        <v>81</v>
      </c>
      <c r="I349" t="s">
        <v>2629</v>
      </c>
      <c r="J349" t="s">
        <v>1361</v>
      </c>
      <c r="K349">
        <v>870</v>
      </c>
      <c r="L349">
        <v>800</v>
      </c>
      <c r="M349">
        <v>800</v>
      </c>
      <c r="N349" t="s">
        <v>2630</v>
      </c>
    </row>
    <row r="350" spans="1:14" x14ac:dyDescent="0.2">
      <c r="A350" t="s">
        <v>989</v>
      </c>
      <c r="B350" t="s">
        <v>272</v>
      </c>
      <c r="C350">
        <v>1928</v>
      </c>
      <c r="D350" t="s">
        <v>92</v>
      </c>
      <c r="E350" s="1">
        <v>45496</v>
      </c>
      <c r="F350">
        <v>2</v>
      </c>
      <c r="G350" t="s">
        <v>52</v>
      </c>
      <c r="H350" t="s">
        <v>81</v>
      </c>
      <c r="I350" t="s">
        <v>2645</v>
      </c>
      <c r="J350" t="s">
        <v>1361</v>
      </c>
      <c r="K350">
        <v>870</v>
      </c>
      <c r="L350">
        <v>600</v>
      </c>
      <c r="M350">
        <v>1200</v>
      </c>
      <c r="N350" t="s">
        <v>2646</v>
      </c>
    </row>
    <row r="351" spans="1:14" x14ac:dyDescent="0.2">
      <c r="A351" t="s">
        <v>992</v>
      </c>
      <c r="B351" t="s">
        <v>779</v>
      </c>
      <c r="C351">
        <v>1930</v>
      </c>
      <c r="D351" t="s">
        <v>92</v>
      </c>
      <c r="E351" s="1">
        <v>45404</v>
      </c>
      <c r="F351">
        <v>1</v>
      </c>
      <c r="G351" t="s">
        <v>52</v>
      </c>
      <c r="H351" t="s">
        <v>81</v>
      </c>
      <c r="I351" t="s">
        <v>2649</v>
      </c>
      <c r="J351" t="s">
        <v>1361</v>
      </c>
      <c r="K351">
        <v>870</v>
      </c>
      <c r="L351">
        <v>600</v>
      </c>
      <c r="M351">
        <v>600</v>
      </c>
      <c r="N351" t="s">
        <v>2650</v>
      </c>
    </row>
    <row r="352" spans="1:14" x14ac:dyDescent="0.2">
      <c r="A352" t="s">
        <v>426</v>
      </c>
      <c r="B352" t="s">
        <v>923</v>
      </c>
      <c r="C352">
        <v>1933</v>
      </c>
      <c r="D352" t="s">
        <v>51</v>
      </c>
      <c r="E352" s="1">
        <v>45463</v>
      </c>
      <c r="F352">
        <v>1</v>
      </c>
      <c r="G352" t="s">
        <v>32</v>
      </c>
      <c r="H352" t="s">
        <v>81</v>
      </c>
      <c r="I352" t="s">
        <v>2655</v>
      </c>
      <c r="J352" t="s">
        <v>1280</v>
      </c>
      <c r="K352">
        <v>800</v>
      </c>
      <c r="L352">
        <v>250</v>
      </c>
      <c r="M352">
        <v>250</v>
      </c>
      <c r="N352" t="s">
        <v>2656</v>
      </c>
    </row>
    <row r="353" spans="1:14" x14ac:dyDescent="0.2">
      <c r="A353" t="s">
        <v>995</v>
      </c>
      <c r="B353" t="s">
        <v>996</v>
      </c>
      <c r="C353">
        <v>1934</v>
      </c>
      <c r="D353" t="s">
        <v>37</v>
      </c>
      <c r="E353" s="1">
        <v>45315</v>
      </c>
      <c r="F353">
        <v>3</v>
      </c>
      <c r="G353" t="s">
        <v>38</v>
      </c>
      <c r="H353" t="s">
        <v>81</v>
      </c>
      <c r="I353" t="s">
        <v>2657</v>
      </c>
      <c r="J353" t="s">
        <v>1361</v>
      </c>
      <c r="K353">
        <v>870</v>
      </c>
      <c r="L353">
        <v>800</v>
      </c>
      <c r="M353">
        <v>2400</v>
      </c>
      <c r="N353" t="s">
        <v>2658</v>
      </c>
    </row>
    <row r="354" spans="1:14" x14ac:dyDescent="0.2">
      <c r="A354" t="s">
        <v>1005</v>
      </c>
      <c r="B354" t="s">
        <v>1006</v>
      </c>
      <c r="C354">
        <v>1946</v>
      </c>
      <c r="D354" t="s">
        <v>42</v>
      </c>
      <c r="E354" s="1">
        <v>45575</v>
      </c>
      <c r="F354">
        <v>3</v>
      </c>
      <c r="G354" t="s">
        <v>32</v>
      </c>
      <c r="H354" t="s">
        <v>81</v>
      </c>
      <c r="I354" t="s">
        <v>2681</v>
      </c>
      <c r="J354" t="s">
        <v>1361</v>
      </c>
      <c r="K354">
        <v>870</v>
      </c>
      <c r="L354">
        <v>300</v>
      </c>
      <c r="M354">
        <v>900</v>
      </c>
      <c r="N354" t="s">
        <v>2682</v>
      </c>
    </row>
    <row r="355" spans="1:14" x14ac:dyDescent="0.2">
      <c r="A355" t="s">
        <v>864</v>
      </c>
      <c r="B355" t="s">
        <v>1010</v>
      </c>
      <c r="C355">
        <v>1951</v>
      </c>
      <c r="D355" t="s">
        <v>37</v>
      </c>
      <c r="E355" s="1">
        <v>45427</v>
      </c>
      <c r="F355">
        <v>3</v>
      </c>
      <c r="G355" t="s">
        <v>32</v>
      </c>
      <c r="H355" t="s">
        <v>81</v>
      </c>
      <c r="I355" t="s">
        <v>2691</v>
      </c>
      <c r="J355" t="s">
        <v>1361</v>
      </c>
      <c r="K355">
        <v>870</v>
      </c>
      <c r="L355">
        <v>800</v>
      </c>
      <c r="M355">
        <v>2400</v>
      </c>
      <c r="N355" t="s">
        <v>2692</v>
      </c>
    </row>
    <row r="356" spans="1:14" x14ac:dyDescent="0.2">
      <c r="A356" t="s">
        <v>1003</v>
      </c>
      <c r="B356" t="s">
        <v>212</v>
      </c>
      <c r="C356">
        <v>1959</v>
      </c>
      <c r="D356" t="s">
        <v>37</v>
      </c>
      <c r="E356" s="1">
        <v>45476</v>
      </c>
      <c r="F356">
        <v>3</v>
      </c>
      <c r="G356" t="s">
        <v>32</v>
      </c>
      <c r="H356" t="s">
        <v>81</v>
      </c>
      <c r="I356" t="s">
        <v>2707</v>
      </c>
      <c r="J356" t="s">
        <v>1361</v>
      </c>
      <c r="K356">
        <v>870</v>
      </c>
      <c r="L356">
        <v>800</v>
      </c>
      <c r="M356">
        <v>2400</v>
      </c>
      <c r="N356" t="s">
        <v>2708</v>
      </c>
    </row>
    <row r="357" spans="1:14" x14ac:dyDescent="0.2">
      <c r="A357" t="s">
        <v>362</v>
      </c>
      <c r="B357" t="s">
        <v>1020</v>
      </c>
      <c r="C357">
        <v>1968</v>
      </c>
      <c r="D357" t="s">
        <v>31</v>
      </c>
      <c r="E357" s="1">
        <v>45625</v>
      </c>
      <c r="F357">
        <v>2</v>
      </c>
      <c r="G357" t="s">
        <v>71</v>
      </c>
      <c r="H357" t="s">
        <v>81</v>
      </c>
      <c r="I357" t="s">
        <v>2725</v>
      </c>
      <c r="J357" t="s">
        <v>1280</v>
      </c>
      <c r="K357">
        <v>800</v>
      </c>
      <c r="L357">
        <v>250</v>
      </c>
      <c r="M357">
        <v>500</v>
      </c>
      <c r="N357" t="s">
        <v>2726</v>
      </c>
    </row>
    <row r="358" spans="1:14" x14ac:dyDescent="0.2">
      <c r="A358" t="s">
        <v>408</v>
      </c>
      <c r="B358" t="s">
        <v>382</v>
      </c>
      <c r="C358">
        <v>1974</v>
      </c>
      <c r="D358" t="s">
        <v>76</v>
      </c>
      <c r="E358" s="1">
        <v>45376</v>
      </c>
      <c r="F358">
        <v>3</v>
      </c>
      <c r="G358" t="s">
        <v>32</v>
      </c>
      <c r="H358" t="s">
        <v>81</v>
      </c>
      <c r="I358" t="s">
        <v>2737</v>
      </c>
      <c r="J358" t="s">
        <v>1361</v>
      </c>
      <c r="K358">
        <v>870</v>
      </c>
      <c r="L358">
        <v>1200</v>
      </c>
      <c r="M358">
        <v>3600</v>
      </c>
      <c r="N358" t="s">
        <v>2738</v>
      </c>
    </row>
    <row r="359" spans="1:14" x14ac:dyDescent="0.2">
      <c r="A359" t="s">
        <v>526</v>
      </c>
      <c r="B359" t="s">
        <v>1027</v>
      </c>
      <c r="C359">
        <v>1978</v>
      </c>
      <c r="D359" t="s">
        <v>51</v>
      </c>
      <c r="E359" s="1">
        <v>45574</v>
      </c>
      <c r="F359">
        <v>2</v>
      </c>
      <c r="G359" t="s">
        <v>71</v>
      </c>
      <c r="H359" t="s">
        <v>81</v>
      </c>
      <c r="I359" t="s">
        <v>2745</v>
      </c>
      <c r="J359" t="s">
        <v>1361</v>
      </c>
      <c r="K359">
        <v>870</v>
      </c>
      <c r="L359">
        <v>250</v>
      </c>
      <c r="M359">
        <v>500</v>
      </c>
      <c r="N359" t="s">
        <v>2746</v>
      </c>
    </row>
    <row r="360" spans="1:14" x14ac:dyDescent="0.2">
      <c r="A360" t="s">
        <v>1029</v>
      </c>
      <c r="B360" t="s">
        <v>282</v>
      </c>
      <c r="C360">
        <v>1981</v>
      </c>
      <c r="D360" t="s">
        <v>76</v>
      </c>
      <c r="E360" s="1">
        <v>45633</v>
      </c>
      <c r="F360">
        <v>1</v>
      </c>
      <c r="G360" t="s">
        <v>52</v>
      </c>
      <c r="H360" t="s">
        <v>81</v>
      </c>
      <c r="I360" t="s">
        <v>2751</v>
      </c>
      <c r="J360" t="s">
        <v>1361</v>
      </c>
      <c r="K360">
        <v>870</v>
      </c>
      <c r="L360">
        <v>1200</v>
      </c>
      <c r="M360">
        <v>1200</v>
      </c>
      <c r="N360" t="s">
        <v>2752</v>
      </c>
    </row>
    <row r="361" spans="1:14" x14ac:dyDescent="0.2">
      <c r="A361" t="s">
        <v>364</v>
      </c>
      <c r="B361" t="s">
        <v>1030</v>
      </c>
      <c r="C361">
        <v>1982</v>
      </c>
      <c r="D361" t="s">
        <v>42</v>
      </c>
      <c r="E361" s="1">
        <v>45615</v>
      </c>
      <c r="F361">
        <v>2</v>
      </c>
      <c r="G361" t="s">
        <v>32</v>
      </c>
      <c r="H361" t="s">
        <v>81</v>
      </c>
      <c r="I361" t="s">
        <v>2753</v>
      </c>
      <c r="J361" t="s">
        <v>1361</v>
      </c>
      <c r="K361">
        <v>870</v>
      </c>
      <c r="L361">
        <v>300</v>
      </c>
      <c r="M361">
        <v>600</v>
      </c>
      <c r="N361" t="s">
        <v>2754</v>
      </c>
    </row>
    <row r="362" spans="1:14" x14ac:dyDescent="0.2">
      <c r="A362" t="s">
        <v>1038</v>
      </c>
      <c r="B362" t="s">
        <v>134</v>
      </c>
      <c r="C362">
        <v>1988</v>
      </c>
      <c r="D362" t="s">
        <v>92</v>
      </c>
      <c r="E362" s="1">
        <v>45654</v>
      </c>
      <c r="F362">
        <v>2</v>
      </c>
      <c r="G362" t="s">
        <v>52</v>
      </c>
      <c r="H362" t="s">
        <v>81</v>
      </c>
      <c r="I362" t="s">
        <v>2765</v>
      </c>
      <c r="J362" t="s">
        <v>1361</v>
      </c>
      <c r="K362">
        <v>870</v>
      </c>
      <c r="L362">
        <v>600</v>
      </c>
      <c r="M362">
        <v>1200</v>
      </c>
      <c r="N362" t="s">
        <v>2766</v>
      </c>
    </row>
    <row r="363" spans="1:14" x14ac:dyDescent="0.2">
      <c r="A363" t="s">
        <v>72</v>
      </c>
      <c r="B363" t="s">
        <v>1040</v>
      </c>
      <c r="C363">
        <v>1991</v>
      </c>
      <c r="D363" t="s">
        <v>42</v>
      </c>
      <c r="E363" s="1">
        <v>45419</v>
      </c>
      <c r="F363">
        <v>2</v>
      </c>
      <c r="G363" t="s">
        <v>32</v>
      </c>
      <c r="H363" t="s">
        <v>81</v>
      </c>
      <c r="I363" t="s">
        <v>2771</v>
      </c>
      <c r="J363" t="s">
        <v>1361</v>
      </c>
      <c r="K363">
        <v>870</v>
      </c>
      <c r="L363">
        <v>300</v>
      </c>
      <c r="M363">
        <v>600</v>
      </c>
      <c r="N363" t="s">
        <v>2772</v>
      </c>
    </row>
    <row r="364" spans="1:14" x14ac:dyDescent="0.2">
      <c r="A364" t="s">
        <v>104</v>
      </c>
      <c r="B364" t="s">
        <v>1045</v>
      </c>
      <c r="C364">
        <v>1998</v>
      </c>
      <c r="D364" t="s">
        <v>76</v>
      </c>
      <c r="E364" s="1">
        <v>45355</v>
      </c>
      <c r="F364">
        <v>3</v>
      </c>
      <c r="G364" t="s">
        <v>71</v>
      </c>
      <c r="H364" t="s">
        <v>81</v>
      </c>
      <c r="I364" t="s">
        <v>2785</v>
      </c>
      <c r="J364" t="s">
        <v>1280</v>
      </c>
      <c r="K364">
        <v>800</v>
      </c>
      <c r="L364">
        <v>1200</v>
      </c>
      <c r="M364">
        <v>3600</v>
      </c>
      <c r="N364" t="s">
        <v>2786</v>
      </c>
    </row>
    <row r="365" spans="1:14" x14ac:dyDescent="0.2">
      <c r="A365" t="s">
        <v>1036</v>
      </c>
      <c r="B365" t="s">
        <v>246</v>
      </c>
      <c r="C365">
        <v>2012</v>
      </c>
      <c r="D365" t="s">
        <v>51</v>
      </c>
      <c r="E365" s="1">
        <v>45450</v>
      </c>
      <c r="F365">
        <v>1</v>
      </c>
      <c r="G365" t="s">
        <v>32</v>
      </c>
      <c r="H365" t="s">
        <v>81</v>
      </c>
      <c r="I365" t="s">
        <v>2813</v>
      </c>
      <c r="J365" t="s">
        <v>1280</v>
      </c>
      <c r="K365">
        <v>800</v>
      </c>
      <c r="L365">
        <v>250</v>
      </c>
      <c r="M365">
        <v>250</v>
      </c>
      <c r="N365" t="s">
        <v>2814</v>
      </c>
    </row>
    <row r="366" spans="1:14" x14ac:dyDescent="0.2">
      <c r="A366" t="s">
        <v>1064</v>
      </c>
      <c r="B366" t="s">
        <v>1065</v>
      </c>
      <c r="C366">
        <v>2027</v>
      </c>
      <c r="D366" t="s">
        <v>76</v>
      </c>
      <c r="E366" s="1">
        <v>45623</v>
      </c>
      <c r="F366">
        <v>3</v>
      </c>
      <c r="G366" t="s">
        <v>32</v>
      </c>
      <c r="H366" t="s">
        <v>81</v>
      </c>
      <c r="I366" t="s">
        <v>2843</v>
      </c>
      <c r="J366" t="s">
        <v>1361</v>
      </c>
      <c r="K366">
        <v>870</v>
      </c>
      <c r="L366">
        <v>1200</v>
      </c>
      <c r="M366">
        <v>3600</v>
      </c>
      <c r="N366" t="s">
        <v>2844</v>
      </c>
    </row>
    <row r="367" spans="1:14" x14ac:dyDescent="0.2">
      <c r="A367" t="s">
        <v>1066</v>
      </c>
      <c r="B367" t="s">
        <v>715</v>
      </c>
      <c r="C367">
        <v>2028</v>
      </c>
      <c r="D367" t="s">
        <v>31</v>
      </c>
      <c r="E367" s="1">
        <v>45370</v>
      </c>
      <c r="F367">
        <v>3</v>
      </c>
      <c r="G367" t="s">
        <v>32</v>
      </c>
      <c r="H367" t="s">
        <v>81</v>
      </c>
      <c r="I367" t="s">
        <v>2845</v>
      </c>
      <c r="J367" t="s">
        <v>1361</v>
      </c>
      <c r="K367">
        <v>870</v>
      </c>
      <c r="L367">
        <v>250</v>
      </c>
      <c r="M367">
        <v>750</v>
      </c>
      <c r="N367" t="s">
        <v>2846</v>
      </c>
    </row>
    <row r="368" spans="1:14" x14ac:dyDescent="0.2">
      <c r="A368" t="s">
        <v>686</v>
      </c>
      <c r="B368" t="s">
        <v>900</v>
      </c>
      <c r="C368">
        <v>2038</v>
      </c>
      <c r="D368" t="s">
        <v>42</v>
      </c>
      <c r="E368" s="1">
        <v>45511</v>
      </c>
      <c r="F368">
        <v>3</v>
      </c>
      <c r="G368" t="s">
        <v>32</v>
      </c>
      <c r="H368" t="s">
        <v>81</v>
      </c>
      <c r="I368" t="s">
        <v>2865</v>
      </c>
      <c r="J368" t="s">
        <v>1361</v>
      </c>
      <c r="K368">
        <v>870</v>
      </c>
      <c r="L368">
        <v>300</v>
      </c>
      <c r="M368">
        <v>900</v>
      </c>
      <c r="N368" t="s">
        <v>2866</v>
      </c>
    </row>
    <row r="369" spans="1:14" x14ac:dyDescent="0.2">
      <c r="A369" t="s">
        <v>610</v>
      </c>
      <c r="B369" t="s">
        <v>199</v>
      </c>
      <c r="C369">
        <v>2066</v>
      </c>
      <c r="D369" t="s">
        <v>76</v>
      </c>
      <c r="E369" s="1">
        <v>45535</v>
      </c>
      <c r="F369">
        <v>3</v>
      </c>
      <c r="G369" t="s">
        <v>38</v>
      </c>
      <c r="H369" t="s">
        <v>81</v>
      </c>
      <c r="I369" t="s">
        <v>2921</v>
      </c>
      <c r="J369" t="s">
        <v>1280</v>
      </c>
      <c r="K369">
        <v>800</v>
      </c>
      <c r="L369">
        <v>1200</v>
      </c>
      <c r="M369">
        <v>3600</v>
      </c>
      <c r="N369" t="s">
        <v>2922</v>
      </c>
    </row>
    <row r="370" spans="1:14" x14ac:dyDescent="0.2">
      <c r="A370" t="s">
        <v>656</v>
      </c>
      <c r="B370" t="s">
        <v>1109</v>
      </c>
      <c r="C370">
        <v>2075</v>
      </c>
      <c r="D370" t="s">
        <v>92</v>
      </c>
      <c r="E370" s="1">
        <v>45544</v>
      </c>
      <c r="F370">
        <v>2</v>
      </c>
      <c r="G370" t="s">
        <v>71</v>
      </c>
      <c r="H370" t="s">
        <v>81</v>
      </c>
      <c r="I370" t="s">
        <v>2939</v>
      </c>
      <c r="J370" t="s">
        <v>1361</v>
      </c>
      <c r="K370">
        <v>870</v>
      </c>
      <c r="L370">
        <v>600</v>
      </c>
      <c r="M370">
        <v>1200</v>
      </c>
      <c r="N370" t="s">
        <v>2940</v>
      </c>
    </row>
    <row r="371" spans="1:14" x14ac:dyDescent="0.2">
      <c r="A371" t="s">
        <v>951</v>
      </c>
      <c r="B371" t="s">
        <v>378</v>
      </c>
      <c r="C371">
        <v>2127</v>
      </c>
      <c r="D371" t="s">
        <v>42</v>
      </c>
      <c r="E371" s="1">
        <v>45448</v>
      </c>
      <c r="F371">
        <v>3</v>
      </c>
      <c r="G371" t="s">
        <v>38</v>
      </c>
      <c r="H371" t="s">
        <v>81</v>
      </c>
      <c r="I371" t="s">
        <v>3045</v>
      </c>
      <c r="J371" t="s">
        <v>1361</v>
      </c>
      <c r="K371">
        <v>870</v>
      </c>
      <c r="L371">
        <v>300</v>
      </c>
      <c r="M371">
        <v>900</v>
      </c>
      <c r="N371" t="s">
        <v>3046</v>
      </c>
    </row>
    <row r="372" spans="1:14" x14ac:dyDescent="0.2">
      <c r="A372" t="s">
        <v>839</v>
      </c>
      <c r="B372" t="s">
        <v>107</v>
      </c>
      <c r="C372">
        <v>2133</v>
      </c>
      <c r="D372" t="s">
        <v>76</v>
      </c>
      <c r="E372" s="1">
        <v>45563</v>
      </c>
      <c r="F372">
        <v>2</v>
      </c>
      <c r="G372" t="s">
        <v>32</v>
      </c>
      <c r="H372" t="s">
        <v>81</v>
      </c>
      <c r="I372" t="s">
        <v>3057</v>
      </c>
      <c r="J372" t="s">
        <v>1361</v>
      </c>
      <c r="K372">
        <v>870</v>
      </c>
      <c r="L372">
        <v>1200</v>
      </c>
      <c r="M372">
        <v>2400</v>
      </c>
      <c r="N372" t="s">
        <v>3058</v>
      </c>
    </row>
    <row r="373" spans="1:14" x14ac:dyDescent="0.2">
      <c r="A373" t="s">
        <v>334</v>
      </c>
      <c r="B373" t="s">
        <v>1170</v>
      </c>
      <c r="C373">
        <v>2138</v>
      </c>
      <c r="D373" t="s">
        <v>42</v>
      </c>
      <c r="E373" s="1">
        <v>45613</v>
      </c>
      <c r="F373">
        <v>3</v>
      </c>
      <c r="G373" t="s">
        <v>38</v>
      </c>
      <c r="H373" t="s">
        <v>81</v>
      </c>
      <c r="I373" t="s">
        <v>3067</v>
      </c>
      <c r="J373" t="s">
        <v>1280</v>
      </c>
      <c r="K373">
        <v>800</v>
      </c>
      <c r="L373">
        <v>300</v>
      </c>
      <c r="M373">
        <v>900</v>
      </c>
      <c r="N373" t="s">
        <v>3068</v>
      </c>
    </row>
    <row r="374" spans="1:14" x14ac:dyDescent="0.2">
      <c r="A374" t="s">
        <v>1172</v>
      </c>
      <c r="B374" t="s">
        <v>745</v>
      </c>
      <c r="C374">
        <v>2141</v>
      </c>
      <c r="D374" t="s">
        <v>37</v>
      </c>
      <c r="E374" s="1">
        <v>45612</v>
      </c>
      <c r="F374">
        <v>3</v>
      </c>
      <c r="G374" t="s">
        <v>52</v>
      </c>
      <c r="H374" t="s">
        <v>81</v>
      </c>
      <c r="I374" t="s">
        <v>3073</v>
      </c>
      <c r="J374" t="s">
        <v>1280</v>
      </c>
      <c r="K374">
        <v>800</v>
      </c>
      <c r="L374">
        <v>800</v>
      </c>
      <c r="M374">
        <v>2400</v>
      </c>
      <c r="N374" t="s">
        <v>3074</v>
      </c>
    </row>
    <row r="375" spans="1:14" x14ac:dyDescent="0.2">
      <c r="A375" t="s">
        <v>1021</v>
      </c>
      <c r="B375" t="s">
        <v>614</v>
      </c>
      <c r="C375">
        <v>2145</v>
      </c>
      <c r="D375" t="s">
        <v>76</v>
      </c>
      <c r="E375" s="1">
        <v>45456</v>
      </c>
      <c r="F375">
        <v>3</v>
      </c>
      <c r="G375" t="s">
        <v>52</v>
      </c>
      <c r="H375" t="s">
        <v>81</v>
      </c>
      <c r="I375" t="s">
        <v>3081</v>
      </c>
      <c r="J375" t="s">
        <v>1280</v>
      </c>
      <c r="K375">
        <v>800</v>
      </c>
      <c r="L375">
        <v>1200</v>
      </c>
      <c r="M375">
        <v>3600</v>
      </c>
      <c r="N375" t="s">
        <v>3082</v>
      </c>
    </row>
    <row r="376" spans="1:14" x14ac:dyDescent="0.2">
      <c r="A376" t="s">
        <v>1178</v>
      </c>
      <c r="B376" t="s">
        <v>437</v>
      </c>
      <c r="C376">
        <v>2150</v>
      </c>
      <c r="D376" t="s">
        <v>37</v>
      </c>
      <c r="E376" s="1">
        <v>45502</v>
      </c>
      <c r="F376">
        <v>3</v>
      </c>
      <c r="G376" t="s">
        <v>32</v>
      </c>
      <c r="H376" t="s">
        <v>81</v>
      </c>
      <c r="I376" t="s">
        <v>3091</v>
      </c>
      <c r="J376" t="s">
        <v>1361</v>
      </c>
      <c r="K376">
        <v>870</v>
      </c>
      <c r="L376">
        <v>800</v>
      </c>
      <c r="M376">
        <v>2400</v>
      </c>
      <c r="N376" t="s">
        <v>3092</v>
      </c>
    </row>
    <row r="377" spans="1:14" x14ac:dyDescent="0.2">
      <c r="A377" t="s">
        <v>1070</v>
      </c>
      <c r="B377" t="s">
        <v>966</v>
      </c>
      <c r="C377">
        <v>2156</v>
      </c>
      <c r="D377" t="s">
        <v>92</v>
      </c>
      <c r="E377" s="1">
        <v>45343</v>
      </c>
      <c r="F377">
        <v>1</v>
      </c>
      <c r="G377" t="s">
        <v>52</v>
      </c>
      <c r="H377" t="s">
        <v>81</v>
      </c>
      <c r="I377" t="s">
        <v>3103</v>
      </c>
      <c r="J377" t="s">
        <v>1361</v>
      </c>
      <c r="K377">
        <v>870</v>
      </c>
      <c r="L377">
        <v>600</v>
      </c>
      <c r="M377">
        <v>600</v>
      </c>
      <c r="N377" t="s">
        <v>3104</v>
      </c>
    </row>
    <row r="378" spans="1:14" x14ac:dyDescent="0.2">
      <c r="A378" t="s">
        <v>203</v>
      </c>
      <c r="B378" t="s">
        <v>1185</v>
      </c>
      <c r="C378">
        <v>2158</v>
      </c>
      <c r="D378" t="s">
        <v>76</v>
      </c>
      <c r="E378" s="1">
        <v>45620</v>
      </c>
      <c r="F378">
        <v>3</v>
      </c>
      <c r="G378" t="s">
        <v>38</v>
      </c>
      <c r="H378" t="s">
        <v>81</v>
      </c>
      <c r="I378" t="s">
        <v>3107</v>
      </c>
      <c r="J378" t="s">
        <v>1361</v>
      </c>
      <c r="K378">
        <v>870</v>
      </c>
      <c r="L378">
        <v>1200</v>
      </c>
      <c r="M378">
        <v>3600</v>
      </c>
      <c r="N378" t="s">
        <v>3108</v>
      </c>
    </row>
    <row r="379" spans="1:14" x14ac:dyDescent="0.2">
      <c r="A379" t="s">
        <v>161</v>
      </c>
      <c r="B379" t="s">
        <v>1191</v>
      </c>
      <c r="C379">
        <v>2167</v>
      </c>
      <c r="D379" t="s">
        <v>92</v>
      </c>
      <c r="E379" s="1">
        <v>45463</v>
      </c>
      <c r="F379">
        <v>3</v>
      </c>
      <c r="G379" t="s">
        <v>52</v>
      </c>
      <c r="H379" t="s">
        <v>81</v>
      </c>
      <c r="I379" t="s">
        <v>3125</v>
      </c>
      <c r="J379" t="s">
        <v>1280</v>
      </c>
      <c r="K379">
        <v>800</v>
      </c>
      <c r="L379">
        <v>600</v>
      </c>
      <c r="M379">
        <v>1800</v>
      </c>
      <c r="N379" t="s">
        <v>3126</v>
      </c>
    </row>
    <row r="380" spans="1:14" x14ac:dyDescent="0.2">
      <c r="A380" t="s">
        <v>233</v>
      </c>
      <c r="B380" t="s">
        <v>1045</v>
      </c>
      <c r="C380">
        <v>2176</v>
      </c>
      <c r="D380" t="s">
        <v>92</v>
      </c>
      <c r="E380" s="1">
        <v>45572</v>
      </c>
      <c r="F380">
        <v>3</v>
      </c>
      <c r="G380" t="s">
        <v>32</v>
      </c>
      <c r="H380" t="s">
        <v>81</v>
      </c>
      <c r="I380" t="s">
        <v>3143</v>
      </c>
      <c r="J380" t="s">
        <v>1280</v>
      </c>
      <c r="K380">
        <v>800</v>
      </c>
      <c r="L380">
        <v>600</v>
      </c>
      <c r="M380">
        <v>1800</v>
      </c>
      <c r="N380" t="s">
        <v>3144</v>
      </c>
    </row>
    <row r="381" spans="1:14" x14ac:dyDescent="0.2">
      <c r="A381" t="s">
        <v>1205</v>
      </c>
      <c r="B381" t="s">
        <v>707</v>
      </c>
      <c r="C381">
        <v>2190</v>
      </c>
      <c r="D381" t="s">
        <v>37</v>
      </c>
      <c r="E381" s="1">
        <v>45476</v>
      </c>
      <c r="F381">
        <v>3</v>
      </c>
      <c r="G381" t="s">
        <v>32</v>
      </c>
      <c r="H381" t="s">
        <v>81</v>
      </c>
      <c r="I381" t="s">
        <v>3171</v>
      </c>
      <c r="J381" t="s">
        <v>1361</v>
      </c>
      <c r="K381">
        <v>870</v>
      </c>
      <c r="L381">
        <v>800</v>
      </c>
      <c r="M381">
        <v>2400</v>
      </c>
      <c r="N381" t="s">
        <v>3172</v>
      </c>
    </row>
    <row r="382" spans="1:14" x14ac:dyDescent="0.2">
      <c r="A382" t="s">
        <v>744</v>
      </c>
      <c r="B382" t="s">
        <v>1006</v>
      </c>
      <c r="C382">
        <v>2193</v>
      </c>
      <c r="D382" t="s">
        <v>76</v>
      </c>
      <c r="E382" s="1">
        <v>45605</v>
      </c>
      <c r="F382">
        <v>2</v>
      </c>
      <c r="G382" t="s">
        <v>52</v>
      </c>
      <c r="H382" t="s">
        <v>81</v>
      </c>
      <c r="I382" t="s">
        <v>3177</v>
      </c>
      <c r="J382" t="s">
        <v>1361</v>
      </c>
      <c r="K382">
        <v>870</v>
      </c>
      <c r="L382">
        <v>1200</v>
      </c>
      <c r="M382">
        <v>2400</v>
      </c>
      <c r="N382" t="s">
        <v>3178</v>
      </c>
    </row>
    <row r="383" spans="1:14" x14ac:dyDescent="0.2">
      <c r="A383" t="s">
        <v>690</v>
      </c>
      <c r="B383" t="s">
        <v>787</v>
      </c>
      <c r="C383">
        <v>2198</v>
      </c>
      <c r="D383" t="s">
        <v>92</v>
      </c>
      <c r="E383" s="1">
        <v>45390</v>
      </c>
      <c r="F383">
        <v>2</v>
      </c>
      <c r="G383" t="s">
        <v>52</v>
      </c>
      <c r="H383" t="s">
        <v>81</v>
      </c>
      <c r="I383" t="s">
        <v>3187</v>
      </c>
      <c r="J383" t="s">
        <v>1361</v>
      </c>
      <c r="K383">
        <v>870</v>
      </c>
      <c r="L383">
        <v>600</v>
      </c>
      <c r="M383">
        <v>1200</v>
      </c>
      <c r="N383" t="s">
        <v>3188</v>
      </c>
    </row>
    <row r="384" spans="1:14" x14ac:dyDescent="0.2">
      <c r="A384" t="s">
        <v>1148</v>
      </c>
      <c r="B384" t="s">
        <v>1216</v>
      </c>
      <c r="C384">
        <v>2208</v>
      </c>
      <c r="D384" t="s">
        <v>42</v>
      </c>
      <c r="E384" s="1">
        <v>45444</v>
      </c>
      <c r="F384">
        <v>3</v>
      </c>
      <c r="G384" t="s">
        <v>32</v>
      </c>
      <c r="H384" t="s">
        <v>81</v>
      </c>
      <c r="I384" t="s">
        <v>3207</v>
      </c>
      <c r="J384" t="s">
        <v>1280</v>
      </c>
      <c r="K384">
        <v>800</v>
      </c>
      <c r="L384">
        <v>300</v>
      </c>
      <c r="M384">
        <v>900</v>
      </c>
      <c r="N384" t="s">
        <v>3208</v>
      </c>
    </row>
    <row r="385" spans="1:14" x14ac:dyDescent="0.2">
      <c r="A385" t="s">
        <v>1218</v>
      </c>
      <c r="B385" t="s">
        <v>433</v>
      </c>
      <c r="C385">
        <v>2213</v>
      </c>
      <c r="D385" t="s">
        <v>76</v>
      </c>
      <c r="E385" s="1">
        <v>45307</v>
      </c>
      <c r="F385">
        <v>2</v>
      </c>
      <c r="G385" t="s">
        <v>71</v>
      </c>
      <c r="H385" t="s">
        <v>81</v>
      </c>
      <c r="I385" t="s">
        <v>3217</v>
      </c>
      <c r="J385" t="s">
        <v>1280</v>
      </c>
      <c r="K385">
        <v>800</v>
      </c>
      <c r="L385">
        <v>1200</v>
      </c>
      <c r="M385">
        <v>2400</v>
      </c>
      <c r="N385" t="s">
        <v>3218</v>
      </c>
    </row>
    <row r="386" spans="1:14" x14ac:dyDescent="0.2">
      <c r="A386" t="s">
        <v>1223</v>
      </c>
      <c r="B386" t="s">
        <v>1224</v>
      </c>
      <c r="C386">
        <v>2220</v>
      </c>
      <c r="D386" t="s">
        <v>42</v>
      </c>
      <c r="E386" s="1">
        <v>45499</v>
      </c>
      <c r="F386">
        <v>3</v>
      </c>
      <c r="G386" t="s">
        <v>52</v>
      </c>
      <c r="H386" t="s">
        <v>81</v>
      </c>
      <c r="I386" t="s">
        <v>3231</v>
      </c>
      <c r="J386" t="s">
        <v>1280</v>
      </c>
      <c r="K386">
        <v>800</v>
      </c>
      <c r="L386">
        <v>300</v>
      </c>
      <c r="M386">
        <v>900</v>
      </c>
      <c r="N386" t="s">
        <v>3232</v>
      </c>
    </row>
    <row r="387" spans="1:14" x14ac:dyDescent="0.2">
      <c r="A387" t="s">
        <v>1226</v>
      </c>
      <c r="B387" t="s">
        <v>172</v>
      </c>
      <c r="C387">
        <v>2223</v>
      </c>
      <c r="D387" t="s">
        <v>42</v>
      </c>
      <c r="E387" s="1">
        <v>45518</v>
      </c>
      <c r="F387">
        <v>2</v>
      </c>
      <c r="G387" t="s">
        <v>52</v>
      </c>
      <c r="H387" t="s">
        <v>81</v>
      </c>
      <c r="I387" t="s">
        <v>3237</v>
      </c>
      <c r="J387" t="s">
        <v>1280</v>
      </c>
      <c r="K387">
        <v>800</v>
      </c>
      <c r="L387">
        <v>300</v>
      </c>
      <c r="M387">
        <v>600</v>
      </c>
      <c r="N387" t="s">
        <v>3238</v>
      </c>
    </row>
    <row r="388" spans="1:14" x14ac:dyDescent="0.2">
      <c r="A388" t="s">
        <v>49</v>
      </c>
      <c r="B388" t="s">
        <v>50</v>
      </c>
      <c r="C388">
        <v>1238</v>
      </c>
      <c r="D388" t="s">
        <v>51</v>
      </c>
      <c r="E388" s="1">
        <v>45624</v>
      </c>
      <c r="F388">
        <v>2</v>
      </c>
      <c r="G388" t="s">
        <v>52</v>
      </c>
      <c r="H388" t="s">
        <v>53</v>
      </c>
      <c r="I388" t="s">
        <v>1249</v>
      </c>
      <c r="J388" t="s">
        <v>1250</v>
      </c>
      <c r="K388">
        <v>4217</v>
      </c>
      <c r="L388">
        <v>250</v>
      </c>
      <c r="M388">
        <v>500</v>
      </c>
      <c r="N388" t="s">
        <v>1251</v>
      </c>
    </row>
    <row r="389" spans="1:14" x14ac:dyDescent="0.2">
      <c r="A389" t="s">
        <v>67</v>
      </c>
      <c r="B389" t="s">
        <v>68</v>
      </c>
      <c r="C389">
        <v>1244</v>
      </c>
      <c r="D389" t="s">
        <v>31</v>
      </c>
      <c r="E389" s="1">
        <v>45414</v>
      </c>
      <c r="F389">
        <v>1</v>
      </c>
      <c r="G389" t="s">
        <v>32</v>
      </c>
      <c r="H389" t="s">
        <v>53</v>
      </c>
      <c r="I389" t="s">
        <v>1267</v>
      </c>
      <c r="J389" t="s">
        <v>1268</v>
      </c>
      <c r="K389">
        <v>4870</v>
      </c>
      <c r="L389">
        <v>250</v>
      </c>
      <c r="M389">
        <v>250</v>
      </c>
      <c r="N389" t="s">
        <v>1269</v>
      </c>
    </row>
    <row r="390" spans="1:14" x14ac:dyDescent="0.2">
      <c r="A390" t="s">
        <v>103</v>
      </c>
      <c r="B390" t="s">
        <v>104</v>
      </c>
      <c r="C390">
        <v>1260</v>
      </c>
      <c r="D390" t="s">
        <v>76</v>
      </c>
      <c r="E390" s="1">
        <v>45301</v>
      </c>
      <c r="F390">
        <v>3</v>
      </c>
      <c r="G390" t="s">
        <v>32</v>
      </c>
      <c r="H390" t="s">
        <v>53</v>
      </c>
      <c r="I390" t="s">
        <v>1304</v>
      </c>
      <c r="J390" t="s">
        <v>1305</v>
      </c>
      <c r="K390">
        <v>4000</v>
      </c>
      <c r="L390">
        <v>1200</v>
      </c>
      <c r="M390">
        <v>3600</v>
      </c>
      <c r="N390" t="s">
        <v>1306</v>
      </c>
    </row>
    <row r="391" spans="1:14" x14ac:dyDescent="0.2">
      <c r="A391" t="s">
        <v>110</v>
      </c>
      <c r="B391" t="s">
        <v>111</v>
      </c>
      <c r="C391">
        <v>1264</v>
      </c>
      <c r="D391" t="s">
        <v>37</v>
      </c>
      <c r="E391" s="1">
        <v>45646</v>
      </c>
      <c r="F391">
        <v>2</v>
      </c>
      <c r="G391" t="s">
        <v>52</v>
      </c>
      <c r="H391" t="s">
        <v>53</v>
      </c>
      <c r="I391" t="s">
        <v>1313</v>
      </c>
      <c r="J391" t="s">
        <v>1250</v>
      </c>
      <c r="K391">
        <v>4217</v>
      </c>
      <c r="L391">
        <v>800</v>
      </c>
      <c r="M391">
        <v>1600</v>
      </c>
      <c r="N391" t="s">
        <v>1314</v>
      </c>
    </row>
    <row r="392" spans="1:14" x14ac:dyDescent="0.2">
      <c r="A392" t="s">
        <v>131</v>
      </c>
      <c r="B392" t="s">
        <v>132</v>
      </c>
      <c r="C392">
        <v>1274</v>
      </c>
      <c r="D392" t="s">
        <v>76</v>
      </c>
      <c r="E392" s="1">
        <v>45572</v>
      </c>
      <c r="F392">
        <v>1</v>
      </c>
      <c r="G392" t="s">
        <v>52</v>
      </c>
      <c r="H392" t="s">
        <v>53</v>
      </c>
      <c r="I392" t="s">
        <v>1333</v>
      </c>
      <c r="J392" t="s">
        <v>1250</v>
      </c>
      <c r="K392">
        <v>4217</v>
      </c>
      <c r="L392">
        <v>1200</v>
      </c>
      <c r="M392">
        <v>1200</v>
      </c>
      <c r="N392" t="s">
        <v>1334</v>
      </c>
    </row>
    <row r="393" spans="1:14" x14ac:dyDescent="0.2">
      <c r="A393" t="s">
        <v>143</v>
      </c>
      <c r="B393" t="s">
        <v>104</v>
      </c>
      <c r="C393">
        <v>1280</v>
      </c>
      <c r="D393" t="s">
        <v>76</v>
      </c>
      <c r="E393" s="1">
        <v>45436</v>
      </c>
      <c r="F393">
        <v>2</v>
      </c>
      <c r="G393" t="s">
        <v>32</v>
      </c>
      <c r="H393" t="s">
        <v>53</v>
      </c>
      <c r="I393" t="s">
        <v>1345</v>
      </c>
      <c r="J393" t="s">
        <v>1305</v>
      </c>
      <c r="K393">
        <v>4000</v>
      </c>
      <c r="L393">
        <v>1200</v>
      </c>
      <c r="M393">
        <v>2400</v>
      </c>
      <c r="N393" t="s">
        <v>1346</v>
      </c>
    </row>
    <row r="394" spans="1:14" x14ac:dyDescent="0.2">
      <c r="A394" t="s">
        <v>171</v>
      </c>
      <c r="B394" t="s">
        <v>172</v>
      </c>
      <c r="C394">
        <v>1296</v>
      </c>
      <c r="D394" t="s">
        <v>51</v>
      </c>
      <c r="E394" s="1">
        <v>45540</v>
      </c>
      <c r="F394">
        <v>1</v>
      </c>
      <c r="G394" t="s">
        <v>32</v>
      </c>
      <c r="H394" t="s">
        <v>53</v>
      </c>
      <c r="I394" t="s">
        <v>1379</v>
      </c>
      <c r="J394" t="s">
        <v>1250</v>
      </c>
      <c r="K394">
        <v>4217</v>
      </c>
      <c r="L394">
        <v>250</v>
      </c>
      <c r="M394">
        <v>250</v>
      </c>
      <c r="N394" t="s">
        <v>1380</v>
      </c>
    </row>
    <row r="395" spans="1:14" x14ac:dyDescent="0.2">
      <c r="A395" t="s">
        <v>77</v>
      </c>
      <c r="B395" t="s">
        <v>206</v>
      </c>
      <c r="C395">
        <v>1315</v>
      </c>
      <c r="D395" t="s">
        <v>42</v>
      </c>
      <c r="E395" s="1">
        <v>45518</v>
      </c>
      <c r="F395">
        <v>3</v>
      </c>
      <c r="G395" t="s">
        <v>52</v>
      </c>
      <c r="H395" t="s">
        <v>53</v>
      </c>
      <c r="I395" t="s">
        <v>1418</v>
      </c>
      <c r="J395" t="s">
        <v>1250</v>
      </c>
      <c r="K395">
        <v>4217</v>
      </c>
      <c r="L395">
        <v>300</v>
      </c>
      <c r="M395">
        <v>900</v>
      </c>
      <c r="N395" t="s">
        <v>1419</v>
      </c>
    </row>
    <row r="396" spans="1:14" x14ac:dyDescent="0.2">
      <c r="A396" t="s">
        <v>211</v>
      </c>
      <c r="B396" t="s">
        <v>212</v>
      </c>
      <c r="C396">
        <v>1318</v>
      </c>
      <c r="D396" t="s">
        <v>76</v>
      </c>
      <c r="E396" s="1">
        <v>45488</v>
      </c>
      <c r="F396">
        <v>2</v>
      </c>
      <c r="G396" t="s">
        <v>52</v>
      </c>
      <c r="H396" t="s">
        <v>53</v>
      </c>
      <c r="I396" t="s">
        <v>1424</v>
      </c>
      <c r="J396" t="s">
        <v>1250</v>
      </c>
      <c r="K396">
        <v>4217</v>
      </c>
      <c r="L396">
        <v>1200</v>
      </c>
      <c r="M396">
        <v>2400</v>
      </c>
      <c r="N396" t="s">
        <v>1425</v>
      </c>
    </row>
    <row r="397" spans="1:14" x14ac:dyDescent="0.2">
      <c r="A397" t="s">
        <v>231</v>
      </c>
      <c r="B397" t="s">
        <v>232</v>
      </c>
      <c r="C397">
        <v>1329</v>
      </c>
      <c r="D397" t="s">
        <v>42</v>
      </c>
      <c r="E397" s="1">
        <v>45396</v>
      </c>
      <c r="F397">
        <v>2</v>
      </c>
      <c r="G397" t="s">
        <v>32</v>
      </c>
      <c r="H397" t="s">
        <v>53</v>
      </c>
      <c r="I397" t="s">
        <v>1446</v>
      </c>
      <c r="J397" t="s">
        <v>1268</v>
      </c>
      <c r="K397">
        <v>4870</v>
      </c>
      <c r="L397">
        <v>300</v>
      </c>
      <c r="M397">
        <v>600</v>
      </c>
      <c r="N397" t="s">
        <v>1447</v>
      </c>
    </row>
    <row r="398" spans="1:14" x14ac:dyDescent="0.2">
      <c r="A398" t="s">
        <v>235</v>
      </c>
      <c r="B398" t="s">
        <v>236</v>
      </c>
      <c r="C398">
        <v>1331</v>
      </c>
      <c r="D398" t="s">
        <v>76</v>
      </c>
      <c r="E398" s="1">
        <v>45619</v>
      </c>
      <c r="F398">
        <v>2</v>
      </c>
      <c r="G398" t="s">
        <v>52</v>
      </c>
      <c r="H398" t="s">
        <v>53</v>
      </c>
      <c r="I398" t="s">
        <v>1450</v>
      </c>
      <c r="J398" t="s">
        <v>1268</v>
      </c>
      <c r="K398">
        <v>4870</v>
      </c>
      <c r="L398">
        <v>1200</v>
      </c>
      <c r="M398">
        <v>2400</v>
      </c>
      <c r="N398" t="s">
        <v>1451</v>
      </c>
    </row>
    <row r="399" spans="1:14" x14ac:dyDescent="0.2">
      <c r="A399" t="s">
        <v>239</v>
      </c>
      <c r="B399" t="s">
        <v>246</v>
      </c>
      <c r="C399">
        <v>1337</v>
      </c>
      <c r="D399" t="s">
        <v>76</v>
      </c>
      <c r="E399" s="1">
        <v>45493</v>
      </c>
      <c r="F399">
        <v>3</v>
      </c>
      <c r="G399" t="s">
        <v>32</v>
      </c>
      <c r="H399" t="s">
        <v>53</v>
      </c>
      <c r="I399" t="s">
        <v>1462</v>
      </c>
      <c r="J399" t="s">
        <v>1268</v>
      </c>
      <c r="K399">
        <v>4870</v>
      </c>
      <c r="L399">
        <v>1200</v>
      </c>
      <c r="M399">
        <v>3600</v>
      </c>
      <c r="N399" t="s">
        <v>1463</v>
      </c>
    </row>
    <row r="400" spans="1:14" x14ac:dyDescent="0.2">
      <c r="A400" t="s">
        <v>254</v>
      </c>
      <c r="B400" t="s">
        <v>255</v>
      </c>
      <c r="C400">
        <v>1342</v>
      </c>
      <c r="D400" t="s">
        <v>76</v>
      </c>
      <c r="E400" s="1">
        <v>45412</v>
      </c>
      <c r="F400">
        <v>1</v>
      </c>
      <c r="G400" t="s">
        <v>52</v>
      </c>
      <c r="H400" t="s">
        <v>53</v>
      </c>
      <c r="I400" t="s">
        <v>1472</v>
      </c>
      <c r="J400" t="s">
        <v>1305</v>
      </c>
      <c r="K400">
        <v>4000</v>
      </c>
      <c r="L400">
        <v>1200</v>
      </c>
      <c r="M400">
        <v>1200</v>
      </c>
      <c r="N400" t="s">
        <v>1473</v>
      </c>
    </row>
    <row r="401" spans="1:14" x14ac:dyDescent="0.2">
      <c r="A401" t="s">
        <v>224</v>
      </c>
      <c r="B401" t="s">
        <v>260</v>
      </c>
      <c r="C401">
        <v>1345</v>
      </c>
      <c r="D401" t="s">
        <v>31</v>
      </c>
      <c r="E401" s="1">
        <v>45480</v>
      </c>
      <c r="F401">
        <v>1</v>
      </c>
      <c r="G401" t="s">
        <v>52</v>
      </c>
      <c r="H401" t="s">
        <v>53</v>
      </c>
      <c r="I401" t="s">
        <v>1478</v>
      </c>
      <c r="J401" t="s">
        <v>1250</v>
      </c>
      <c r="K401">
        <v>4217</v>
      </c>
      <c r="L401">
        <v>250</v>
      </c>
      <c r="M401">
        <v>250</v>
      </c>
      <c r="N401" t="s">
        <v>1479</v>
      </c>
    </row>
    <row r="402" spans="1:14" x14ac:dyDescent="0.2">
      <c r="A402" t="s">
        <v>36</v>
      </c>
      <c r="B402" t="s">
        <v>94</v>
      </c>
      <c r="C402">
        <v>1346</v>
      </c>
      <c r="D402" t="s">
        <v>37</v>
      </c>
      <c r="E402" s="1">
        <v>45653</v>
      </c>
      <c r="F402">
        <v>2</v>
      </c>
      <c r="G402" t="s">
        <v>52</v>
      </c>
      <c r="H402" t="s">
        <v>53</v>
      </c>
      <c r="I402" t="s">
        <v>1480</v>
      </c>
      <c r="J402" t="s">
        <v>1268</v>
      </c>
      <c r="K402">
        <v>4870</v>
      </c>
      <c r="L402">
        <v>800</v>
      </c>
      <c r="M402">
        <v>1600</v>
      </c>
      <c r="N402" t="s">
        <v>1481</v>
      </c>
    </row>
    <row r="403" spans="1:14" x14ac:dyDescent="0.2">
      <c r="A403" t="s">
        <v>273</v>
      </c>
      <c r="B403" t="s">
        <v>221</v>
      </c>
      <c r="C403">
        <v>1354</v>
      </c>
      <c r="D403" t="s">
        <v>92</v>
      </c>
      <c r="E403" s="1">
        <v>45505</v>
      </c>
      <c r="F403">
        <v>2</v>
      </c>
      <c r="G403" t="s">
        <v>32</v>
      </c>
      <c r="H403" t="s">
        <v>53</v>
      </c>
      <c r="I403" t="s">
        <v>1496</v>
      </c>
      <c r="J403" t="s">
        <v>1250</v>
      </c>
      <c r="K403">
        <v>4217</v>
      </c>
      <c r="L403">
        <v>600</v>
      </c>
      <c r="M403">
        <v>1200</v>
      </c>
      <c r="N403" t="s">
        <v>1497</v>
      </c>
    </row>
    <row r="404" spans="1:14" x14ac:dyDescent="0.2">
      <c r="A404" t="s">
        <v>288</v>
      </c>
      <c r="B404" t="s">
        <v>289</v>
      </c>
      <c r="C404">
        <v>1363</v>
      </c>
      <c r="D404" t="s">
        <v>76</v>
      </c>
      <c r="E404" s="1">
        <v>45354</v>
      </c>
      <c r="F404">
        <v>2</v>
      </c>
      <c r="G404" t="s">
        <v>38</v>
      </c>
      <c r="H404" t="s">
        <v>53</v>
      </c>
      <c r="I404" t="s">
        <v>1514</v>
      </c>
      <c r="J404" t="s">
        <v>1268</v>
      </c>
      <c r="K404">
        <v>4870</v>
      </c>
      <c r="L404">
        <v>1200</v>
      </c>
      <c r="M404">
        <v>2400</v>
      </c>
      <c r="N404" t="s">
        <v>1515</v>
      </c>
    </row>
    <row r="405" spans="1:14" x14ac:dyDescent="0.2">
      <c r="A405" t="s">
        <v>299</v>
      </c>
      <c r="B405" t="s">
        <v>152</v>
      </c>
      <c r="C405">
        <v>1369</v>
      </c>
      <c r="D405" t="s">
        <v>76</v>
      </c>
      <c r="E405" s="1">
        <v>45546</v>
      </c>
      <c r="F405">
        <v>2</v>
      </c>
      <c r="G405" t="s">
        <v>52</v>
      </c>
      <c r="H405" t="s">
        <v>53</v>
      </c>
      <c r="I405" t="s">
        <v>1526</v>
      </c>
      <c r="J405" t="s">
        <v>1305</v>
      </c>
      <c r="K405">
        <v>4000</v>
      </c>
      <c r="L405">
        <v>1200</v>
      </c>
      <c r="M405">
        <v>2400</v>
      </c>
      <c r="N405" t="s">
        <v>1527</v>
      </c>
    </row>
    <row r="406" spans="1:14" x14ac:dyDescent="0.2">
      <c r="A406" t="s">
        <v>154</v>
      </c>
      <c r="B406" t="s">
        <v>151</v>
      </c>
      <c r="C406">
        <v>1392</v>
      </c>
      <c r="D406" t="s">
        <v>31</v>
      </c>
      <c r="E406" s="1">
        <v>45570</v>
      </c>
      <c r="F406">
        <v>3</v>
      </c>
      <c r="G406" t="s">
        <v>52</v>
      </c>
      <c r="H406" t="s">
        <v>53</v>
      </c>
      <c r="I406" t="s">
        <v>1572</v>
      </c>
      <c r="J406" t="s">
        <v>1305</v>
      </c>
      <c r="K406">
        <v>4000</v>
      </c>
      <c r="L406">
        <v>250</v>
      </c>
      <c r="M406">
        <v>750</v>
      </c>
      <c r="N406" t="s">
        <v>1573</v>
      </c>
    </row>
    <row r="407" spans="1:14" x14ac:dyDescent="0.2">
      <c r="A407" t="s">
        <v>344</v>
      </c>
      <c r="B407" t="s">
        <v>250</v>
      </c>
      <c r="C407">
        <v>1398</v>
      </c>
      <c r="D407" t="s">
        <v>92</v>
      </c>
      <c r="E407" s="1">
        <v>45552</v>
      </c>
      <c r="F407">
        <v>1</v>
      </c>
      <c r="G407" t="s">
        <v>52</v>
      </c>
      <c r="H407" t="s">
        <v>53</v>
      </c>
      <c r="I407" t="s">
        <v>1584</v>
      </c>
      <c r="J407" t="s">
        <v>1305</v>
      </c>
      <c r="K407">
        <v>4000</v>
      </c>
      <c r="L407">
        <v>600</v>
      </c>
      <c r="M407">
        <v>600</v>
      </c>
      <c r="N407" t="s">
        <v>1585</v>
      </c>
    </row>
    <row r="408" spans="1:14" x14ac:dyDescent="0.2">
      <c r="A408" t="s">
        <v>371</v>
      </c>
      <c r="B408" t="s">
        <v>372</v>
      </c>
      <c r="C408">
        <v>1415</v>
      </c>
      <c r="D408" t="s">
        <v>31</v>
      </c>
      <c r="E408" s="1">
        <v>45391</v>
      </c>
      <c r="F408">
        <v>2</v>
      </c>
      <c r="G408" t="s">
        <v>32</v>
      </c>
      <c r="H408" t="s">
        <v>53</v>
      </c>
      <c r="I408" t="s">
        <v>1618</v>
      </c>
      <c r="J408" t="s">
        <v>1268</v>
      </c>
      <c r="K408">
        <v>4870</v>
      </c>
      <c r="L408">
        <v>250</v>
      </c>
      <c r="M408">
        <v>500</v>
      </c>
      <c r="N408" t="s">
        <v>1619</v>
      </c>
    </row>
    <row r="409" spans="1:14" x14ac:dyDescent="0.2">
      <c r="A409" t="s">
        <v>375</v>
      </c>
      <c r="B409" t="s">
        <v>376</v>
      </c>
      <c r="C409">
        <v>1417</v>
      </c>
      <c r="D409" t="s">
        <v>31</v>
      </c>
      <c r="E409" s="1">
        <v>45363</v>
      </c>
      <c r="F409">
        <v>2</v>
      </c>
      <c r="G409" t="s">
        <v>32</v>
      </c>
      <c r="H409" t="s">
        <v>53</v>
      </c>
      <c r="I409" t="s">
        <v>1622</v>
      </c>
      <c r="J409" t="s">
        <v>1268</v>
      </c>
      <c r="K409">
        <v>4870</v>
      </c>
      <c r="L409">
        <v>250</v>
      </c>
      <c r="M409">
        <v>500</v>
      </c>
      <c r="N409" t="s">
        <v>1623</v>
      </c>
    </row>
    <row r="410" spans="1:14" x14ac:dyDescent="0.2">
      <c r="A410" t="s">
        <v>381</v>
      </c>
      <c r="B410" t="s">
        <v>382</v>
      </c>
      <c r="C410">
        <v>1420</v>
      </c>
      <c r="D410" t="s">
        <v>42</v>
      </c>
      <c r="E410" s="1">
        <v>45639</v>
      </c>
      <c r="F410">
        <v>3</v>
      </c>
      <c r="G410" t="s">
        <v>52</v>
      </c>
      <c r="H410" t="s">
        <v>53</v>
      </c>
      <c r="I410" t="s">
        <v>1628</v>
      </c>
      <c r="J410" t="s">
        <v>1305</v>
      </c>
      <c r="K410">
        <v>4000</v>
      </c>
      <c r="L410">
        <v>300</v>
      </c>
      <c r="M410">
        <v>900</v>
      </c>
      <c r="N410" t="s">
        <v>1629</v>
      </c>
    </row>
    <row r="411" spans="1:14" x14ac:dyDescent="0.2">
      <c r="A411" t="s">
        <v>117</v>
      </c>
      <c r="B411" t="s">
        <v>391</v>
      </c>
      <c r="C411">
        <v>1426</v>
      </c>
      <c r="D411" t="s">
        <v>92</v>
      </c>
      <c r="E411" s="1">
        <v>45374</v>
      </c>
      <c r="F411">
        <v>3</v>
      </c>
      <c r="G411" t="s">
        <v>32</v>
      </c>
      <c r="H411" t="s">
        <v>53</v>
      </c>
      <c r="I411" t="s">
        <v>1640</v>
      </c>
      <c r="J411" t="s">
        <v>1305</v>
      </c>
      <c r="K411">
        <v>4000</v>
      </c>
      <c r="L411">
        <v>600</v>
      </c>
      <c r="M411">
        <v>1800</v>
      </c>
      <c r="N411" t="s">
        <v>1641</v>
      </c>
    </row>
    <row r="412" spans="1:14" x14ac:dyDescent="0.2">
      <c r="A412" t="s">
        <v>404</v>
      </c>
      <c r="B412" t="s">
        <v>405</v>
      </c>
      <c r="C412">
        <v>1435</v>
      </c>
      <c r="D412" t="s">
        <v>42</v>
      </c>
      <c r="E412" s="1">
        <v>45363</v>
      </c>
      <c r="F412">
        <v>1</v>
      </c>
      <c r="G412" t="s">
        <v>32</v>
      </c>
      <c r="H412" t="s">
        <v>53</v>
      </c>
      <c r="I412" t="s">
        <v>1658</v>
      </c>
      <c r="J412" t="s">
        <v>1268</v>
      </c>
      <c r="K412">
        <v>4870</v>
      </c>
      <c r="L412">
        <v>300</v>
      </c>
      <c r="M412">
        <v>300</v>
      </c>
      <c r="N412" t="s">
        <v>1659</v>
      </c>
    </row>
    <row r="413" spans="1:14" x14ac:dyDescent="0.2">
      <c r="A413" t="s">
        <v>409</v>
      </c>
      <c r="B413" t="s">
        <v>410</v>
      </c>
      <c r="C413">
        <v>1438</v>
      </c>
      <c r="D413" t="s">
        <v>31</v>
      </c>
      <c r="E413" s="1">
        <v>45575</v>
      </c>
      <c r="F413">
        <v>1</v>
      </c>
      <c r="G413" t="s">
        <v>52</v>
      </c>
      <c r="H413" t="s">
        <v>53</v>
      </c>
      <c r="I413" t="s">
        <v>1664</v>
      </c>
      <c r="J413" t="s">
        <v>1268</v>
      </c>
      <c r="K413">
        <v>4870</v>
      </c>
      <c r="L413">
        <v>250</v>
      </c>
      <c r="M413">
        <v>250</v>
      </c>
      <c r="N413" t="s">
        <v>1665</v>
      </c>
    </row>
    <row r="414" spans="1:14" x14ac:dyDescent="0.2">
      <c r="A414" t="s">
        <v>413</v>
      </c>
      <c r="B414" t="s">
        <v>414</v>
      </c>
      <c r="C414">
        <v>1441</v>
      </c>
      <c r="D414" t="s">
        <v>31</v>
      </c>
      <c r="E414" s="1">
        <v>45314</v>
      </c>
      <c r="F414">
        <v>2</v>
      </c>
      <c r="G414" t="s">
        <v>52</v>
      </c>
      <c r="H414" t="s">
        <v>53</v>
      </c>
      <c r="I414" t="s">
        <v>1670</v>
      </c>
      <c r="J414" t="s">
        <v>1268</v>
      </c>
      <c r="K414">
        <v>4870</v>
      </c>
      <c r="L414">
        <v>250</v>
      </c>
      <c r="M414">
        <v>500</v>
      </c>
      <c r="N414" t="s">
        <v>1671</v>
      </c>
    </row>
    <row r="415" spans="1:14" x14ac:dyDescent="0.2">
      <c r="A415" t="s">
        <v>424</v>
      </c>
      <c r="B415" t="s">
        <v>425</v>
      </c>
      <c r="C415">
        <v>1447</v>
      </c>
      <c r="D415" t="s">
        <v>51</v>
      </c>
      <c r="E415" s="1">
        <v>45520</v>
      </c>
      <c r="F415">
        <v>2</v>
      </c>
      <c r="G415" t="s">
        <v>32</v>
      </c>
      <c r="H415" t="s">
        <v>53</v>
      </c>
      <c r="I415" t="s">
        <v>1682</v>
      </c>
      <c r="J415" t="s">
        <v>1305</v>
      </c>
      <c r="K415">
        <v>4000</v>
      </c>
      <c r="L415">
        <v>250</v>
      </c>
      <c r="M415">
        <v>500</v>
      </c>
      <c r="N415" t="s">
        <v>1683</v>
      </c>
    </row>
    <row r="416" spans="1:14" x14ac:dyDescent="0.2">
      <c r="A416" t="s">
        <v>440</v>
      </c>
      <c r="B416" t="s">
        <v>441</v>
      </c>
      <c r="C416">
        <v>1457</v>
      </c>
      <c r="D416" t="s">
        <v>76</v>
      </c>
      <c r="E416" s="1">
        <v>45469</v>
      </c>
      <c r="F416">
        <v>1</v>
      </c>
      <c r="G416" t="s">
        <v>38</v>
      </c>
      <c r="H416" t="s">
        <v>53</v>
      </c>
      <c r="I416" t="s">
        <v>1702</v>
      </c>
      <c r="J416" t="s">
        <v>1305</v>
      </c>
      <c r="K416">
        <v>4000</v>
      </c>
      <c r="L416">
        <v>1200</v>
      </c>
      <c r="M416">
        <v>1200</v>
      </c>
      <c r="N416" t="s">
        <v>1703</v>
      </c>
    </row>
    <row r="417" spans="1:14" x14ac:dyDescent="0.2">
      <c r="A417" t="s">
        <v>444</v>
      </c>
      <c r="B417" t="s">
        <v>445</v>
      </c>
      <c r="C417">
        <v>1460</v>
      </c>
      <c r="D417" t="s">
        <v>92</v>
      </c>
      <c r="E417" s="1">
        <v>45298</v>
      </c>
      <c r="F417">
        <v>1</v>
      </c>
      <c r="G417" t="s">
        <v>52</v>
      </c>
      <c r="H417" t="s">
        <v>53</v>
      </c>
      <c r="I417" t="s">
        <v>1708</v>
      </c>
      <c r="J417" t="s">
        <v>1305</v>
      </c>
      <c r="K417">
        <v>4000</v>
      </c>
      <c r="L417">
        <v>600</v>
      </c>
      <c r="M417">
        <v>600</v>
      </c>
      <c r="N417" t="s">
        <v>1709</v>
      </c>
    </row>
    <row r="418" spans="1:14" x14ac:dyDescent="0.2">
      <c r="A418" t="s">
        <v>465</v>
      </c>
      <c r="B418" t="s">
        <v>466</v>
      </c>
      <c r="C418">
        <v>1474</v>
      </c>
      <c r="D418" t="s">
        <v>37</v>
      </c>
      <c r="E418" s="1">
        <v>45428</v>
      </c>
      <c r="F418">
        <v>3</v>
      </c>
      <c r="G418" t="s">
        <v>52</v>
      </c>
      <c r="H418" t="s">
        <v>53</v>
      </c>
      <c r="I418" t="s">
        <v>1736</v>
      </c>
      <c r="J418" t="s">
        <v>1305</v>
      </c>
      <c r="K418">
        <v>4000</v>
      </c>
      <c r="L418">
        <v>800</v>
      </c>
      <c r="M418">
        <v>2400</v>
      </c>
      <c r="N418" t="s">
        <v>1737</v>
      </c>
    </row>
    <row r="419" spans="1:14" x14ac:dyDescent="0.2">
      <c r="A419" t="s">
        <v>469</v>
      </c>
      <c r="B419" t="s">
        <v>470</v>
      </c>
      <c r="C419">
        <v>1476</v>
      </c>
      <c r="D419" t="s">
        <v>42</v>
      </c>
      <c r="E419" s="1">
        <v>45648</v>
      </c>
      <c r="F419">
        <v>1</v>
      </c>
      <c r="G419" t="s">
        <v>32</v>
      </c>
      <c r="H419" t="s">
        <v>53</v>
      </c>
      <c r="I419" t="s">
        <v>1740</v>
      </c>
      <c r="J419" t="s">
        <v>1250</v>
      </c>
      <c r="K419">
        <v>4217</v>
      </c>
      <c r="L419">
        <v>300</v>
      </c>
      <c r="M419">
        <v>300</v>
      </c>
      <c r="N419" t="s">
        <v>1741</v>
      </c>
    </row>
    <row r="420" spans="1:14" x14ac:dyDescent="0.2">
      <c r="A420" t="s">
        <v>117</v>
      </c>
      <c r="B420" t="s">
        <v>475</v>
      </c>
      <c r="C420">
        <v>1479</v>
      </c>
      <c r="D420" t="s">
        <v>31</v>
      </c>
      <c r="E420" s="1">
        <v>45622</v>
      </c>
      <c r="F420">
        <v>2</v>
      </c>
      <c r="G420" t="s">
        <v>38</v>
      </c>
      <c r="H420" t="s">
        <v>53</v>
      </c>
      <c r="I420" t="s">
        <v>1746</v>
      </c>
      <c r="J420" t="s">
        <v>1305</v>
      </c>
      <c r="K420">
        <v>4000</v>
      </c>
      <c r="L420">
        <v>250</v>
      </c>
      <c r="M420">
        <v>500</v>
      </c>
      <c r="N420" t="s">
        <v>1747</v>
      </c>
    </row>
    <row r="421" spans="1:14" x14ac:dyDescent="0.2">
      <c r="A421" t="s">
        <v>476</v>
      </c>
      <c r="B421" t="s">
        <v>399</v>
      </c>
      <c r="C421">
        <v>1480</v>
      </c>
      <c r="D421" t="s">
        <v>37</v>
      </c>
      <c r="E421" s="1">
        <v>45457</v>
      </c>
      <c r="F421">
        <v>2</v>
      </c>
      <c r="G421" t="s">
        <v>32</v>
      </c>
      <c r="H421" t="s">
        <v>53</v>
      </c>
      <c r="I421" t="s">
        <v>1748</v>
      </c>
      <c r="J421" t="s">
        <v>1250</v>
      </c>
      <c r="K421">
        <v>4217</v>
      </c>
      <c r="L421">
        <v>800</v>
      </c>
      <c r="M421">
        <v>1600</v>
      </c>
      <c r="N421" t="s">
        <v>1749</v>
      </c>
    </row>
    <row r="422" spans="1:14" x14ac:dyDescent="0.2">
      <c r="A422" t="s">
        <v>328</v>
      </c>
      <c r="B422" t="s">
        <v>433</v>
      </c>
      <c r="C422">
        <v>1484</v>
      </c>
      <c r="D422" t="s">
        <v>76</v>
      </c>
      <c r="E422" s="1">
        <v>45350</v>
      </c>
      <c r="F422">
        <v>3</v>
      </c>
      <c r="G422" t="s">
        <v>32</v>
      </c>
      <c r="H422" t="s">
        <v>53</v>
      </c>
      <c r="I422" t="s">
        <v>1756</v>
      </c>
      <c r="J422" t="s">
        <v>1305</v>
      </c>
      <c r="K422">
        <v>4000</v>
      </c>
      <c r="L422">
        <v>1200</v>
      </c>
      <c r="M422">
        <v>3600</v>
      </c>
      <c r="N422" t="s">
        <v>1757</v>
      </c>
    </row>
    <row r="423" spans="1:14" x14ac:dyDescent="0.2">
      <c r="A423" t="s">
        <v>482</v>
      </c>
      <c r="B423" t="s">
        <v>483</v>
      </c>
      <c r="C423">
        <v>1485</v>
      </c>
      <c r="D423" t="s">
        <v>31</v>
      </c>
      <c r="E423" s="1">
        <v>45409</v>
      </c>
      <c r="F423">
        <v>2</v>
      </c>
      <c r="G423" t="s">
        <v>52</v>
      </c>
      <c r="H423" t="s">
        <v>53</v>
      </c>
      <c r="I423" t="s">
        <v>1758</v>
      </c>
      <c r="J423" t="s">
        <v>1305</v>
      </c>
      <c r="K423">
        <v>4000</v>
      </c>
      <c r="L423">
        <v>250</v>
      </c>
      <c r="M423">
        <v>500</v>
      </c>
      <c r="N423" t="s">
        <v>1759</v>
      </c>
    </row>
    <row r="424" spans="1:14" x14ac:dyDescent="0.2">
      <c r="A424" t="s">
        <v>233</v>
      </c>
      <c r="B424" t="s">
        <v>492</v>
      </c>
      <c r="C424">
        <v>1491</v>
      </c>
      <c r="D424" t="s">
        <v>31</v>
      </c>
      <c r="E424" s="1">
        <v>45520</v>
      </c>
      <c r="F424">
        <v>3</v>
      </c>
      <c r="G424" t="s">
        <v>32</v>
      </c>
      <c r="H424" t="s">
        <v>53</v>
      </c>
      <c r="I424" t="s">
        <v>1770</v>
      </c>
      <c r="J424" t="s">
        <v>1305</v>
      </c>
      <c r="K424">
        <v>4000</v>
      </c>
      <c r="L424">
        <v>250</v>
      </c>
      <c r="M424">
        <v>750</v>
      </c>
      <c r="N424" t="s">
        <v>1771</v>
      </c>
    </row>
    <row r="425" spans="1:14" x14ac:dyDescent="0.2">
      <c r="A425" t="s">
        <v>55</v>
      </c>
      <c r="B425" t="s">
        <v>499</v>
      </c>
      <c r="C425">
        <v>1497</v>
      </c>
      <c r="D425" t="s">
        <v>51</v>
      </c>
      <c r="E425" s="1">
        <v>45350</v>
      </c>
      <c r="F425">
        <v>3</v>
      </c>
      <c r="G425" t="s">
        <v>52</v>
      </c>
      <c r="H425" t="s">
        <v>53</v>
      </c>
      <c r="I425" t="s">
        <v>1782</v>
      </c>
      <c r="J425" t="s">
        <v>1268</v>
      </c>
      <c r="K425">
        <v>4870</v>
      </c>
      <c r="L425">
        <v>250</v>
      </c>
      <c r="M425">
        <v>750</v>
      </c>
      <c r="N425" t="s">
        <v>1783</v>
      </c>
    </row>
    <row r="426" spans="1:14" x14ac:dyDescent="0.2">
      <c r="A426" t="s">
        <v>504</v>
      </c>
      <c r="B426" t="s">
        <v>505</v>
      </c>
      <c r="C426">
        <v>1501</v>
      </c>
      <c r="D426" t="s">
        <v>76</v>
      </c>
      <c r="E426" s="1">
        <v>45614</v>
      </c>
      <c r="F426">
        <v>3</v>
      </c>
      <c r="G426" t="s">
        <v>32</v>
      </c>
      <c r="H426" t="s">
        <v>53</v>
      </c>
      <c r="I426" t="s">
        <v>1790</v>
      </c>
      <c r="J426" t="s">
        <v>1250</v>
      </c>
      <c r="K426">
        <v>4217</v>
      </c>
      <c r="L426">
        <v>1200</v>
      </c>
      <c r="M426">
        <v>3600</v>
      </c>
      <c r="N426" t="s">
        <v>1791</v>
      </c>
    </row>
    <row r="427" spans="1:14" x14ac:dyDescent="0.2">
      <c r="A427" t="s">
        <v>127</v>
      </c>
      <c r="B427" t="s">
        <v>231</v>
      </c>
      <c r="C427">
        <v>1508</v>
      </c>
      <c r="D427" t="s">
        <v>76</v>
      </c>
      <c r="E427" s="1">
        <v>45539</v>
      </c>
      <c r="F427">
        <v>1</v>
      </c>
      <c r="G427" t="s">
        <v>32</v>
      </c>
      <c r="H427" t="s">
        <v>53</v>
      </c>
      <c r="I427" t="s">
        <v>1804</v>
      </c>
      <c r="J427" t="s">
        <v>1268</v>
      </c>
      <c r="K427">
        <v>4870</v>
      </c>
      <c r="L427">
        <v>1200</v>
      </c>
      <c r="M427">
        <v>1200</v>
      </c>
      <c r="N427" t="s">
        <v>1805</v>
      </c>
    </row>
    <row r="428" spans="1:14" x14ac:dyDescent="0.2">
      <c r="A428" t="s">
        <v>261</v>
      </c>
      <c r="B428" t="s">
        <v>177</v>
      </c>
      <c r="C428">
        <v>1528</v>
      </c>
      <c r="D428" t="s">
        <v>76</v>
      </c>
      <c r="E428" s="1">
        <v>45576</v>
      </c>
      <c r="F428">
        <v>3</v>
      </c>
      <c r="G428" t="s">
        <v>32</v>
      </c>
      <c r="H428" t="s">
        <v>53</v>
      </c>
      <c r="I428" t="s">
        <v>1844</v>
      </c>
      <c r="J428" t="s">
        <v>1268</v>
      </c>
      <c r="K428">
        <v>4870</v>
      </c>
      <c r="L428">
        <v>1200</v>
      </c>
      <c r="M428">
        <v>3600</v>
      </c>
      <c r="N428" t="s">
        <v>1845</v>
      </c>
    </row>
    <row r="429" spans="1:14" x14ac:dyDescent="0.2">
      <c r="A429" t="s">
        <v>543</v>
      </c>
      <c r="B429" t="s">
        <v>544</v>
      </c>
      <c r="C429">
        <v>1533</v>
      </c>
      <c r="D429" t="s">
        <v>42</v>
      </c>
      <c r="E429" s="1">
        <v>45655</v>
      </c>
      <c r="F429">
        <v>1</v>
      </c>
      <c r="G429" t="s">
        <v>52</v>
      </c>
      <c r="H429" t="s">
        <v>53</v>
      </c>
      <c r="I429" t="s">
        <v>1854</v>
      </c>
      <c r="J429" t="s">
        <v>1268</v>
      </c>
      <c r="K429">
        <v>4870</v>
      </c>
      <c r="L429">
        <v>300</v>
      </c>
      <c r="M429">
        <v>300</v>
      </c>
      <c r="N429" t="s">
        <v>1855</v>
      </c>
    </row>
    <row r="430" spans="1:14" x14ac:dyDescent="0.2">
      <c r="A430" t="s">
        <v>545</v>
      </c>
      <c r="B430" t="s">
        <v>546</v>
      </c>
      <c r="C430">
        <v>1534</v>
      </c>
      <c r="D430" t="s">
        <v>37</v>
      </c>
      <c r="E430" s="1">
        <v>45563</v>
      </c>
      <c r="F430">
        <v>1</v>
      </c>
      <c r="G430" t="s">
        <v>32</v>
      </c>
      <c r="H430" t="s">
        <v>53</v>
      </c>
      <c r="I430" t="s">
        <v>1856</v>
      </c>
      <c r="J430" t="s">
        <v>1268</v>
      </c>
      <c r="K430">
        <v>4870</v>
      </c>
      <c r="L430">
        <v>800</v>
      </c>
      <c r="M430">
        <v>800</v>
      </c>
      <c r="N430" t="s">
        <v>1857</v>
      </c>
    </row>
    <row r="431" spans="1:14" x14ac:dyDescent="0.2">
      <c r="A431" t="s">
        <v>548</v>
      </c>
      <c r="B431" t="s">
        <v>194</v>
      </c>
      <c r="C431">
        <v>1536</v>
      </c>
      <c r="D431" t="s">
        <v>51</v>
      </c>
      <c r="E431" s="1">
        <v>45651</v>
      </c>
      <c r="F431">
        <v>3</v>
      </c>
      <c r="G431" t="s">
        <v>38</v>
      </c>
      <c r="H431" t="s">
        <v>53</v>
      </c>
      <c r="I431" t="s">
        <v>1860</v>
      </c>
      <c r="J431" t="s">
        <v>1250</v>
      </c>
      <c r="K431">
        <v>4217</v>
      </c>
      <c r="L431">
        <v>250</v>
      </c>
      <c r="M431">
        <v>750</v>
      </c>
      <c r="N431" t="s">
        <v>1861</v>
      </c>
    </row>
    <row r="432" spans="1:14" x14ac:dyDescent="0.2">
      <c r="A432" t="s">
        <v>241</v>
      </c>
      <c r="B432" t="s">
        <v>570</v>
      </c>
      <c r="C432">
        <v>1554</v>
      </c>
      <c r="D432" t="s">
        <v>51</v>
      </c>
      <c r="E432" s="1">
        <v>45301</v>
      </c>
      <c r="F432">
        <v>1</v>
      </c>
      <c r="G432" t="s">
        <v>32</v>
      </c>
      <c r="H432" t="s">
        <v>53</v>
      </c>
      <c r="I432" t="s">
        <v>1896</v>
      </c>
      <c r="J432" t="s">
        <v>1268</v>
      </c>
      <c r="K432">
        <v>4870</v>
      </c>
      <c r="L432">
        <v>250</v>
      </c>
      <c r="M432">
        <v>250</v>
      </c>
      <c r="N432" t="s">
        <v>1897</v>
      </c>
    </row>
    <row r="433" spans="1:14" x14ac:dyDescent="0.2">
      <c r="A433" t="s">
        <v>200</v>
      </c>
      <c r="B433" t="s">
        <v>449</v>
      </c>
      <c r="C433">
        <v>1573</v>
      </c>
      <c r="D433" t="s">
        <v>31</v>
      </c>
      <c r="E433" s="1">
        <v>45385</v>
      </c>
      <c r="F433">
        <v>1</v>
      </c>
      <c r="G433" t="s">
        <v>32</v>
      </c>
      <c r="H433" t="s">
        <v>53</v>
      </c>
      <c r="I433" t="s">
        <v>1934</v>
      </c>
      <c r="J433" t="s">
        <v>1250</v>
      </c>
      <c r="K433">
        <v>4217</v>
      </c>
      <c r="L433">
        <v>250</v>
      </c>
      <c r="M433">
        <v>250</v>
      </c>
      <c r="N433" t="s">
        <v>1935</v>
      </c>
    </row>
    <row r="434" spans="1:14" x14ac:dyDescent="0.2">
      <c r="A434" t="s">
        <v>286</v>
      </c>
      <c r="B434" t="s">
        <v>618</v>
      </c>
      <c r="C434">
        <v>1590</v>
      </c>
      <c r="D434" t="s">
        <v>51</v>
      </c>
      <c r="E434" s="1">
        <v>45507</v>
      </c>
      <c r="F434">
        <v>1</v>
      </c>
      <c r="G434" t="s">
        <v>52</v>
      </c>
      <c r="H434" t="s">
        <v>53</v>
      </c>
      <c r="I434" t="s">
        <v>1968</v>
      </c>
      <c r="J434" t="s">
        <v>1305</v>
      </c>
      <c r="K434">
        <v>4000</v>
      </c>
      <c r="L434">
        <v>250</v>
      </c>
      <c r="M434">
        <v>250</v>
      </c>
      <c r="N434" t="s">
        <v>1969</v>
      </c>
    </row>
    <row r="435" spans="1:14" x14ac:dyDescent="0.2">
      <c r="A435" t="s">
        <v>628</v>
      </c>
      <c r="B435" t="s">
        <v>629</v>
      </c>
      <c r="C435">
        <v>1601</v>
      </c>
      <c r="D435" t="s">
        <v>37</v>
      </c>
      <c r="E435" s="1">
        <v>45631</v>
      </c>
      <c r="F435">
        <v>1</v>
      </c>
      <c r="G435" t="s">
        <v>52</v>
      </c>
      <c r="H435" t="s">
        <v>53</v>
      </c>
      <c r="I435" t="s">
        <v>1990</v>
      </c>
      <c r="J435" t="s">
        <v>1250</v>
      </c>
      <c r="K435">
        <v>4217</v>
      </c>
      <c r="L435">
        <v>800</v>
      </c>
      <c r="M435">
        <v>800</v>
      </c>
      <c r="N435" t="s">
        <v>1991</v>
      </c>
    </row>
    <row r="436" spans="1:14" x14ac:dyDescent="0.2">
      <c r="A436" t="s">
        <v>637</v>
      </c>
      <c r="B436" t="s">
        <v>501</v>
      </c>
      <c r="C436">
        <v>1607</v>
      </c>
      <c r="D436" t="s">
        <v>37</v>
      </c>
      <c r="E436" s="1">
        <v>45501</v>
      </c>
      <c r="F436">
        <v>3</v>
      </c>
      <c r="G436" t="s">
        <v>32</v>
      </c>
      <c r="H436" t="s">
        <v>53</v>
      </c>
      <c r="I436" t="s">
        <v>2002</v>
      </c>
      <c r="J436" t="s">
        <v>1268</v>
      </c>
      <c r="K436">
        <v>4870</v>
      </c>
      <c r="L436">
        <v>800</v>
      </c>
      <c r="M436">
        <v>2400</v>
      </c>
      <c r="N436" t="s">
        <v>2003</v>
      </c>
    </row>
    <row r="437" spans="1:14" x14ac:dyDescent="0.2">
      <c r="A437" t="s">
        <v>647</v>
      </c>
      <c r="B437" t="s">
        <v>179</v>
      </c>
      <c r="C437">
        <v>1616</v>
      </c>
      <c r="D437" t="s">
        <v>76</v>
      </c>
      <c r="E437" s="1">
        <v>45439</v>
      </c>
      <c r="F437">
        <v>3</v>
      </c>
      <c r="G437" t="s">
        <v>38</v>
      </c>
      <c r="H437" t="s">
        <v>53</v>
      </c>
      <c r="I437" t="s">
        <v>2022</v>
      </c>
      <c r="J437" t="s">
        <v>1250</v>
      </c>
      <c r="K437">
        <v>4217</v>
      </c>
      <c r="L437">
        <v>1200</v>
      </c>
      <c r="M437">
        <v>3600</v>
      </c>
      <c r="N437" t="s">
        <v>2023</v>
      </c>
    </row>
    <row r="438" spans="1:14" x14ac:dyDescent="0.2">
      <c r="A438" t="s">
        <v>651</v>
      </c>
      <c r="B438" t="s">
        <v>481</v>
      </c>
      <c r="C438">
        <v>1619</v>
      </c>
      <c r="D438" t="s">
        <v>76</v>
      </c>
      <c r="E438" s="1">
        <v>45573</v>
      </c>
      <c r="F438">
        <v>2</v>
      </c>
      <c r="G438" t="s">
        <v>32</v>
      </c>
      <c r="H438" t="s">
        <v>53</v>
      </c>
      <c r="I438" t="s">
        <v>2028</v>
      </c>
      <c r="J438" t="s">
        <v>1268</v>
      </c>
      <c r="K438">
        <v>4870</v>
      </c>
      <c r="L438">
        <v>1200</v>
      </c>
      <c r="M438">
        <v>2400</v>
      </c>
      <c r="N438" t="s">
        <v>2029</v>
      </c>
    </row>
    <row r="439" spans="1:14" x14ac:dyDescent="0.2">
      <c r="A439" t="s">
        <v>679</v>
      </c>
      <c r="B439" t="s">
        <v>680</v>
      </c>
      <c r="C439">
        <v>1642</v>
      </c>
      <c r="D439" t="s">
        <v>42</v>
      </c>
      <c r="E439" s="1">
        <v>45414</v>
      </c>
      <c r="F439">
        <v>3</v>
      </c>
      <c r="G439" t="s">
        <v>38</v>
      </c>
      <c r="H439" t="s">
        <v>53</v>
      </c>
      <c r="I439" t="s">
        <v>2074</v>
      </c>
      <c r="J439" t="s">
        <v>1305</v>
      </c>
      <c r="K439">
        <v>4000</v>
      </c>
      <c r="L439">
        <v>300</v>
      </c>
      <c r="M439">
        <v>900</v>
      </c>
      <c r="N439" t="s">
        <v>2075</v>
      </c>
    </row>
    <row r="440" spans="1:14" x14ac:dyDescent="0.2">
      <c r="A440" t="s">
        <v>688</v>
      </c>
      <c r="B440" t="s">
        <v>689</v>
      </c>
      <c r="C440">
        <v>1649</v>
      </c>
      <c r="D440" t="s">
        <v>31</v>
      </c>
      <c r="E440" s="1">
        <v>45521</v>
      </c>
      <c r="F440">
        <v>1</v>
      </c>
      <c r="G440" t="s">
        <v>52</v>
      </c>
      <c r="H440" t="s">
        <v>53</v>
      </c>
      <c r="I440" t="s">
        <v>2088</v>
      </c>
      <c r="J440" t="s">
        <v>1250</v>
      </c>
      <c r="K440">
        <v>4217</v>
      </c>
      <c r="L440">
        <v>250</v>
      </c>
      <c r="M440">
        <v>250</v>
      </c>
      <c r="N440" t="s">
        <v>2089</v>
      </c>
    </row>
    <row r="441" spans="1:14" x14ac:dyDescent="0.2">
      <c r="A441" t="s">
        <v>454</v>
      </c>
      <c r="B441" t="s">
        <v>307</v>
      </c>
      <c r="C441">
        <v>1656</v>
      </c>
      <c r="D441" t="s">
        <v>51</v>
      </c>
      <c r="E441" s="1">
        <v>45379</v>
      </c>
      <c r="F441">
        <v>3</v>
      </c>
      <c r="G441" t="s">
        <v>52</v>
      </c>
      <c r="H441" t="s">
        <v>53</v>
      </c>
      <c r="I441" t="s">
        <v>2102</v>
      </c>
      <c r="J441" t="s">
        <v>1268</v>
      </c>
      <c r="K441">
        <v>4870</v>
      </c>
      <c r="L441">
        <v>250</v>
      </c>
      <c r="M441">
        <v>750</v>
      </c>
      <c r="N441" t="s">
        <v>2103</v>
      </c>
    </row>
    <row r="442" spans="1:14" x14ac:dyDescent="0.2">
      <c r="A442" t="s">
        <v>704</v>
      </c>
      <c r="B442" t="s">
        <v>691</v>
      </c>
      <c r="C442">
        <v>1663</v>
      </c>
      <c r="D442" t="s">
        <v>51</v>
      </c>
      <c r="E442" s="1">
        <v>45362</v>
      </c>
      <c r="F442">
        <v>2</v>
      </c>
      <c r="G442" t="s">
        <v>38</v>
      </c>
      <c r="H442" t="s">
        <v>53</v>
      </c>
      <c r="I442" t="s">
        <v>2116</v>
      </c>
      <c r="J442" t="s">
        <v>1268</v>
      </c>
      <c r="K442">
        <v>4870</v>
      </c>
      <c r="L442">
        <v>250</v>
      </c>
      <c r="M442">
        <v>500</v>
      </c>
      <c r="N442" t="s">
        <v>2117</v>
      </c>
    </row>
    <row r="443" spans="1:14" x14ac:dyDescent="0.2">
      <c r="A443" t="s">
        <v>706</v>
      </c>
      <c r="B443" t="s">
        <v>707</v>
      </c>
      <c r="C443">
        <v>1665</v>
      </c>
      <c r="D443" t="s">
        <v>42</v>
      </c>
      <c r="E443" s="1">
        <v>45351</v>
      </c>
      <c r="F443">
        <v>2</v>
      </c>
      <c r="G443" t="s">
        <v>32</v>
      </c>
      <c r="H443" t="s">
        <v>53</v>
      </c>
      <c r="I443" t="s">
        <v>2120</v>
      </c>
      <c r="J443" t="s">
        <v>1305</v>
      </c>
      <c r="K443">
        <v>4000</v>
      </c>
      <c r="L443">
        <v>300</v>
      </c>
      <c r="M443">
        <v>600</v>
      </c>
      <c r="N443" t="s">
        <v>2121</v>
      </c>
    </row>
    <row r="444" spans="1:14" x14ac:dyDescent="0.2">
      <c r="A444" t="s">
        <v>311</v>
      </c>
      <c r="B444" t="s">
        <v>185</v>
      </c>
      <c r="C444">
        <v>1669</v>
      </c>
      <c r="D444" t="s">
        <v>51</v>
      </c>
      <c r="E444" s="1">
        <v>45379</v>
      </c>
      <c r="F444">
        <v>1</v>
      </c>
      <c r="G444" t="s">
        <v>52</v>
      </c>
      <c r="H444" t="s">
        <v>53</v>
      </c>
      <c r="I444" t="s">
        <v>2128</v>
      </c>
      <c r="J444" t="s">
        <v>1305</v>
      </c>
      <c r="K444">
        <v>4000</v>
      </c>
      <c r="L444">
        <v>250</v>
      </c>
      <c r="M444">
        <v>250</v>
      </c>
      <c r="N444" t="s">
        <v>2129</v>
      </c>
    </row>
    <row r="445" spans="1:14" x14ac:dyDescent="0.2">
      <c r="A445" t="s">
        <v>714</v>
      </c>
      <c r="B445" t="s">
        <v>715</v>
      </c>
      <c r="C445">
        <v>1671</v>
      </c>
      <c r="D445" t="s">
        <v>31</v>
      </c>
      <c r="E445" s="1">
        <v>45296</v>
      </c>
      <c r="F445">
        <v>1</v>
      </c>
      <c r="G445" t="s">
        <v>52</v>
      </c>
      <c r="H445" t="s">
        <v>53</v>
      </c>
      <c r="I445" t="s">
        <v>2132</v>
      </c>
      <c r="J445" t="s">
        <v>1305</v>
      </c>
      <c r="K445">
        <v>4000</v>
      </c>
      <c r="L445">
        <v>250</v>
      </c>
      <c r="M445">
        <v>250</v>
      </c>
      <c r="N445" t="s">
        <v>2133</v>
      </c>
    </row>
    <row r="446" spans="1:14" x14ac:dyDescent="0.2">
      <c r="A446" t="s">
        <v>717</v>
      </c>
      <c r="B446" t="s">
        <v>646</v>
      </c>
      <c r="C446">
        <v>1673</v>
      </c>
      <c r="D446" t="s">
        <v>76</v>
      </c>
      <c r="E446" s="1">
        <v>45525</v>
      </c>
      <c r="F446">
        <v>3</v>
      </c>
      <c r="G446" t="s">
        <v>32</v>
      </c>
      <c r="H446" t="s">
        <v>53</v>
      </c>
      <c r="I446" t="s">
        <v>2136</v>
      </c>
      <c r="J446" t="s">
        <v>1268</v>
      </c>
      <c r="K446">
        <v>4870</v>
      </c>
      <c r="L446">
        <v>1200</v>
      </c>
      <c r="M446">
        <v>3600</v>
      </c>
      <c r="N446" t="s">
        <v>2137</v>
      </c>
    </row>
    <row r="447" spans="1:14" x14ac:dyDescent="0.2">
      <c r="A447" t="s">
        <v>728</v>
      </c>
      <c r="B447" t="s">
        <v>729</v>
      </c>
      <c r="C447">
        <v>1681</v>
      </c>
      <c r="D447" t="s">
        <v>42</v>
      </c>
      <c r="E447" s="1">
        <v>45468</v>
      </c>
      <c r="F447">
        <v>2</v>
      </c>
      <c r="G447" t="s">
        <v>71</v>
      </c>
      <c r="H447" t="s">
        <v>53</v>
      </c>
      <c r="I447" t="s">
        <v>2152</v>
      </c>
      <c r="J447" t="s">
        <v>1305</v>
      </c>
      <c r="K447">
        <v>4000</v>
      </c>
      <c r="L447">
        <v>300</v>
      </c>
      <c r="M447">
        <v>600</v>
      </c>
      <c r="N447" t="s">
        <v>2153</v>
      </c>
    </row>
    <row r="448" spans="1:14" x14ac:dyDescent="0.2">
      <c r="A448" t="s">
        <v>731</v>
      </c>
      <c r="B448" t="s">
        <v>732</v>
      </c>
      <c r="C448">
        <v>1683</v>
      </c>
      <c r="D448" t="s">
        <v>51</v>
      </c>
      <c r="E448" s="1">
        <v>45334</v>
      </c>
      <c r="F448">
        <v>3</v>
      </c>
      <c r="G448" t="s">
        <v>32</v>
      </c>
      <c r="H448" t="s">
        <v>53</v>
      </c>
      <c r="I448" t="s">
        <v>2156</v>
      </c>
      <c r="J448" t="s">
        <v>1250</v>
      </c>
      <c r="K448">
        <v>4217</v>
      </c>
      <c r="L448">
        <v>250</v>
      </c>
      <c r="M448">
        <v>750</v>
      </c>
      <c r="N448" t="s">
        <v>2157</v>
      </c>
    </row>
    <row r="449" spans="1:14" x14ac:dyDescent="0.2">
      <c r="A449" t="s">
        <v>736</v>
      </c>
      <c r="B449" t="s">
        <v>527</v>
      </c>
      <c r="C449">
        <v>1687</v>
      </c>
      <c r="D449" t="s">
        <v>51</v>
      </c>
      <c r="E449" s="1">
        <v>45424</v>
      </c>
      <c r="F449">
        <v>1</v>
      </c>
      <c r="G449" t="s">
        <v>52</v>
      </c>
      <c r="H449" t="s">
        <v>53</v>
      </c>
      <c r="I449" t="s">
        <v>2164</v>
      </c>
      <c r="J449" t="s">
        <v>1268</v>
      </c>
      <c r="K449">
        <v>4870</v>
      </c>
      <c r="L449">
        <v>250</v>
      </c>
      <c r="M449">
        <v>250</v>
      </c>
      <c r="N449" t="s">
        <v>2165</v>
      </c>
    </row>
    <row r="450" spans="1:14" x14ac:dyDescent="0.2">
      <c r="A450" t="s">
        <v>755</v>
      </c>
      <c r="B450" t="s">
        <v>181</v>
      </c>
      <c r="C450">
        <v>1701</v>
      </c>
      <c r="D450" t="s">
        <v>51</v>
      </c>
      <c r="E450" s="1">
        <v>45504</v>
      </c>
      <c r="F450">
        <v>2</v>
      </c>
      <c r="G450" t="s">
        <v>38</v>
      </c>
      <c r="H450" t="s">
        <v>53</v>
      </c>
      <c r="I450" t="s">
        <v>2192</v>
      </c>
      <c r="J450" t="s">
        <v>1250</v>
      </c>
      <c r="K450">
        <v>4217</v>
      </c>
      <c r="L450">
        <v>250</v>
      </c>
      <c r="M450">
        <v>500</v>
      </c>
      <c r="N450" t="s">
        <v>2193</v>
      </c>
    </row>
    <row r="451" spans="1:14" x14ac:dyDescent="0.2">
      <c r="A451" t="s">
        <v>765</v>
      </c>
      <c r="B451" t="s">
        <v>201</v>
      </c>
      <c r="C451">
        <v>1709</v>
      </c>
      <c r="D451" t="s">
        <v>31</v>
      </c>
      <c r="E451" s="1">
        <v>45636</v>
      </c>
      <c r="F451">
        <v>1</v>
      </c>
      <c r="G451" t="s">
        <v>32</v>
      </c>
      <c r="H451" t="s">
        <v>53</v>
      </c>
      <c r="I451" t="s">
        <v>2208</v>
      </c>
      <c r="J451" t="s">
        <v>1268</v>
      </c>
      <c r="K451">
        <v>4870</v>
      </c>
      <c r="L451">
        <v>250</v>
      </c>
      <c r="M451">
        <v>250</v>
      </c>
      <c r="N451" t="s">
        <v>2209</v>
      </c>
    </row>
    <row r="452" spans="1:14" x14ac:dyDescent="0.2">
      <c r="A452" t="s">
        <v>564</v>
      </c>
      <c r="B452" t="s">
        <v>766</v>
      </c>
      <c r="C452">
        <v>1711</v>
      </c>
      <c r="D452" t="s">
        <v>37</v>
      </c>
      <c r="E452" s="1">
        <v>45561</v>
      </c>
      <c r="F452">
        <v>2</v>
      </c>
      <c r="G452" t="s">
        <v>52</v>
      </c>
      <c r="H452" t="s">
        <v>53</v>
      </c>
      <c r="I452" t="s">
        <v>2212</v>
      </c>
      <c r="J452" t="s">
        <v>1268</v>
      </c>
      <c r="K452">
        <v>4870</v>
      </c>
      <c r="L452">
        <v>800</v>
      </c>
      <c r="M452">
        <v>1600</v>
      </c>
      <c r="N452" t="s">
        <v>2213</v>
      </c>
    </row>
    <row r="453" spans="1:14" x14ac:dyDescent="0.2">
      <c r="A453" t="s">
        <v>450</v>
      </c>
      <c r="B453" t="s">
        <v>295</v>
      </c>
      <c r="C453">
        <v>1716</v>
      </c>
      <c r="D453" t="s">
        <v>42</v>
      </c>
      <c r="E453" s="1">
        <v>45579</v>
      </c>
      <c r="F453">
        <v>2</v>
      </c>
      <c r="G453" t="s">
        <v>52</v>
      </c>
      <c r="H453" t="s">
        <v>53</v>
      </c>
      <c r="I453" t="s">
        <v>2222</v>
      </c>
      <c r="J453" t="s">
        <v>1305</v>
      </c>
      <c r="K453">
        <v>4000</v>
      </c>
      <c r="L453">
        <v>300</v>
      </c>
      <c r="M453">
        <v>600</v>
      </c>
      <c r="N453" t="s">
        <v>2223</v>
      </c>
    </row>
    <row r="454" spans="1:14" x14ac:dyDescent="0.2">
      <c r="A454" t="s">
        <v>794</v>
      </c>
      <c r="B454" t="s">
        <v>451</v>
      </c>
      <c r="C454">
        <v>1738</v>
      </c>
      <c r="D454" t="s">
        <v>31</v>
      </c>
      <c r="E454" s="1">
        <v>45458</v>
      </c>
      <c r="F454">
        <v>3</v>
      </c>
      <c r="G454" t="s">
        <v>52</v>
      </c>
      <c r="H454" t="s">
        <v>53</v>
      </c>
      <c r="I454" t="s">
        <v>2266</v>
      </c>
      <c r="J454" t="s">
        <v>1305</v>
      </c>
      <c r="K454">
        <v>4000</v>
      </c>
      <c r="L454">
        <v>250</v>
      </c>
      <c r="M454">
        <v>750</v>
      </c>
      <c r="N454" t="s">
        <v>2267</v>
      </c>
    </row>
    <row r="455" spans="1:14" x14ac:dyDescent="0.2">
      <c r="A455" t="s">
        <v>805</v>
      </c>
      <c r="B455" t="s">
        <v>616</v>
      </c>
      <c r="C455">
        <v>1749</v>
      </c>
      <c r="D455" t="s">
        <v>92</v>
      </c>
      <c r="E455" s="1">
        <v>45491</v>
      </c>
      <c r="F455">
        <v>1</v>
      </c>
      <c r="G455" t="s">
        <v>52</v>
      </c>
      <c r="H455" t="s">
        <v>53</v>
      </c>
      <c r="I455" t="s">
        <v>2288</v>
      </c>
      <c r="J455" t="s">
        <v>1268</v>
      </c>
      <c r="K455">
        <v>4870</v>
      </c>
      <c r="L455">
        <v>600</v>
      </c>
      <c r="M455">
        <v>600</v>
      </c>
      <c r="N455" t="s">
        <v>2289</v>
      </c>
    </row>
    <row r="456" spans="1:14" x14ac:dyDescent="0.2">
      <c r="A456" t="s">
        <v>815</v>
      </c>
      <c r="B456" t="s">
        <v>54</v>
      </c>
      <c r="C456">
        <v>1759</v>
      </c>
      <c r="D456" t="s">
        <v>51</v>
      </c>
      <c r="E456" s="1">
        <v>45531</v>
      </c>
      <c r="F456">
        <v>3</v>
      </c>
      <c r="G456" t="s">
        <v>71</v>
      </c>
      <c r="H456" t="s">
        <v>53</v>
      </c>
      <c r="I456" t="s">
        <v>2308</v>
      </c>
      <c r="J456" t="s">
        <v>1305</v>
      </c>
      <c r="K456">
        <v>4000</v>
      </c>
      <c r="L456">
        <v>250</v>
      </c>
      <c r="M456">
        <v>750</v>
      </c>
      <c r="N456" t="s">
        <v>2309</v>
      </c>
    </row>
    <row r="457" spans="1:14" x14ac:dyDescent="0.2">
      <c r="A457" t="s">
        <v>171</v>
      </c>
      <c r="B457" t="s">
        <v>817</v>
      </c>
      <c r="C457">
        <v>1762</v>
      </c>
      <c r="D457" t="s">
        <v>76</v>
      </c>
      <c r="E457" s="1">
        <v>45295</v>
      </c>
      <c r="F457">
        <v>3</v>
      </c>
      <c r="G457" t="s">
        <v>32</v>
      </c>
      <c r="H457" t="s">
        <v>53</v>
      </c>
      <c r="I457" t="s">
        <v>2314</v>
      </c>
      <c r="J457" t="s">
        <v>1250</v>
      </c>
      <c r="K457">
        <v>4217</v>
      </c>
      <c r="L457">
        <v>1200</v>
      </c>
      <c r="M457">
        <v>3600</v>
      </c>
      <c r="N457" t="s">
        <v>2315</v>
      </c>
    </row>
    <row r="458" spans="1:14" x14ac:dyDescent="0.2">
      <c r="A458" t="s">
        <v>665</v>
      </c>
      <c r="B458" t="s">
        <v>715</v>
      </c>
      <c r="C458">
        <v>1764</v>
      </c>
      <c r="D458" t="s">
        <v>42</v>
      </c>
      <c r="E458" s="1">
        <v>45385</v>
      </c>
      <c r="F458">
        <v>1</v>
      </c>
      <c r="G458" t="s">
        <v>52</v>
      </c>
      <c r="H458" t="s">
        <v>53</v>
      </c>
      <c r="I458" t="s">
        <v>2318</v>
      </c>
      <c r="J458" t="s">
        <v>1305</v>
      </c>
      <c r="K458">
        <v>4000</v>
      </c>
      <c r="L458">
        <v>300</v>
      </c>
      <c r="M458">
        <v>300</v>
      </c>
      <c r="N458" t="s">
        <v>2319</v>
      </c>
    </row>
    <row r="459" spans="1:14" x14ac:dyDescent="0.2">
      <c r="A459" t="s">
        <v>818</v>
      </c>
      <c r="B459" t="s">
        <v>203</v>
      </c>
      <c r="C459">
        <v>1765</v>
      </c>
      <c r="D459" t="s">
        <v>42</v>
      </c>
      <c r="E459" s="1">
        <v>45528</v>
      </c>
      <c r="F459">
        <v>1</v>
      </c>
      <c r="G459" t="s">
        <v>52</v>
      </c>
      <c r="H459" t="s">
        <v>53</v>
      </c>
      <c r="I459" t="s">
        <v>2320</v>
      </c>
      <c r="J459" t="s">
        <v>1268</v>
      </c>
      <c r="K459">
        <v>4870</v>
      </c>
      <c r="L459">
        <v>300</v>
      </c>
      <c r="M459">
        <v>300</v>
      </c>
      <c r="N459" t="s">
        <v>2321</v>
      </c>
    </row>
    <row r="460" spans="1:14" x14ac:dyDescent="0.2">
      <c r="A460" t="s">
        <v>830</v>
      </c>
      <c r="B460" t="s">
        <v>831</v>
      </c>
      <c r="C460">
        <v>1778</v>
      </c>
      <c r="D460" t="s">
        <v>37</v>
      </c>
      <c r="E460" s="1">
        <v>45292</v>
      </c>
      <c r="F460">
        <v>3</v>
      </c>
      <c r="G460" t="s">
        <v>32</v>
      </c>
      <c r="H460" t="s">
        <v>53</v>
      </c>
      <c r="I460" t="s">
        <v>2346</v>
      </c>
      <c r="J460" t="s">
        <v>1305</v>
      </c>
      <c r="K460">
        <v>4000</v>
      </c>
      <c r="L460">
        <v>800</v>
      </c>
      <c r="M460">
        <v>2400</v>
      </c>
      <c r="N460" t="s">
        <v>2347</v>
      </c>
    </row>
    <row r="461" spans="1:14" x14ac:dyDescent="0.2">
      <c r="A461" t="s">
        <v>240</v>
      </c>
      <c r="B461" t="s">
        <v>837</v>
      </c>
      <c r="C461">
        <v>1783</v>
      </c>
      <c r="D461" t="s">
        <v>42</v>
      </c>
      <c r="E461" s="1">
        <v>45493</v>
      </c>
      <c r="F461">
        <v>3</v>
      </c>
      <c r="G461" t="s">
        <v>52</v>
      </c>
      <c r="H461" t="s">
        <v>53</v>
      </c>
      <c r="I461" t="s">
        <v>2356</v>
      </c>
      <c r="J461" t="s">
        <v>1268</v>
      </c>
      <c r="K461">
        <v>4870</v>
      </c>
      <c r="L461">
        <v>300</v>
      </c>
      <c r="M461">
        <v>900</v>
      </c>
      <c r="N461" t="s">
        <v>2357</v>
      </c>
    </row>
    <row r="462" spans="1:14" x14ac:dyDescent="0.2">
      <c r="A462" t="s">
        <v>850</v>
      </c>
      <c r="B462" t="s">
        <v>225</v>
      </c>
      <c r="C462">
        <v>1793</v>
      </c>
      <c r="D462" t="s">
        <v>92</v>
      </c>
      <c r="E462" s="1">
        <v>45478</v>
      </c>
      <c r="F462">
        <v>3</v>
      </c>
      <c r="G462" t="s">
        <v>52</v>
      </c>
      <c r="H462" t="s">
        <v>53</v>
      </c>
      <c r="I462" t="s">
        <v>2376</v>
      </c>
      <c r="J462" t="s">
        <v>1305</v>
      </c>
      <c r="K462">
        <v>4000</v>
      </c>
      <c r="L462">
        <v>600</v>
      </c>
      <c r="M462">
        <v>1800</v>
      </c>
      <c r="N462" t="s">
        <v>2377</v>
      </c>
    </row>
    <row r="463" spans="1:14" x14ac:dyDescent="0.2">
      <c r="A463" t="s">
        <v>866</v>
      </c>
      <c r="B463" t="s">
        <v>124</v>
      </c>
      <c r="C463">
        <v>1811</v>
      </c>
      <c r="D463" t="s">
        <v>31</v>
      </c>
      <c r="E463" s="1">
        <v>45545</v>
      </c>
      <c r="F463">
        <v>2</v>
      </c>
      <c r="G463" t="s">
        <v>52</v>
      </c>
      <c r="H463" t="s">
        <v>53</v>
      </c>
      <c r="I463" t="s">
        <v>2412</v>
      </c>
      <c r="J463" t="s">
        <v>1305</v>
      </c>
      <c r="K463">
        <v>4000</v>
      </c>
      <c r="L463">
        <v>250</v>
      </c>
      <c r="M463">
        <v>500</v>
      </c>
      <c r="N463" t="s">
        <v>2413</v>
      </c>
    </row>
    <row r="464" spans="1:14" x14ac:dyDescent="0.2">
      <c r="A464" t="s">
        <v>868</v>
      </c>
      <c r="B464" t="s">
        <v>869</v>
      </c>
      <c r="C464">
        <v>1813</v>
      </c>
      <c r="D464" t="s">
        <v>42</v>
      </c>
      <c r="E464" s="1">
        <v>45347</v>
      </c>
      <c r="F464">
        <v>3</v>
      </c>
      <c r="G464" t="s">
        <v>32</v>
      </c>
      <c r="H464" t="s">
        <v>53</v>
      </c>
      <c r="I464" t="s">
        <v>2416</v>
      </c>
      <c r="J464" t="s">
        <v>1250</v>
      </c>
      <c r="K464">
        <v>4217</v>
      </c>
      <c r="L464">
        <v>300</v>
      </c>
      <c r="M464">
        <v>900</v>
      </c>
      <c r="N464" t="s">
        <v>2417</v>
      </c>
    </row>
    <row r="465" spans="1:14" x14ac:dyDescent="0.2">
      <c r="A465" t="s">
        <v>648</v>
      </c>
      <c r="B465" t="s">
        <v>36</v>
      </c>
      <c r="C465">
        <v>1819</v>
      </c>
      <c r="D465" t="s">
        <v>92</v>
      </c>
      <c r="E465" s="1">
        <v>45454</v>
      </c>
      <c r="F465">
        <v>3</v>
      </c>
      <c r="G465" t="s">
        <v>71</v>
      </c>
      <c r="H465" t="s">
        <v>53</v>
      </c>
      <c r="I465" t="s">
        <v>2428</v>
      </c>
      <c r="J465" t="s">
        <v>1250</v>
      </c>
      <c r="K465">
        <v>4217</v>
      </c>
      <c r="L465">
        <v>600</v>
      </c>
      <c r="M465">
        <v>1800</v>
      </c>
      <c r="N465" t="s">
        <v>2429</v>
      </c>
    </row>
    <row r="466" spans="1:14" x14ac:dyDescent="0.2">
      <c r="A466" t="s">
        <v>919</v>
      </c>
      <c r="B466" t="s">
        <v>920</v>
      </c>
      <c r="C466">
        <v>1861</v>
      </c>
      <c r="D466" t="s">
        <v>37</v>
      </c>
      <c r="E466" s="1">
        <v>45398</v>
      </c>
      <c r="F466">
        <v>3</v>
      </c>
      <c r="G466" t="s">
        <v>32</v>
      </c>
      <c r="H466" t="s">
        <v>53</v>
      </c>
      <c r="I466" t="s">
        <v>2511</v>
      </c>
      <c r="J466" t="s">
        <v>1305</v>
      </c>
      <c r="K466">
        <v>4000</v>
      </c>
      <c r="L466">
        <v>800</v>
      </c>
      <c r="M466">
        <v>2400</v>
      </c>
      <c r="N466" t="s">
        <v>2512</v>
      </c>
    </row>
    <row r="467" spans="1:14" x14ac:dyDescent="0.2">
      <c r="A467" t="s">
        <v>79</v>
      </c>
      <c r="B467" t="s">
        <v>951</v>
      </c>
      <c r="C467">
        <v>1890</v>
      </c>
      <c r="D467" t="s">
        <v>76</v>
      </c>
      <c r="E467" s="1">
        <v>45584</v>
      </c>
      <c r="F467">
        <v>3</v>
      </c>
      <c r="G467" t="s">
        <v>52</v>
      </c>
      <c r="H467" t="s">
        <v>53</v>
      </c>
      <c r="I467" t="s">
        <v>2569</v>
      </c>
      <c r="J467" t="s">
        <v>1250</v>
      </c>
      <c r="K467">
        <v>4217</v>
      </c>
      <c r="L467">
        <v>1200</v>
      </c>
      <c r="M467">
        <v>3600</v>
      </c>
      <c r="N467" t="s">
        <v>2570</v>
      </c>
    </row>
    <row r="468" spans="1:14" x14ac:dyDescent="0.2">
      <c r="A468" t="s">
        <v>180</v>
      </c>
      <c r="B468" t="s">
        <v>494</v>
      </c>
      <c r="C468">
        <v>1893</v>
      </c>
      <c r="D468" t="s">
        <v>92</v>
      </c>
      <c r="E468" s="1">
        <v>45539</v>
      </c>
      <c r="F468">
        <v>1</v>
      </c>
      <c r="G468" t="s">
        <v>38</v>
      </c>
      <c r="H468" t="s">
        <v>53</v>
      </c>
      <c r="I468" t="s">
        <v>2575</v>
      </c>
      <c r="J468" t="s">
        <v>1250</v>
      </c>
      <c r="K468">
        <v>4217</v>
      </c>
      <c r="L468">
        <v>600</v>
      </c>
      <c r="M468">
        <v>600</v>
      </c>
      <c r="N468" t="s">
        <v>2576</v>
      </c>
    </row>
    <row r="469" spans="1:14" x14ac:dyDescent="0.2">
      <c r="A469" t="s">
        <v>960</v>
      </c>
      <c r="B469" t="s">
        <v>961</v>
      </c>
      <c r="C469">
        <v>1898</v>
      </c>
      <c r="D469" t="s">
        <v>76</v>
      </c>
      <c r="E469" s="1">
        <v>45423</v>
      </c>
      <c r="F469">
        <v>3</v>
      </c>
      <c r="G469" t="s">
        <v>32</v>
      </c>
      <c r="H469" t="s">
        <v>53</v>
      </c>
      <c r="I469" t="s">
        <v>2585</v>
      </c>
      <c r="J469" t="s">
        <v>1305</v>
      </c>
      <c r="K469">
        <v>4000</v>
      </c>
      <c r="L469">
        <v>1200</v>
      </c>
      <c r="M469">
        <v>3600</v>
      </c>
      <c r="N469" t="s">
        <v>2586</v>
      </c>
    </row>
    <row r="470" spans="1:14" x14ac:dyDescent="0.2">
      <c r="A470" t="s">
        <v>112</v>
      </c>
      <c r="B470" t="s">
        <v>429</v>
      </c>
      <c r="C470">
        <v>1903</v>
      </c>
      <c r="D470" t="s">
        <v>31</v>
      </c>
      <c r="E470" s="1">
        <v>45451</v>
      </c>
      <c r="F470">
        <v>2</v>
      </c>
      <c r="G470" t="s">
        <v>52</v>
      </c>
      <c r="H470" t="s">
        <v>53</v>
      </c>
      <c r="I470" t="s">
        <v>2595</v>
      </c>
      <c r="J470" t="s">
        <v>1250</v>
      </c>
      <c r="K470">
        <v>4217</v>
      </c>
      <c r="L470">
        <v>250</v>
      </c>
      <c r="M470">
        <v>500</v>
      </c>
      <c r="N470" t="s">
        <v>2596</v>
      </c>
    </row>
    <row r="471" spans="1:14" x14ac:dyDescent="0.2">
      <c r="A471" t="s">
        <v>972</v>
      </c>
      <c r="B471" t="s">
        <v>116</v>
      </c>
      <c r="C471">
        <v>1915</v>
      </c>
      <c r="D471" t="s">
        <v>76</v>
      </c>
      <c r="E471" s="1">
        <v>45459</v>
      </c>
      <c r="F471">
        <v>1</v>
      </c>
      <c r="G471" t="s">
        <v>32</v>
      </c>
      <c r="H471" t="s">
        <v>53</v>
      </c>
      <c r="I471" t="s">
        <v>2619</v>
      </c>
      <c r="J471" t="s">
        <v>1250</v>
      </c>
      <c r="K471">
        <v>4217</v>
      </c>
      <c r="L471">
        <v>1200</v>
      </c>
      <c r="M471">
        <v>1200</v>
      </c>
      <c r="N471" t="s">
        <v>2620</v>
      </c>
    </row>
    <row r="472" spans="1:14" x14ac:dyDescent="0.2">
      <c r="A472" t="s">
        <v>990</v>
      </c>
      <c r="B472" t="s">
        <v>991</v>
      </c>
      <c r="C472">
        <v>1929</v>
      </c>
      <c r="D472" t="s">
        <v>31</v>
      </c>
      <c r="E472" s="1">
        <v>45530</v>
      </c>
      <c r="F472">
        <v>3</v>
      </c>
      <c r="G472" t="s">
        <v>32</v>
      </c>
      <c r="H472" t="s">
        <v>53</v>
      </c>
      <c r="I472" t="s">
        <v>2647</v>
      </c>
      <c r="J472" t="s">
        <v>1250</v>
      </c>
      <c r="K472">
        <v>4217</v>
      </c>
      <c r="L472">
        <v>250</v>
      </c>
      <c r="M472">
        <v>750</v>
      </c>
      <c r="N472" t="s">
        <v>2648</v>
      </c>
    </row>
    <row r="473" spans="1:14" x14ac:dyDescent="0.2">
      <c r="A473" t="s">
        <v>235</v>
      </c>
      <c r="B473" t="s">
        <v>353</v>
      </c>
      <c r="C473">
        <v>1954</v>
      </c>
      <c r="D473" t="s">
        <v>76</v>
      </c>
      <c r="E473" s="1">
        <v>45322</v>
      </c>
      <c r="F473">
        <v>2</v>
      </c>
      <c r="G473" t="s">
        <v>52</v>
      </c>
      <c r="H473" t="s">
        <v>53</v>
      </c>
      <c r="I473" t="s">
        <v>2697</v>
      </c>
      <c r="J473" t="s">
        <v>1250</v>
      </c>
      <c r="K473">
        <v>4217</v>
      </c>
      <c r="L473">
        <v>1200</v>
      </c>
      <c r="M473">
        <v>2400</v>
      </c>
      <c r="N473" t="s">
        <v>2698</v>
      </c>
    </row>
    <row r="474" spans="1:14" x14ac:dyDescent="0.2">
      <c r="A474" t="s">
        <v>870</v>
      </c>
      <c r="B474" t="s">
        <v>1012</v>
      </c>
      <c r="C474">
        <v>1955</v>
      </c>
      <c r="D474" t="s">
        <v>42</v>
      </c>
      <c r="E474" s="1">
        <v>45417</v>
      </c>
      <c r="F474">
        <v>2</v>
      </c>
      <c r="G474" t="s">
        <v>71</v>
      </c>
      <c r="H474" t="s">
        <v>53</v>
      </c>
      <c r="I474" t="s">
        <v>2699</v>
      </c>
      <c r="J474" t="s">
        <v>1305</v>
      </c>
      <c r="K474">
        <v>4000</v>
      </c>
      <c r="L474">
        <v>300</v>
      </c>
      <c r="M474">
        <v>600</v>
      </c>
      <c r="N474" t="s">
        <v>2700</v>
      </c>
    </row>
    <row r="475" spans="1:14" x14ac:dyDescent="0.2">
      <c r="A475" t="s">
        <v>692</v>
      </c>
      <c r="B475" t="s">
        <v>1017</v>
      </c>
      <c r="C475">
        <v>1963</v>
      </c>
      <c r="D475" t="s">
        <v>51</v>
      </c>
      <c r="E475" s="1">
        <v>45454</v>
      </c>
      <c r="F475">
        <v>2</v>
      </c>
      <c r="G475" t="s">
        <v>38</v>
      </c>
      <c r="H475" t="s">
        <v>53</v>
      </c>
      <c r="I475" t="s">
        <v>2715</v>
      </c>
      <c r="J475" t="s">
        <v>1305</v>
      </c>
      <c r="K475">
        <v>4000</v>
      </c>
      <c r="L475">
        <v>250</v>
      </c>
      <c r="M475">
        <v>500</v>
      </c>
      <c r="N475" t="s">
        <v>2716</v>
      </c>
    </row>
    <row r="476" spans="1:14" x14ac:dyDescent="0.2">
      <c r="A476" t="s">
        <v>718</v>
      </c>
      <c r="B476" t="s">
        <v>792</v>
      </c>
      <c r="C476">
        <v>1980</v>
      </c>
      <c r="D476" t="s">
        <v>76</v>
      </c>
      <c r="E476" s="1">
        <v>45455</v>
      </c>
      <c r="F476">
        <v>3</v>
      </c>
      <c r="G476" t="s">
        <v>32</v>
      </c>
      <c r="H476" t="s">
        <v>53</v>
      </c>
      <c r="I476" t="s">
        <v>2749</v>
      </c>
      <c r="J476" t="s">
        <v>1268</v>
      </c>
      <c r="K476">
        <v>4870</v>
      </c>
      <c r="L476">
        <v>1200</v>
      </c>
      <c r="M476">
        <v>3600</v>
      </c>
      <c r="N476" t="s">
        <v>2750</v>
      </c>
    </row>
    <row r="477" spans="1:14" x14ac:dyDescent="0.2">
      <c r="A477" t="s">
        <v>547</v>
      </c>
      <c r="B477" t="s">
        <v>1041</v>
      </c>
      <c r="C477">
        <v>1992</v>
      </c>
      <c r="D477" t="s">
        <v>51</v>
      </c>
      <c r="E477" s="1">
        <v>45525</v>
      </c>
      <c r="F477">
        <v>1</v>
      </c>
      <c r="G477" t="s">
        <v>38</v>
      </c>
      <c r="H477" t="s">
        <v>53</v>
      </c>
      <c r="I477" t="s">
        <v>2773</v>
      </c>
      <c r="J477" t="s">
        <v>1250</v>
      </c>
      <c r="K477">
        <v>4217</v>
      </c>
      <c r="L477">
        <v>250</v>
      </c>
      <c r="M477">
        <v>250</v>
      </c>
      <c r="N477" t="s">
        <v>2774</v>
      </c>
    </row>
    <row r="478" spans="1:14" x14ac:dyDescent="0.2">
      <c r="A478" t="s">
        <v>439</v>
      </c>
      <c r="B478" t="s">
        <v>382</v>
      </c>
      <c r="C478">
        <v>1993</v>
      </c>
      <c r="D478" t="s">
        <v>31</v>
      </c>
      <c r="E478" s="1">
        <v>45523</v>
      </c>
      <c r="F478">
        <v>1</v>
      </c>
      <c r="G478" t="s">
        <v>52</v>
      </c>
      <c r="H478" t="s">
        <v>53</v>
      </c>
      <c r="I478" t="s">
        <v>2775</v>
      </c>
      <c r="J478" t="s">
        <v>1250</v>
      </c>
      <c r="K478">
        <v>4217</v>
      </c>
      <c r="L478">
        <v>250</v>
      </c>
      <c r="M478">
        <v>250</v>
      </c>
      <c r="N478" t="s">
        <v>2776</v>
      </c>
    </row>
    <row r="479" spans="1:14" x14ac:dyDescent="0.2">
      <c r="A479" t="s">
        <v>1043</v>
      </c>
      <c r="B479" t="s">
        <v>1040</v>
      </c>
      <c r="C479">
        <v>1996</v>
      </c>
      <c r="D479" t="s">
        <v>51</v>
      </c>
      <c r="E479" s="1">
        <v>45591</v>
      </c>
      <c r="F479">
        <v>3</v>
      </c>
      <c r="G479" t="s">
        <v>52</v>
      </c>
      <c r="H479" t="s">
        <v>53</v>
      </c>
      <c r="I479" t="s">
        <v>2781</v>
      </c>
      <c r="J479" t="s">
        <v>1268</v>
      </c>
      <c r="K479">
        <v>4870</v>
      </c>
      <c r="L479">
        <v>250</v>
      </c>
      <c r="M479">
        <v>750</v>
      </c>
      <c r="N479" t="s">
        <v>2782</v>
      </c>
    </row>
    <row r="480" spans="1:14" x14ac:dyDescent="0.2">
      <c r="A480" t="s">
        <v>562</v>
      </c>
      <c r="B480" t="s">
        <v>1056</v>
      </c>
      <c r="C480">
        <v>2018</v>
      </c>
      <c r="D480" t="s">
        <v>51</v>
      </c>
      <c r="E480" s="1">
        <v>45470</v>
      </c>
      <c r="F480">
        <v>2</v>
      </c>
      <c r="G480" t="s">
        <v>32</v>
      </c>
      <c r="H480" t="s">
        <v>53</v>
      </c>
      <c r="I480" t="s">
        <v>2825</v>
      </c>
      <c r="J480" t="s">
        <v>1250</v>
      </c>
      <c r="K480">
        <v>4217</v>
      </c>
      <c r="L480">
        <v>250</v>
      </c>
      <c r="M480">
        <v>500</v>
      </c>
      <c r="N480" t="s">
        <v>2826</v>
      </c>
    </row>
    <row r="481" spans="1:14" x14ac:dyDescent="0.2">
      <c r="A481" t="s">
        <v>1059</v>
      </c>
      <c r="B481" t="s">
        <v>798</v>
      </c>
      <c r="C481">
        <v>2021</v>
      </c>
      <c r="D481" t="s">
        <v>42</v>
      </c>
      <c r="E481" s="1">
        <v>45594</v>
      </c>
      <c r="F481">
        <v>1</v>
      </c>
      <c r="G481" t="s">
        <v>38</v>
      </c>
      <c r="H481" t="s">
        <v>53</v>
      </c>
      <c r="I481" t="s">
        <v>2831</v>
      </c>
      <c r="J481" t="s">
        <v>1268</v>
      </c>
      <c r="K481">
        <v>4870</v>
      </c>
      <c r="L481">
        <v>300</v>
      </c>
      <c r="M481">
        <v>300</v>
      </c>
      <c r="N481" t="s">
        <v>2832</v>
      </c>
    </row>
    <row r="482" spans="1:14" x14ac:dyDescent="0.2">
      <c r="A482" t="s">
        <v>674</v>
      </c>
      <c r="B482" t="s">
        <v>863</v>
      </c>
      <c r="C482">
        <v>2026</v>
      </c>
      <c r="D482" t="s">
        <v>92</v>
      </c>
      <c r="E482" s="1">
        <v>45478</v>
      </c>
      <c r="F482">
        <v>3</v>
      </c>
      <c r="G482" t="s">
        <v>32</v>
      </c>
      <c r="H482" t="s">
        <v>53</v>
      </c>
      <c r="I482" t="s">
        <v>2841</v>
      </c>
      <c r="J482" t="s">
        <v>1268</v>
      </c>
      <c r="K482">
        <v>4870</v>
      </c>
      <c r="L482">
        <v>600</v>
      </c>
      <c r="M482">
        <v>1800</v>
      </c>
      <c r="N482" t="s">
        <v>2842</v>
      </c>
    </row>
    <row r="483" spans="1:14" x14ac:dyDescent="0.2">
      <c r="A483" t="s">
        <v>1014</v>
      </c>
      <c r="B483" t="s">
        <v>456</v>
      </c>
      <c r="C483">
        <v>2039</v>
      </c>
      <c r="D483" t="s">
        <v>92</v>
      </c>
      <c r="E483" s="1">
        <v>45530</v>
      </c>
      <c r="F483">
        <v>3</v>
      </c>
      <c r="G483" t="s">
        <v>52</v>
      </c>
      <c r="H483" t="s">
        <v>53</v>
      </c>
      <c r="I483" t="s">
        <v>2867</v>
      </c>
      <c r="J483" t="s">
        <v>1250</v>
      </c>
      <c r="K483">
        <v>4217</v>
      </c>
      <c r="L483">
        <v>600</v>
      </c>
      <c r="M483">
        <v>1800</v>
      </c>
      <c r="N483" t="s">
        <v>2868</v>
      </c>
    </row>
    <row r="484" spans="1:14" x14ac:dyDescent="0.2">
      <c r="A484" t="s">
        <v>60</v>
      </c>
      <c r="B484" t="s">
        <v>1083</v>
      </c>
      <c r="C484">
        <v>2048</v>
      </c>
      <c r="D484" t="s">
        <v>37</v>
      </c>
      <c r="E484" s="1">
        <v>45401</v>
      </c>
      <c r="F484">
        <v>2</v>
      </c>
      <c r="G484" t="s">
        <v>71</v>
      </c>
      <c r="H484" t="s">
        <v>53</v>
      </c>
      <c r="I484" t="s">
        <v>2885</v>
      </c>
      <c r="J484" t="s">
        <v>1268</v>
      </c>
      <c r="K484">
        <v>4870</v>
      </c>
      <c r="L484">
        <v>800</v>
      </c>
      <c r="M484">
        <v>1600</v>
      </c>
      <c r="N484" t="s">
        <v>2886</v>
      </c>
    </row>
    <row r="485" spans="1:14" x14ac:dyDescent="0.2">
      <c r="A485" t="s">
        <v>332</v>
      </c>
      <c r="B485" t="s">
        <v>1084</v>
      </c>
      <c r="C485">
        <v>2049</v>
      </c>
      <c r="D485" t="s">
        <v>76</v>
      </c>
      <c r="E485" s="1">
        <v>45436</v>
      </c>
      <c r="F485">
        <v>2</v>
      </c>
      <c r="G485" t="s">
        <v>52</v>
      </c>
      <c r="H485" t="s">
        <v>53</v>
      </c>
      <c r="I485" t="s">
        <v>2887</v>
      </c>
      <c r="J485" t="s">
        <v>1268</v>
      </c>
      <c r="K485">
        <v>4870</v>
      </c>
      <c r="L485">
        <v>1200</v>
      </c>
      <c r="M485">
        <v>2400</v>
      </c>
      <c r="N485" t="s">
        <v>2888</v>
      </c>
    </row>
    <row r="486" spans="1:14" x14ac:dyDescent="0.2">
      <c r="A486" t="s">
        <v>1085</v>
      </c>
      <c r="B486" t="s">
        <v>1086</v>
      </c>
      <c r="C486">
        <v>2050</v>
      </c>
      <c r="D486" t="s">
        <v>76</v>
      </c>
      <c r="E486" s="1">
        <v>45313</v>
      </c>
      <c r="F486">
        <v>2</v>
      </c>
      <c r="G486" t="s">
        <v>38</v>
      </c>
      <c r="H486" t="s">
        <v>53</v>
      </c>
      <c r="I486" t="s">
        <v>2889</v>
      </c>
      <c r="J486" t="s">
        <v>1250</v>
      </c>
      <c r="K486">
        <v>4217</v>
      </c>
      <c r="L486">
        <v>1200</v>
      </c>
      <c r="M486">
        <v>2400</v>
      </c>
      <c r="N486" t="s">
        <v>2890</v>
      </c>
    </row>
    <row r="487" spans="1:14" x14ac:dyDescent="0.2">
      <c r="A487" t="s">
        <v>1089</v>
      </c>
      <c r="B487" t="s">
        <v>1090</v>
      </c>
      <c r="C487">
        <v>2053</v>
      </c>
      <c r="D487" t="s">
        <v>37</v>
      </c>
      <c r="E487" s="1">
        <v>45642</v>
      </c>
      <c r="F487">
        <v>1</v>
      </c>
      <c r="G487" t="s">
        <v>38</v>
      </c>
      <c r="H487" t="s">
        <v>53</v>
      </c>
      <c r="I487" t="s">
        <v>2895</v>
      </c>
      <c r="J487" t="s">
        <v>1250</v>
      </c>
      <c r="K487">
        <v>4217</v>
      </c>
      <c r="L487">
        <v>800</v>
      </c>
      <c r="M487">
        <v>800</v>
      </c>
      <c r="N487" t="s">
        <v>2896</v>
      </c>
    </row>
    <row r="488" spans="1:14" x14ac:dyDescent="0.2">
      <c r="A488" t="s">
        <v>733</v>
      </c>
      <c r="B488" t="s">
        <v>123</v>
      </c>
      <c r="C488">
        <v>2057</v>
      </c>
      <c r="D488" t="s">
        <v>42</v>
      </c>
      <c r="E488" s="1">
        <v>45370</v>
      </c>
      <c r="F488">
        <v>2</v>
      </c>
      <c r="G488" t="s">
        <v>52</v>
      </c>
      <c r="H488" t="s">
        <v>53</v>
      </c>
      <c r="I488" t="s">
        <v>2903</v>
      </c>
      <c r="J488" t="s">
        <v>1268</v>
      </c>
      <c r="K488">
        <v>4870</v>
      </c>
      <c r="L488">
        <v>300</v>
      </c>
      <c r="M488">
        <v>600</v>
      </c>
      <c r="N488" t="s">
        <v>2904</v>
      </c>
    </row>
    <row r="489" spans="1:14" x14ac:dyDescent="0.2">
      <c r="A489" t="s">
        <v>175</v>
      </c>
      <c r="B489" t="s">
        <v>1096</v>
      </c>
      <c r="C489">
        <v>2061</v>
      </c>
      <c r="D489" t="s">
        <v>76</v>
      </c>
      <c r="E489" s="1">
        <v>45353</v>
      </c>
      <c r="F489">
        <v>1</v>
      </c>
      <c r="G489" t="s">
        <v>38</v>
      </c>
      <c r="H489" t="s">
        <v>53</v>
      </c>
      <c r="I489" t="s">
        <v>2911</v>
      </c>
      <c r="J489" t="s">
        <v>1268</v>
      </c>
      <c r="K489">
        <v>4870</v>
      </c>
      <c r="L489">
        <v>1200</v>
      </c>
      <c r="M489">
        <v>1200</v>
      </c>
      <c r="N489" t="s">
        <v>2912</v>
      </c>
    </row>
    <row r="490" spans="1:14" x14ac:dyDescent="0.2">
      <c r="A490" t="s">
        <v>672</v>
      </c>
      <c r="B490" t="s">
        <v>1100</v>
      </c>
      <c r="C490">
        <v>2065</v>
      </c>
      <c r="D490" t="s">
        <v>37</v>
      </c>
      <c r="E490" s="1">
        <v>45480</v>
      </c>
      <c r="F490">
        <v>1</v>
      </c>
      <c r="G490" t="s">
        <v>32</v>
      </c>
      <c r="H490" t="s">
        <v>53</v>
      </c>
      <c r="I490" t="s">
        <v>2919</v>
      </c>
      <c r="J490" t="s">
        <v>1268</v>
      </c>
      <c r="K490">
        <v>4870</v>
      </c>
      <c r="L490">
        <v>800</v>
      </c>
      <c r="M490">
        <v>800</v>
      </c>
      <c r="N490" t="s">
        <v>2920</v>
      </c>
    </row>
    <row r="491" spans="1:14" x14ac:dyDescent="0.2">
      <c r="A491" t="s">
        <v>1118</v>
      </c>
      <c r="B491" t="s">
        <v>499</v>
      </c>
      <c r="C491">
        <v>2084</v>
      </c>
      <c r="D491" t="s">
        <v>31</v>
      </c>
      <c r="E491" s="1">
        <v>45292</v>
      </c>
      <c r="F491">
        <v>3</v>
      </c>
      <c r="G491" t="s">
        <v>32</v>
      </c>
      <c r="H491" t="s">
        <v>53</v>
      </c>
      <c r="I491" t="s">
        <v>2957</v>
      </c>
      <c r="J491" t="s">
        <v>1268</v>
      </c>
      <c r="K491">
        <v>4870</v>
      </c>
      <c r="L491">
        <v>250</v>
      </c>
      <c r="M491">
        <v>750</v>
      </c>
      <c r="N491" t="s">
        <v>2958</v>
      </c>
    </row>
    <row r="492" spans="1:14" x14ac:dyDescent="0.2">
      <c r="A492" t="s">
        <v>1103</v>
      </c>
      <c r="B492" t="s">
        <v>316</v>
      </c>
      <c r="C492">
        <v>2087</v>
      </c>
      <c r="D492" t="s">
        <v>51</v>
      </c>
      <c r="E492" s="1">
        <v>45443</v>
      </c>
      <c r="F492">
        <v>1</v>
      </c>
      <c r="G492" t="s">
        <v>32</v>
      </c>
      <c r="H492" t="s">
        <v>53</v>
      </c>
      <c r="I492" t="s">
        <v>2963</v>
      </c>
      <c r="J492" t="s">
        <v>1268</v>
      </c>
      <c r="K492">
        <v>4870</v>
      </c>
      <c r="L492">
        <v>250</v>
      </c>
      <c r="M492">
        <v>250</v>
      </c>
      <c r="N492" t="s">
        <v>2964</v>
      </c>
    </row>
    <row r="493" spans="1:14" x14ac:dyDescent="0.2">
      <c r="A493" t="s">
        <v>615</v>
      </c>
      <c r="B493" t="s">
        <v>616</v>
      </c>
      <c r="C493">
        <v>1588</v>
      </c>
      <c r="D493" t="s">
        <v>42</v>
      </c>
      <c r="E493" s="1">
        <v>45317</v>
      </c>
      <c r="F493">
        <v>2</v>
      </c>
      <c r="G493" t="s">
        <v>52</v>
      </c>
      <c r="H493" t="s">
        <v>53</v>
      </c>
      <c r="I493" t="s">
        <v>2971</v>
      </c>
      <c r="J493" t="s">
        <v>1305</v>
      </c>
      <c r="K493">
        <v>4000</v>
      </c>
      <c r="L493">
        <v>300</v>
      </c>
      <c r="M493">
        <v>600</v>
      </c>
      <c r="N493" t="s">
        <v>2972</v>
      </c>
    </row>
    <row r="494" spans="1:14" x14ac:dyDescent="0.2">
      <c r="A494" t="s">
        <v>671</v>
      </c>
      <c r="B494" t="s">
        <v>1130</v>
      </c>
      <c r="C494">
        <v>2099</v>
      </c>
      <c r="D494" t="s">
        <v>37</v>
      </c>
      <c r="E494" s="1">
        <v>45511</v>
      </c>
      <c r="F494">
        <v>2</v>
      </c>
      <c r="G494" t="s">
        <v>71</v>
      </c>
      <c r="H494" t="s">
        <v>53</v>
      </c>
      <c r="I494" t="s">
        <v>2989</v>
      </c>
      <c r="J494" t="s">
        <v>1268</v>
      </c>
      <c r="K494">
        <v>4870</v>
      </c>
      <c r="L494">
        <v>800</v>
      </c>
      <c r="M494">
        <v>1600</v>
      </c>
      <c r="N494" t="s">
        <v>2990</v>
      </c>
    </row>
    <row r="495" spans="1:14" x14ac:dyDescent="0.2">
      <c r="A495" t="s">
        <v>1140</v>
      </c>
      <c r="B495" t="s">
        <v>1141</v>
      </c>
      <c r="C495">
        <v>2111</v>
      </c>
      <c r="D495" t="s">
        <v>76</v>
      </c>
      <c r="E495" s="1">
        <v>45444</v>
      </c>
      <c r="F495">
        <v>3</v>
      </c>
      <c r="G495" t="s">
        <v>71</v>
      </c>
      <c r="H495" t="s">
        <v>53</v>
      </c>
      <c r="I495" t="s">
        <v>3013</v>
      </c>
      <c r="J495" t="s">
        <v>1250</v>
      </c>
      <c r="K495">
        <v>4217</v>
      </c>
      <c r="L495">
        <v>1200</v>
      </c>
      <c r="M495">
        <v>3600</v>
      </c>
      <c r="N495" t="s">
        <v>3014</v>
      </c>
    </row>
    <row r="496" spans="1:14" x14ac:dyDescent="0.2">
      <c r="A496" t="s">
        <v>502</v>
      </c>
      <c r="B496" t="s">
        <v>935</v>
      </c>
      <c r="C496">
        <v>2115</v>
      </c>
      <c r="D496" t="s">
        <v>42</v>
      </c>
      <c r="E496" s="1">
        <v>45614</v>
      </c>
      <c r="F496">
        <v>2</v>
      </c>
      <c r="G496" t="s">
        <v>32</v>
      </c>
      <c r="H496" t="s">
        <v>53</v>
      </c>
      <c r="I496" t="s">
        <v>3021</v>
      </c>
      <c r="J496" t="s">
        <v>1305</v>
      </c>
      <c r="K496">
        <v>4000</v>
      </c>
      <c r="L496">
        <v>300</v>
      </c>
      <c r="M496">
        <v>600</v>
      </c>
      <c r="N496" t="s">
        <v>3022</v>
      </c>
    </row>
    <row r="497" spans="1:14" x14ac:dyDescent="0.2">
      <c r="A497" t="s">
        <v>1160</v>
      </c>
      <c r="B497" t="s">
        <v>451</v>
      </c>
      <c r="C497">
        <v>2130</v>
      </c>
      <c r="D497" t="s">
        <v>76</v>
      </c>
      <c r="E497" s="1">
        <v>45465</v>
      </c>
      <c r="F497">
        <v>3</v>
      </c>
      <c r="G497" t="s">
        <v>71</v>
      </c>
      <c r="H497" t="s">
        <v>53</v>
      </c>
      <c r="I497" t="s">
        <v>3051</v>
      </c>
      <c r="J497" t="s">
        <v>1268</v>
      </c>
      <c r="K497">
        <v>4870</v>
      </c>
      <c r="L497">
        <v>1200</v>
      </c>
      <c r="M497">
        <v>3600</v>
      </c>
      <c r="N497" t="s">
        <v>3052</v>
      </c>
    </row>
    <row r="498" spans="1:14" x14ac:dyDescent="0.2">
      <c r="A498" t="s">
        <v>1161</v>
      </c>
      <c r="B498" t="s">
        <v>1162</v>
      </c>
      <c r="C498">
        <v>2131</v>
      </c>
      <c r="D498" t="s">
        <v>37</v>
      </c>
      <c r="E498" s="1">
        <v>45294</v>
      </c>
      <c r="F498">
        <v>2</v>
      </c>
      <c r="G498" t="s">
        <v>52</v>
      </c>
      <c r="H498" t="s">
        <v>53</v>
      </c>
      <c r="I498" t="s">
        <v>3053</v>
      </c>
      <c r="J498" t="s">
        <v>1250</v>
      </c>
      <c r="K498">
        <v>4217</v>
      </c>
      <c r="L498">
        <v>800</v>
      </c>
      <c r="M498">
        <v>1600</v>
      </c>
      <c r="N498" t="s">
        <v>3054</v>
      </c>
    </row>
    <row r="499" spans="1:14" x14ac:dyDescent="0.2">
      <c r="A499" t="s">
        <v>1169</v>
      </c>
      <c r="B499" t="s">
        <v>826</v>
      </c>
      <c r="C499">
        <v>2137</v>
      </c>
      <c r="D499" t="s">
        <v>51</v>
      </c>
      <c r="E499" s="1">
        <v>45578</v>
      </c>
      <c r="F499">
        <v>3</v>
      </c>
      <c r="G499" t="s">
        <v>32</v>
      </c>
      <c r="H499" t="s">
        <v>53</v>
      </c>
      <c r="I499" t="s">
        <v>3065</v>
      </c>
      <c r="J499" t="s">
        <v>1250</v>
      </c>
      <c r="K499">
        <v>4217</v>
      </c>
      <c r="L499">
        <v>250</v>
      </c>
      <c r="M499">
        <v>750</v>
      </c>
      <c r="N499" t="s">
        <v>3066</v>
      </c>
    </row>
    <row r="500" spans="1:14" x14ac:dyDescent="0.2">
      <c r="A500" t="s">
        <v>408</v>
      </c>
      <c r="B500" t="s">
        <v>327</v>
      </c>
      <c r="C500">
        <v>2143</v>
      </c>
      <c r="D500" t="s">
        <v>42</v>
      </c>
      <c r="E500" s="1">
        <v>45472</v>
      </c>
      <c r="F500">
        <v>3</v>
      </c>
      <c r="G500" t="s">
        <v>32</v>
      </c>
      <c r="H500" t="s">
        <v>53</v>
      </c>
      <c r="I500" t="s">
        <v>3077</v>
      </c>
      <c r="J500" t="s">
        <v>1250</v>
      </c>
      <c r="K500">
        <v>4217</v>
      </c>
      <c r="L500">
        <v>300</v>
      </c>
      <c r="M500">
        <v>900</v>
      </c>
      <c r="N500" t="s">
        <v>3078</v>
      </c>
    </row>
    <row r="501" spans="1:14" x14ac:dyDescent="0.2">
      <c r="A501" t="s">
        <v>1174</v>
      </c>
      <c r="B501" t="s">
        <v>1175</v>
      </c>
      <c r="C501">
        <v>2146</v>
      </c>
      <c r="D501" t="s">
        <v>37</v>
      </c>
      <c r="E501" s="1">
        <v>45517</v>
      </c>
      <c r="F501">
        <v>3</v>
      </c>
      <c r="G501" t="s">
        <v>32</v>
      </c>
      <c r="H501" t="s">
        <v>53</v>
      </c>
      <c r="I501" t="s">
        <v>3083</v>
      </c>
      <c r="J501" t="s">
        <v>1305</v>
      </c>
      <c r="K501">
        <v>4000</v>
      </c>
      <c r="L501">
        <v>800</v>
      </c>
      <c r="M501">
        <v>2400</v>
      </c>
      <c r="N501" t="s">
        <v>3084</v>
      </c>
    </row>
    <row r="502" spans="1:14" x14ac:dyDescent="0.2">
      <c r="A502" t="s">
        <v>240</v>
      </c>
      <c r="B502" t="s">
        <v>1176</v>
      </c>
      <c r="C502">
        <v>2147</v>
      </c>
      <c r="D502" t="s">
        <v>31</v>
      </c>
      <c r="E502" s="1">
        <v>45647</v>
      </c>
      <c r="F502">
        <v>3</v>
      </c>
      <c r="G502" t="s">
        <v>52</v>
      </c>
      <c r="H502" t="s">
        <v>53</v>
      </c>
      <c r="I502" t="s">
        <v>3085</v>
      </c>
      <c r="J502" t="s">
        <v>1268</v>
      </c>
      <c r="K502">
        <v>4870</v>
      </c>
      <c r="L502">
        <v>250</v>
      </c>
      <c r="M502">
        <v>750</v>
      </c>
      <c r="N502" t="s">
        <v>3086</v>
      </c>
    </row>
    <row r="503" spans="1:14" x14ac:dyDescent="0.2">
      <c r="A503" t="s">
        <v>292</v>
      </c>
      <c r="B503" t="s">
        <v>284</v>
      </c>
      <c r="C503">
        <v>2148</v>
      </c>
      <c r="D503" t="s">
        <v>92</v>
      </c>
      <c r="E503" s="1">
        <v>45448</v>
      </c>
      <c r="F503">
        <v>2</v>
      </c>
      <c r="G503" t="s">
        <v>52</v>
      </c>
      <c r="H503" t="s">
        <v>53</v>
      </c>
      <c r="I503" t="s">
        <v>3087</v>
      </c>
      <c r="J503" t="s">
        <v>1305</v>
      </c>
      <c r="K503">
        <v>4000</v>
      </c>
      <c r="L503">
        <v>600</v>
      </c>
      <c r="M503">
        <v>1200</v>
      </c>
      <c r="N503" t="s">
        <v>3088</v>
      </c>
    </row>
    <row r="504" spans="1:14" x14ac:dyDescent="0.2">
      <c r="A504" t="s">
        <v>1184</v>
      </c>
      <c r="B504" t="s">
        <v>318</v>
      </c>
      <c r="C504">
        <v>2157</v>
      </c>
      <c r="D504" t="s">
        <v>76</v>
      </c>
      <c r="E504" s="1">
        <v>45488</v>
      </c>
      <c r="F504">
        <v>1</v>
      </c>
      <c r="G504" t="s">
        <v>32</v>
      </c>
      <c r="H504" t="s">
        <v>53</v>
      </c>
      <c r="I504" t="s">
        <v>3105</v>
      </c>
      <c r="J504" t="s">
        <v>1268</v>
      </c>
      <c r="K504">
        <v>4870</v>
      </c>
      <c r="L504">
        <v>1200</v>
      </c>
      <c r="M504">
        <v>1200</v>
      </c>
      <c r="N504" t="s">
        <v>3106</v>
      </c>
    </row>
    <row r="505" spans="1:14" x14ac:dyDescent="0.2">
      <c r="A505" t="s">
        <v>746</v>
      </c>
      <c r="B505" t="s">
        <v>107</v>
      </c>
      <c r="C505">
        <v>2159</v>
      </c>
      <c r="D505" t="s">
        <v>37</v>
      </c>
      <c r="E505" s="1">
        <v>45529</v>
      </c>
      <c r="F505">
        <v>1</v>
      </c>
      <c r="G505" t="s">
        <v>32</v>
      </c>
      <c r="H505" t="s">
        <v>53</v>
      </c>
      <c r="I505" t="s">
        <v>3109</v>
      </c>
      <c r="J505" t="s">
        <v>1268</v>
      </c>
      <c r="K505">
        <v>4870</v>
      </c>
      <c r="L505">
        <v>800</v>
      </c>
      <c r="M505">
        <v>800</v>
      </c>
      <c r="N505" t="s">
        <v>3110</v>
      </c>
    </row>
    <row r="506" spans="1:14" x14ac:dyDescent="0.2">
      <c r="A506" t="s">
        <v>1187</v>
      </c>
      <c r="B506" t="s">
        <v>750</v>
      </c>
      <c r="C506">
        <v>2162</v>
      </c>
      <c r="D506" t="s">
        <v>51</v>
      </c>
      <c r="E506" s="1">
        <v>45551</v>
      </c>
      <c r="F506">
        <v>1</v>
      </c>
      <c r="G506" t="s">
        <v>52</v>
      </c>
      <c r="H506" t="s">
        <v>53</v>
      </c>
      <c r="I506" t="s">
        <v>3115</v>
      </c>
      <c r="J506" t="s">
        <v>1268</v>
      </c>
      <c r="K506">
        <v>4870</v>
      </c>
      <c r="L506">
        <v>250</v>
      </c>
      <c r="M506">
        <v>250</v>
      </c>
      <c r="N506" t="s">
        <v>3116</v>
      </c>
    </row>
    <row r="507" spans="1:14" x14ac:dyDescent="0.2">
      <c r="A507" t="s">
        <v>982</v>
      </c>
      <c r="B507" t="s">
        <v>236</v>
      </c>
      <c r="C507">
        <v>2172</v>
      </c>
      <c r="D507" t="s">
        <v>42</v>
      </c>
      <c r="E507" s="1">
        <v>45343</v>
      </c>
      <c r="F507">
        <v>2</v>
      </c>
      <c r="G507" t="s">
        <v>52</v>
      </c>
      <c r="H507" t="s">
        <v>53</v>
      </c>
      <c r="I507" t="s">
        <v>3135</v>
      </c>
      <c r="J507" t="s">
        <v>1268</v>
      </c>
      <c r="K507">
        <v>4870</v>
      </c>
      <c r="L507">
        <v>300</v>
      </c>
      <c r="M507">
        <v>600</v>
      </c>
      <c r="N507" t="s">
        <v>3136</v>
      </c>
    </row>
    <row r="508" spans="1:14" x14ac:dyDescent="0.2">
      <c r="A508" t="s">
        <v>712</v>
      </c>
      <c r="B508" t="s">
        <v>922</v>
      </c>
      <c r="C508">
        <v>2174</v>
      </c>
      <c r="D508" t="s">
        <v>92</v>
      </c>
      <c r="E508" s="1">
        <v>45643</v>
      </c>
      <c r="F508">
        <v>2</v>
      </c>
      <c r="G508" t="s">
        <v>71</v>
      </c>
      <c r="H508" t="s">
        <v>53</v>
      </c>
      <c r="I508" t="s">
        <v>3139</v>
      </c>
      <c r="J508" t="s">
        <v>1268</v>
      </c>
      <c r="K508">
        <v>4870</v>
      </c>
      <c r="L508">
        <v>600</v>
      </c>
      <c r="M508">
        <v>1200</v>
      </c>
      <c r="N508" t="s">
        <v>3140</v>
      </c>
    </row>
    <row r="509" spans="1:14" x14ac:dyDescent="0.2">
      <c r="A509" t="s">
        <v>1197</v>
      </c>
      <c r="B509" t="s">
        <v>262</v>
      </c>
      <c r="C509">
        <v>2178</v>
      </c>
      <c r="D509" t="s">
        <v>76</v>
      </c>
      <c r="E509" s="1">
        <v>45652</v>
      </c>
      <c r="F509">
        <v>2</v>
      </c>
      <c r="G509" t="s">
        <v>32</v>
      </c>
      <c r="H509" t="s">
        <v>53</v>
      </c>
      <c r="I509" t="s">
        <v>3147</v>
      </c>
      <c r="J509" t="s">
        <v>1268</v>
      </c>
      <c r="K509">
        <v>4870</v>
      </c>
      <c r="L509">
        <v>1200</v>
      </c>
      <c r="M509">
        <v>2400</v>
      </c>
      <c r="N509" t="s">
        <v>3148</v>
      </c>
    </row>
    <row r="510" spans="1:14" x14ac:dyDescent="0.2">
      <c r="A510" t="s">
        <v>65</v>
      </c>
      <c r="B510" t="s">
        <v>806</v>
      </c>
      <c r="C510">
        <v>2180</v>
      </c>
      <c r="D510" t="s">
        <v>92</v>
      </c>
      <c r="E510" s="1">
        <v>45528</v>
      </c>
      <c r="F510">
        <v>1</v>
      </c>
      <c r="G510" t="s">
        <v>32</v>
      </c>
      <c r="H510" t="s">
        <v>53</v>
      </c>
      <c r="I510" t="s">
        <v>3151</v>
      </c>
      <c r="J510" t="s">
        <v>1268</v>
      </c>
      <c r="K510">
        <v>4870</v>
      </c>
      <c r="L510">
        <v>600</v>
      </c>
      <c r="M510">
        <v>600</v>
      </c>
      <c r="N510" t="s">
        <v>3152</v>
      </c>
    </row>
    <row r="511" spans="1:14" x14ac:dyDescent="0.2">
      <c r="A511" t="s">
        <v>225</v>
      </c>
      <c r="B511" t="s">
        <v>140</v>
      </c>
      <c r="C511">
        <v>2184</v>
      </c>
      <c r="D511" t="s">
        <v>76</v>
      </c>
      <c r="E511" s="1">
        <v>45376</v>
      </c>
      <c r="F511">
        <v>1</v>
      </c>
      <c r="G511" t="s">
        <v>52</v>
      </c>
      <c r="H511" t="s">
        <v>53</v>
      </c>
      <c r="I511" t="s">
        <v>3159</v>
      </c>
      <c r="J511" t="s">
        <v>1250</v>
      </c>
      <c r="K511">
        <v>4217</v>
      </c>
      <c r="L511">
        <v>1200</v>
      </c>
      <c r="M511">
        <v>1200</v>
      </c>
      <c r="N511" t="s">
        <v>3160</v>
      </c>
    </row>
    <row r="512" spans="1:14" x14ac:dyDescent="0.2">
      <c r="A512" t="s">
        <v>241</v>
      </c>
      <c r="B512" t="s">
        <v>266</v>
      </c>
      <c r="C512">
        <v>2192</v>
      </c>
      <c r="D512" t="s">
        <v>92</v>
      </c>
      <c r="E512" s="1">
        <v>45596</v>
      </c>
      <c r="F512">
        <v>2</v>
      </c>
      <c r="G512" t="s">
        <v>52</v>
      </c>
      <c r="H512" t="s">
        <v>53</v>
      </c>
      <c r="I512" t="s">
        <v>3175</v>
      </c>
      <c r="J512" t="s">
        <v>1305</v>
      </c>
      <c r="K512">
        <v>4000</v>
      </c>
      <c r="L512">
        <v>600</v>
      </c>
      <c r="M512">
        <v>1200</v>
      </c>
      <c r="N512" t="s">
        <v>3176</v>
      </c>
    </row>
    <row r="513" spans="1:14" x14ac:dyDescent="0.2">
      <c r="A513" t="s">
        <v>1208</v>
      </c>
      <c r="B513" t="s">
        <v>1099</v>
      </c>
      <c r="C513">
        <v>2197</v>
      </c>
      <c r="D513" t="s">
        <v>42</v>
      </c>
      <c r="E513" s="1">
        <v>45622</v>
      </c>
      <c r="F513">
        <v>2</v>
      </c>
      <c r="G513" t="s">
        <v>52</v>
      </c>
      <c r="H513" t="s">
        <v>53</v>
      </c>
      <c r="I513" t="s">
        <v>3185</v>
      </c>
      <c r="J513" t="s">
        <v>1305</v>
      </c>
      <c r="K513">
        <v>4000</v>
      </c>
      <c r="L513">
        <v>300</v>
      </c>
      <c r="M513">
        <v>600</v>
      </c>
      <c r="N513" t="s">
        <v>3186</v>
      </c>
    </row>
    <row r="514" spans="1:14" x14ac:dyDescent="0.2">
      <c r="A514" t="s">
        <v>658</v>
      </c>
      <c r="B514" t="s">
        <v>1211</v>
      </c>
      <c r="C514">
        <v>2201</v>
      </c>
      <c r="D514" t="s">
        <v>31</v>
      </c>
      <c r="E514" s="1">
        <v>45541</v>
      </c>
      <c r="F514">
        <v>3</v>
      </c>
      <c r="G514" t="s">
        <v>32</v>
      </c>
      <c r="H514" t="s">
        <v>53</v>
      </c>
      <c r="I514" t="s">
        <v>3193</v>
      </c>
      <c r="J514" t="s">
        <v>1305</v>
      </c>
      <c r="K514">
        <v>4000</v>
      </c>
      <c r="L514">
        <v>250</v>
      </c>
      <c r="M514">
        <v>750</v>
      </c>
      <c r="N514" t="s">
        <v>3194</v>
      </c>
    </row>
    <row r="515" spans="1:14" x14ac:dyDescent="0.2">
      <c r="A515" t="s">
        <v>1225</v>
      </c>
      <c r="B515" t="s">
        <v>1010</v>
      </c>
      <c r="C515">
        <v>2221</v>
      </c>
      <c r="D515" t="s">
        <v>76</v>
      </c>
      <c r="E515" s="1">
        <v>45589</v>
      </c>
      <c r="F515">
        <v>3</v>
      </c>
      <c r="G515" t="s">
        <v>52</v>
      </c>
      <c r="H515" t="s">
        <v>53</v>
      </c>
      <c r="I515" t="s">
        <v>3233</v>
      </c>
      <c r="J515" t="s">
        <v>1305</v>
      </c>
      <c r="K515">
        <v>4000</v>
      </c>
      <c r="L515">
        <v>1200</v>
      </c>
      <c r="M515">
        <v>3600</v>
      </c>
      <c r="N515" t="s">
        <v>3234</v>
      </c>
    </row>
    <row r="516" spans="1:14" x14ac:dyDescent="0.2">
      <c r="A516" t="s">
        <v>465</v>
      </c>
      <c r="B516" t="s">
        <v>1228</v>
      </c>
      <c r="C516">
        <v>2227</v>
      </c>
      <c r="D516" t="s">
        <v>76</v>
      </c>
      <c r="E516" s="1">
        <v>45640</v>
      </c>
      <c r="F516">
        <v>3</v>
      </c>
      <c r="G516" t="s">
        <v>52</v>
      </c>
      <c r="H516" t="s">
        <v>53</v>
      </c>
      <c r="I516" t="s">
        <v>3245</v>
      </c>
      <c r="J516" t="s">
        <v>1268</v>
      </c>
      <c r="K516">
        <v>4870</v>
      </c>
      <c r="L516">
        <v>1200</v>
      </c>
      <c r="M516">
        <v>3600</v>
      </c>
      <c r="N516" t="s">
        <v>3246</v>
      </c>
    </row>
    <row r="517" spans="1:14" x14ac:dyDescent="0.2">
      <c r="A517" t="s">
        <v>55</v>
      </c>
      <c r="B517" t="s">
        <v>56</v>
      </c>
      <c r="C517">
        <v>1239</v>
      </c>
      <c r="D517" t="s">
        <v>37</v>
      </c>
      <c r="E517" s="1">
        <v>45449</v>
      </c>
      <c r="F517">
        <v>1</v>
      </c>
      <c r="G517" t="s">
        <v>52</v>
      </c>
      <c r="H517" t="s">
        <v>57</v>
      </c>
      <c r="I517" t="s">
        <v>1252</v>
      </c>
      <c r="J517" t="s">
        <v>1253</v>
      </c>
      <c r="K517">
        <v>5290</v>
      </c>
      <c r="L517">
        <v>800</v>
      </c>
      <c r="M517">
        <v>800</v>
      </c>
      <c r="N517" t="s">
        <v>1254</v>
      </c>
    </row>
    <row r="518" spans="1:14" x14ac:dyDescent="0.2">
      <c r="A518" t="s">
        <v>69</v>
      </c>
      <c r="B518" t="s">
        <v>70</v>
      </c>
      <c r="C518">
        <v>1245</v>
      </c>
      <c r="D518" t="s">
        <v>42</v>
      </c>
      <c r="E518" s="1">
        <v>45316</v>
      </c>
      <c r="F518">
        <v>1</v>
      </c>
      <c r="G518" t="s">
        <v>71</v>
      </c>
      <c r="H518" t="s">
        <v>57</v>
      </c>
      <c r="I518" t="s">
        <v>1270</v>
      </c>
      <c r="J518" t="s">
        <v>1095</v>
      </c>
      <c r="K518">
        <v>5000</v>
      </c>
      <c r="L518">
        <v>300</v>
      </c>
      <c r="M518">
        <v>300</v>
      </c>
      <c r="N518" t="s">
        <v>1271</v>
      </c>
    </row>
    <row r="519" spans="1:14" x14ac:dyDescent="0.2">
      <c r="A519" t="s">
        <v>72</v>
      </c>
      <c r="B519" t="s">
        <v>73</v>
      </c>
      <c r="C519">
        <v>1246</v>
      </c>
      <c r="D519" t="s">
        <v>42</v>
      </c>
      <c r="E519" s="1">
        <v>45486</v>
      </c>
      <c r="F519">
        <v>1</v>
      </c>
      <c r="G519" t="s">
        <v>52</v>
      </c>
      <c r="H519" t="s">
        <v>57</v>
      </c>
      <c r="I519" t="s">
        <v>1272</v>
      </c>
      <c r="J519" t="s">
        <v>1095</v>
      </c>
      <c r="K519">
        <v>5000</v>
      </c>
      <c r="L519">
        <v>300</v>
      </c>
      <c r="M519">
        <v>300</v>
      </c>
      <c r="N519" t="s">
        <v>1273</v>
      </c>
    </row>
    <row r="520" spans="1:14" x14ac:dyDescent="0.2">
      <c r="A520" t="s">
        <v>88</v>
      </c>
      <c r="B520" t="s">
        <v>89</v>
      </c>
      <c r="C520">
        <v>1253</v>
      </c>
      <c r="D520" t="s">
        <v>37</v>
      </c>
      <c r="E520" s="1">
        <v>45308</v>
      </c>
      <c r="F520">
        <v>3</v>
      </c>
      <c r="G520" t="s">
        <v>32</v>
      </c>
      <c r="H520" t="s">
        <v>57</v>
      </c>
      <c r="I520" t="s">
        <v>1288</v>
      </c>
      <c r="J520" t="s">
        <v>1095</v>
      </c>
      <c r="K520">
        <v>5000</v>
      </c>
      <c r="L520">
        <v>800</v>
      </c>
      <c r="M520">
        <v>2400</v>
      </c>
      <c r="N520" t="s">
        <v>1289</v>
      </c>
    </row>
    <row r="521" spans="1:14" x14ac:dyDescent="0.2">
      <c r="A521" t="s">
        <v>119</v>
      </c>
      <c r="B521" t="s">
        <v>120</v>
      </c>
      <c r="C521">
        <v>1268</v>
      </c>
      <c r="D521" t="s">
        <v>51</v>
      </c>
      <c r="E521" s="1">
        <v>45536</v>
      </c>
      <c r="F521">
        <v>2</v>
      </c>
      <c r="G521" t="s">
        <v>32</v>
      </c>
      <c r="H521" t="s">
        <v>57</v>
      </c>
      <c r="I521" t="s">
        <v>1321</v>
      </c>
      <c r="J521" t="s">
        <v>1095</v>
      </c>
      <c r="K521">
        <v>5000</v>
      </c>
      <c r="L521">
        <v>250</v>
      </c>
      <c r="M521">
        <v>500</v>
      </c>
      <c r="N521" t="s">
        <v>1322</v>
      </c>
    </row>
    <row r="522" spans="1:14" x14ac:dyDescent="0.2">
      <c r="A522" t="s">
        <v>137</v>
      </c>
      <c r="B522" t="s">
        <v>138</v>
      </c>
      <c r="C522">
        <v>1277</v>
      </c>
      <c r="D522" t="s">
        <v>76</v>
      </c>
      <c r="E522" s="1">
        <v>45648</v>
      </c>
      <c r="F522">
        <v>1</v>
      </c>
      <c r="G522" t="s">
        <v>38</v>
      </c>
      <c r="H522" t="s">
        <v>57</v>
      </c>
      <c r="I522" t="s">
        <v>1339</v>
      </c>
      <c r="J522" t="s">
        <v>1253</v>
      </c>
      <c r="K522">
        <v>5290</v>
      </c>
      <c r="L522">
        <v>1200</v>
      </c>
      <c r="M522">
        <v>1200</v>
      </c>
      <c r="N522" t="s">
        <v>1340</v>
      </c>
    </row>
    <row r="523" spans="1:14" x14ac:dyDescent="0.2">
      <c r="A523" t="s">
        <v>144</v>
      </c>
      <c r="B523" t="s">
        <v>145</v>
      </c>
      <c r="C523">
        <v>1281</v>
      </c>
      <c r="D523" t="s">
        <v>51</v>
      </c>
      <c r="E523" s="1">
        <v>45505</v>
      </c>
      <c r="F523">
        <v>2</v>
      </c>
      <c r="G523" t="s">
        <v>32</v>
      </c>
      <c r="H523" t="s">
        <v>57</v>
      </c>
      <c r="I523" t="s">
        <v>1347</v>
      </c>
      <c r="J523" t="s">
        <v>1095</v>
      </c>
      <c r="K523">
        <v>5000</v>
      </c>
      <c r="L523">
        <v>250</v>
      </c>
      <c r="M523">
        <v>500</v>
      </c>
      <c r="N523" t="s">
        <v>1348</v>
      </c>
    </row>
    <row r="524" spans="1:14" x14ac:dyDescent="0.2">
      <c r="A524" t="s">
        <v>146</v>
      </c>
      <c r="B524" t="s">
        <v>147</v>
      </c>
      <c r="C524">
        <v>1282</v>
      </c>
      <c r="D524" t="s">
        <v>92</v>
      </c>
      <c r="E524" s="1">
        <v>45340</v>
      </c>
      <c r="F524">
        <v>3</v>
      </c>
      <c r="G524" t="s">
        <v>32</v>
      </c>
      <c r="H524" t="s">
        <v>57</v>
      </c>
      <c r="I524" t="s">
        <v>1349</v>
      </c>
      <c r="J524" t="s">
        <v>1350</v>
      </c>
      <c r="K524">
        <v>5600</v>
      </c>
      <c r="L524">
        <v>600</v>
      </c>
      <c r="M524">
        <v>1800</v>
      </c>
      <c r="N524" t="s">
        <v>1351</v>
      </c>
    </row>
    <row r="525" spans="1:14" x14ac:dyDescent="0.2">
      <c r="A525" t="s">
        <v>161</v>
      </c>
      <c r="B525" t="s">
        <v>162</v>
      </c>
      <c r="C525">
        <v>1290</v>
      </c>
      <c r="D525" t="s">
        <v>42</v>
      </c>
      <c r="E525" s="1">
        <v>45371</v>
      </c>
      <c r="F525">
        <v>3</v>
      </c>
      <c r="G525" t="s">
        <v>38</v>
      </c>
      <c r="H525" t="s">
        <v>57</v>
      </c>
      <c r="I525" t="s">
        <v>1367</v>
      </c>
      <c r="J525" t="s">
        <v>1095</v>
      </c>
      <c r="K525">
        <v>5000</v>
      </c>
      <c r="L525">
        <v>300</v>
      </c>
      <c r="M525">
        <v>900</v>
      </c>
      <c r="N525" t="s">
        <v>1368</v>
      </c>
    </row>
    <row r="526" spans="1:14" x14ac:dyDescent="0.2">
      <c r="A526" t="s">
        <v>191</v>
      </c>
      <c r="B526" t="s">
        <v>192</v>
      </c>
      <c r="C526">
        <v>1307</v>
      </c>
      <c r="D526" t="s">
        <v>31</v>
      </c>
      <c r="E526" s="1">
        <v>45313</v>
      </c>
      <c r="F526">
        <v>1</v>
      </c>
      <c r="G526" t="s">
        <v>38</v>
      </c>
      <c r="H526" t="s">
        <v>57</v>
      </c>
      <c r="I526" t="s">
        <v>1402</v>
      </c>
      <c r="J526" t="s">
        <v>1095</v>
      </c>
      <c r="K526">
        <v>5000</v>
      </c>
      <c r="L526">
        <v>250</v>
      </c>
      <c r="M526">
        <v>250</v>
      </c>
      <c r="N526" t="s">
        <v>1403</v>
      </c>
    </row>
    <row r="527" spans="1:14" x14ac:dyDescent="0.2">
      <c r="A527" t="s">
        <v>220</v>
      </c>
      <c r="B527" t="s">
        <v>221</v>
      </c>
      <c r="C527">
        <v>1323</v>
      </c>
      <c r="D527" t="s">
        <v>92</v>
      </c>
      <c r="E527" s="1">
        <v>45560</v>
      </c>
      <c r="F527">
        <v>3</v>
      </c>
      <c r="G527" t="s">
        <v>32</v>
      </c>
      <c r="H527" t="s">
        <v>57</v>
      </c>
      <c r="I527" t="s">
        <v>1434</v>
      </c>
      <c r="J527" t="s">
        <v>1253</v>
      </c>
      <c r="K527">
        <v>5290</v>
      </c>
      <c r="L527">
        <v>600</v>
      </c>
      <c r="M527">
        <v>1800</v>
      </c>
      <c r="N527" t="s">
        <v>1435</v>
      </c>
    </row>
    <row r="528" spans="1:14" x14ac:dyDescent="0.2">
      <c r="A528" t="s">
        <v>224</v>
      </c>
      <c r="B528" t="s">
        <v>181</v>
      </c>
      <c r="C528">
        <v>1325</v>
      </c>
      <c r="D528" t="s">
        <v>31</v>
      </c>
      <c r="E528" s="1">
        <v>45359</v>
      </c>
      <c r="F528">
        <v>2</v>
      </c>
      <c r="G528" t="s">
        <v>52</v>
      </c>
      <c r="H528" t="s">
        <v>57</v>
      </c>
      <c r="I528" t="s">
        <v>1438</v>
      </c>
      <c r="J528" t="s">
        <v>1095</v>
      </c>
      <c r="K528">
        <v>5000</v>
      </c>
      <c r="L528">
        <v>250</v>
      </c>
      <c r="M528">
        <v>500</v>
      </c>
      <c r="N528" t="s">
        <v>1439</v>
      </c>
    </row>
    <row r="529" spans="1:14" x14ac:dyDescent="0.2">
      <c r="A529" t="s">
        <v>239</v>
      </c>
      <c r="B529" t="s">
        <v>240</v>
      </c>
      <c r="C529">
        <v>1333</v>
      </c>
      <c r="D529" t="s">
        <v>42</v>
      </c>
      <c r="E529" s="1">
        <v>45616</v>
      </c>
      <c r="F529">
        <v>2</v>
      </c>
      <c r="G529" t="s">
        <v>52</v>
      </c>
      <c r="H529" t="s">
        <v>57</v>
      </c>
      <c r="I529" t="s">
        <v>1454</v>
      </c>
      <c r="J529" t="s">
        <v>1253</v>
      </c>
      <c r="K529">
        <v>5290</v>
      </c>
      <c r="L529">
        <v>300</v>
      </c>
      <c r="M529">
        <v>600</v>
      </c>
      <c r="N529" t="s">
        <v>1455</v>
      </c>
    </row>
    <row r="530" spans="1:14" x14ac:dyDescent="0.2">
      <c r="A530" t="s">
        <v>244</v>
      </c>
      <c r="B530" t="s">
        <v>245</v>
      </c>
      <c r="C530">
        <v>1336</v>
      </c>
      <c r="D530" t="s">
        <v>92</v>
      </c>
      <c r="E530" s="1">
        <v>45651</v>
      </c>
      <c r="F530">
        <v>1</v>
      </c>
      <c r="G530" t="s">
        <v>52</v>
      </c>
      <c r="H530" t="s">
        <v>57</v>
      </c>
      <c r="I530" t="s">
        <v>1460</v>
      </c>
      <c r="J530" t="s">
        <v>1350</v>
      </c>
      <c r="K530">
        <v>5600</v>
      </c>
      <c r="L530">
        <v>600</v>
      </c>
      <c r="M530">
        <v>600</v>
      </c>
      <c r="N530" t="s">
        <v>1461</v>
      </c>
    </row>
    <row r="531" spans="1:14" x14ac:dyDescent="0.2">
      <c r="A531" t="s">
        <v>256</v>
      </c>
      <c r="B531" t="s">
        <v>257</v>
      </c>
      <c r="C531">
        <v>1343</v>
      </c>
      <c r="D531" t="s">
        <v>51</v>
      </c>
      <c r="E531" s="1">
        <v>45343</v>
      </c>
      <c r="F531">
        <v>3</v>
      </c>
      <c r="G531" t="s">
        <v>52</v>
      </c>
      <c r="H531" t="s">
        <v>57</v>
      </c>
      <c r="I531" t="s">
        <v>1474</v>
      </c>
      <c r="J531" t="s">
        <v>1095</v>
      </c>
      <c r="K531">
        <v>5000</v>
      </c>
      <c r="L531">
        <v>250</v>
      </c>
      <c r="M531">
        <v>750</v>
      </c>
      <c r="N531" t="s">
        <v>1475</v>
      </c>
    </row>
    <row r="532" spans="1:14" x14ac:dyDescent="0.2">
      <c r="A532" t="s">
        <v>258</v>
      </c>
      <c r="B532" t="s">
        <v>259</v>
      </c>
      <c r="C532">
        <v>1344</v>
      </c>
      <c r="D532" t="s">
        <v>76</v>
      </c>
      <c r="E532" s="1">
        <v>45489</v>
      </c>
      <c r="F532">
        <v>3</v>
      </c>
      <c r="G532" t="s">
        <v>71</v>
      </c>
      <c r="H532" t="s">
        <v>57</v>
      </c>
      <c r="I532" t="s">
        <v>1476</v>
      </c>
      <c r="J532" t="s">
        <v>1095</v>
      </c>
      <c r="K532">
        <v>5000</v>
      </c>
      <c r="L532">
        <v>1200</v>
      </c>
      <c r="M532">
        <v>3600</v>
      </c>
      <c r="N532" t="s">
        <v>1477</v>
      </c>
    </row>
    <row r="533" spans="1:14" x14ac:dyDescent="0.2">
      <c r="A533" t="s">
        <v>222</v>
      </c>
      <c r="B533" t="s">
        <v>263</v>
      </c>
      <c r="C533">
        <v>1348</v>
      </c>
      <c r="D533" t="s">
        <v>37</v>
      </c>
      <c r="E533" s="1">
        <v>45305</v>
      </c>
      <c r="F533">
        <v>1</v>
      </c>
      <c r="G533" t="s">
        <v>52</v>
      </c>
      <c r="H533" t="s">
        <v>57</v>
      </c>
      <c r="I533" t="s">
        <v>1484</v>
      </c>
      <c r="J533" t="s">
        <v>1095</v>
      </c>
      <c r="K533">
        <v>5000</v>
      </c>
      <c r="L533">
        <v>800</v>
      </c>
      <c r="M533">
        <v>800</v>
      </c>
      <c r="N533" t="s">
        <v>1485</v>
      </c>
    </row>
    <row r="534" spans="1:14" x14ac:dyDescent="0.2">
      <c r="A534" t="s">
        <v>269</v>
      </c>
      <c r="B534" t="s">
        <v>270</v>
      </c>
      <c r="C534">
        <v>1352</v>
      </c>
      <c r="D534" t="s">
        <v>42</v>
      </c>
      <c r="E534" s="1">
        <v>45621</v>
      </c>
      <c r="F534">
        <v>3</v>
      </c>
      <c r="G534" t="s">
        <v>38</v>
      </c>
      <c r="H534" t="s">
        <v>57</v>
      </c>
      <c r="I534" t="s">
        <v>1492</v>
      </c>
      <c r="J534" t="s">
        <v>1095</v>
      </c>
      <c r="K534">
        <v>5000</v>
      </c>
      <c r="L534">
        <v>300</v>
      </c>
      <c r="M534">
        <v>900</v>
      </c>
      <c r="N534" t="s">
        <v>1493</v>
      </c>
    </row>
    <row r="535" spans="1:14" x14ac:dyDescent="0.2">
      <c r="A535" t="s">
        <v>271</v>
      </c>
      <c r="B535" t="s">
        <v>272</v>
      </c>
      <c r="C535">
        <v>1353</v>
      </c>
      <c r="D535" t="s">
        <v>76</v>
      </c>
      <c r="E535" s="1">
        <v>45448</v>
      </c>
      <c r="F535">
        <v>2</v>
      </c>
      <c r="G535" t="s">
        <v>32</v>
      </c>
      <c r="H535" t="s">
        <v>57</v>
      </c>
      <c r="I535" t="s">
        <v>1494</v>
      </c>
      <c r="J535" t="s">
        <v>1253</v>
      </c>
      <c r="K535">
        <v>5290</v>
      </c>
      <c r="L535">
        <v>1200</v>
      </c>
      <c r="M535">
        <v>2400</v>
      </c>
      <c r="N535" t="s">
        <v>1495</v>
      </c>
    </row>
    <row r="536" spans="1:14" x14ac:dyDescent="0.2">
      <c r="A536" t="s">
        <v>290</v>
      </c>
      <c r="B536" t="s">
        <v>291</v>
      </c>
      <c r="C536">
        <v>1364</v>
      </c>
      <c r="D536" t="s">
        <v>76</v>
      </c>
      <c r="E536" s="1">
        <v>45292</v>
      </c>
      <c r="F536">
        <v>3</v>
      </c>
      <c r="G536" t="s">
        <v>52</v>
      </c>
      <c r="H536" t="s">
        <v>57</v>
      </c>
      <c r="I536" t="s">
        <v>1516</v>
      </c>
      <c r="J536" t="s">
        <v>1350</v>
      </c>
      <c r="K536">
        <v>5600</v>
      </c>
      <c r="L536">
        <v>1200</v>
      </c>
      <c r="M536">
        <v>3600</v>
      </c>
      <c r="N536" t="s">
        <v>1517</v>
      </c>
    </row>
    <row r="537" spans="1:14" x14ac:dyDescent="0.2">
      <c r="A537" t="s">
        <v>296</v>
      </c>
      <c r="B537" t="s">
        <v>297</v>
      </c>
      <c r="C537">
        <v>1367</v>
      </c>
      <c r="D537" t="s">
        <v>37</v>
      </c>
      <c r="E537" s="1">
        <v>45521</v>
      </c>
      <c r="F537">
        <v>2</v>
      </c>
      <c r="G537" t="s">
        <v>52</v>
      </c>
      <c r="H537" t="s">
        <v>57</v>
      </c>
      <c r="I537" t="s">
        <v>1522</v>
      </c>
      <c r="J537" t="s">
        <v>1350</v>
      </c>
      <c r="K537">
        <v>5600</v>
      </c>
      <c r="L537">
        <v>800</v>
      </c>
      <c r="M537">
        <v>1600</v>
      </c>
      <c r="N537" t="s">
        <v>1523</v>
      </c>
    </row>
    <row r="538" spans="1:14" x14ac:dyDescent="0.2">
      <c r="A538" t="s">
        <v>315</v>
      </c>
      <c r="B538" t="s">
        <v>316</v>
      </c>
      <c r="C538">
        <v>1378</v>
      </c>
      <c r="D538" t="s">
        <v>76</v>
      </c>
      <c r="E538" s="1">
        <v>45637</v>
      </c>
      <c r="F538">
        <v>3</v>
      </c>
      <c r="G538" t="s">
        <v>32</v>
      </c>
      <c r="H538" t="s">
        <v>57</v>
      </c>
      <c r="I538" t="s">
        <v>1544</v>
      </c>
      <c r="J538" t="s">
        <v>1350</v>
      </c>
      <c r="K538">
        <v>5600</v>
      </c>
      <c r="L538">
        <v>1200</v>
      </c>
      <c r="M538">
        <v>3600</v>
      </c>
      <c r="N538" t="s">
        <v>1545</v>
      </c>
    </row>
    <row r="539" spans="1:14" x14ac:dyDescent="0.2">
      <c r="A539" t="s">
        <v>359</v>
      </c>
      <c r="B539" t="s">
        <v>201</v>
      </c>
      <c r="C539">
        <v>1407</v>
      </c>
      <c r="D539" t="s">
        <v>42</v>
      </c>
      <c r="E539" s="1">
        <v>45607</v>
      </c>
      <c r="F539">
        <v>1</v>
      </c>
      <c r="G539" t="s">
        <v>71</v>
      </c>
      <c r="H539" t="s">
        <v>57</v>
      </c>
      <c r="I539" t="s">
        <v>1602</v>
      </c>
      <c r="J539" t="s">
        <v>1095</v>
      </c>
      <c r="K539">
        <v>5000</v>
      </c>
      <c r="L539">
        <v>300</v>
      </c>
      <c r="M539">
        <v>300</v>
      </c>
      <c r="N539" t="s">
        <v>1603</v>
      </c>
    </row>
    <row r="540" spans="1:14" x14ac:dyDescent="0.2">
      <c r="A540" t="s">
        <v>364</v>
      </c>
      <c r="B540" t="s">
        <v>365</v>
      </c>
      <c r="C540">
        <v>1411</v>
      </c>
      <c r="D540" t="s">
        <v>51</v>
      </c>
      <c r="E540" s="1">
        <v>45637</v>
      </c>
      <c r="F540">
        <v>2</v>
      </c>
      <c r="G540" t="s">
        <v>38</v>
      </c>
      <c r="H540" t="s">
        <v>57</v>
      </c>
      <c r="I540" t="s">
        <v>1610</v>
      </c>
      <c r="J540" t="s">
        <v>1095</v>
      </c>
      <c r="K540">
        <v>5000</v>
      </c>
      <c r="L540">
        <v>250</v>
      </c>
      <c r="M540">
        <v>500</v>
      </c>
      <c r="N540" t="s">
        <v>1611</v>
      </c>
    </row>
    <row r="541" spans="1:14" x14ac:dyDescent="0.2">
      <c r="A541" t="s">
        <v>367</v>
      </c>
      <c r="B541" t="s">
        <v>368</v>
      </c>
      <c r="C541">
        <v>1413</v>
      </c>
      <c r="D541" t="s">
        <v>42</v>
      </c>
      <c r="E541" s="1">
        <v>45599</v>
      </c>
      <c r="F541">
        <v>3</v>
      </c>
      <c r="G541" t="s">
        <v>32</v>
      </c>
      <c r="H541" t="s">
        <v>57</v>
      </c>
      <c r="I541" t="s">
        <v>1614</v>
      </c>
      <c r="J541" t="s">
        <v>1095</v>
      </c>
      <c r="K541">
        <v>5000</v>
      </c>
      <c r="L541">
        <v>300</v>
      </c>
      <c r="M541">
        <v>900</v>
      </c>
      <c r="N541" t="s">
        <v>1615</v>
      </c>
    </row>
    <row r="542" spans="1:14" x14ac:dyDescent="0.2">
      <c r="A542" t="s">
        <v>369</v>
      </c>
      <c r="B542" t="s">
        <v>370</v>
      </c>
      <c r="C542">
        <v>1414</v>
      </c>
      <c r="D542" t="s">
        <v>37</v>
      </c>
      <c r="E542" s="1">
        <v>45355</v>
      </c>
      <c r="F542">
        <v>2</v>
      </c>
      <c r="G542" t="s">
        <v>32</v>
      </c>
      <c r="H542" t="s">
        <v>57</v>
      </c>
      <c r="I542" t="s">
        <v>1616</v>
      </c>
      <c r="J542" t="s">
        <v>1350</v>
      </c>
      <c r="K542">
        <v>5600</v>
      </c>
      <c r="L542">
        <v>800</v>
      </c>
      <c r="M542">
        <v>1600</v>
      </c>
      <c r="N542" t="s">
        <v>1617</v>
      </c>
    </row>
    <row r="543" spans="1:14" x14ac:dyDescent="0.2">
      <c r="A543" t="s">
        <v>373</v>
      </c>
      <c r="B543" t="s">
        <v>374</v>
      </c>
      <c r="C543">
        <v>1416</v>
      </c>
      <c r="D543" t="s">
        <v>76</v>
      </c>
      <c r="E543" s="1">
        <v>45476</v>
      </c>
      <c r="F543">
        <v>1</v>
      </c>
      <c r="G543" t="s">
        <v>52</v>
      </c>
      <c r="H543" t="s">
        <v>57</v>
      </c>
      <c r="I543" t="s">
        <v>1620</v>
      </c>
      <c r="J543" t="s">
        <v>1350</v>
      </c>
      <c r="K543">
        <v>5600</v>
      </c>
      <c r="L543">
        <v>1200</v>
      </c>
      <c r="M543">
        <v>1200</v>
      </c>
      <c r="N543" t="s">
        <v>1621</v>
      </c>
    </row>
    <row r="544" spans="1:14" x14ac:dyDescent="0.2">
      <c r="A544" t="s">
        <v>383</v>
      </c>
      <c r="B544" t="s">
        <v>384</v>
      </c>
      <c r="C544">
        <v>1421</v>
      </c>
      <c r="D544" t="s">
        <v>76</v>
      </c>
      <c r="E544" s="1">
        <v>45644</v>
      </c>
      <c r="F544">
        <v>3</v>
      </c>
      <c r="G544" t="s">
        <v>38</v>
      </c>
      <c r="H544" t="s">
        <v>57</v>
      </c>
      <c r="I544" t="s">
        <v>1630</v>
      </c>
      <c r="J544" t="s">
        <v>1350</v>
      </c>
      <c r="K544">
        <v>5600</v>
      </c>
      <c r="L544">
        <v>1200</v>
      </c>
      <c r="M544">
        <v>3600</v>
      </c>
      <c r="N544" t="s">
        <v>1631</v>
      </c>
    </row>
    <row r="545" spans="1:14" x14ac:dyDescent="0.2">
      <c r="A545" t="s">
        <v>90</v>
      </c>
      <c r="B545" t="s">
        <v>395</v>
      </c>
      <c r="C545">
        <v>1429</v>
      </c>
      <c r="D545" t="s">
        <v>76</v>
      </c>
      <c r="E545" s="1">
        <v>45545</v>
      </c>
      <c r="F545">
        <v>3</v>
      </c>
      <c r="G545" t="s">
        <v>32</v>
      </c>
      <c r="H545" t="s">
        <v>57</v>
      </c>
      <c r="I545" t="s">
        <v>1646</v>
      </c>
      <c r="J545" t="s">
        <v>1253</v>
      </c>
      <c r="K545">
        <v>5290</v>
      </c>
      <c r="L545">
        <v>1200</v>
      </c>
      <c r="M545">
        <v>3600</v>
      </c>
      <c r="N545" t="s">
        <v>1647</v>
      </c>
    </row>
    <row r="546" spans="1:14" x14ac:dyDescent="0.2">
      <c r="A546" t="s">
        <v>422</v>
      </c>
      <c r="B546" t="s">
        <v>423</v>
      </c>
      <c r="C546">
        <v>1446</v>
      </c>
      <c r="D546" t="s">
        <v>37</v>
      </c>
      <c r="E546" s="1">
        <v>45364</v>
      </c>
      <c r="F546">
        <v>1</v>
      </c>
      <c r="G546" t="s">
        <v>32</v>
      </c>
      <c r="H546" t="s">
        <v>57</v>
      </c>
      <c r="I546" t="s">
        <v>1680</v>
      </c>
      <c r="J546" t="s">
        <v>1095</v>
      </c>
      <c r="K546">
        <v>5000</v>
      </c>
      <c r="L546">
        <v>800</v>
      </c>
      <c r="M546">
        <v>800</v>
      </c>
      <c r="N546" t="s">
        <v>1681</v>
      </c>
    </row>
    <row r="547" spans="1:14" x14ac:dyDescent="0.2">
      <c r="A547" t="s">
        <v>334</v>
      </c>
      <c r="B547" t="s">
        <v>431</v>
      </c>
      <c r="C547">
        <v>1451</v>
      </c>
      <c r="D547" t="s">
        <v>76</v>
      </c>
      <c r="E547" s="1">
        <v>45554</v>
      </c>
      <c r="F547">
        <v>3</v>
      </c>
      <c r="G547" t="s">
        <v>52</v>
      </c>
      <c r="H547" t="s">
        <v>57</v>
      </c>
      <c r="I547" t="s">
        <v>1690</v>
      </c>
      <c r="J547" t="s">
        <v>1253</v>
      </c>
      <c r="K547">
        <v>5290</v>
      </c>
      <c r="L547">
        <v>1200</v>
      </c>
      <c r="M547">
        <v>3600</v>
      </c>
      <c r="N547" t="s">
        <v>1691</v>
      </c>
    </row>
    <row r="548" spans="1:14" x14ac:dyDescent="0.2">
      <c r="A548" t="s">
        <v>436</v>
      </c>
      <c r="B548" t="s">
        <v>437</v>
      </c>
      <c r="C548">
        <v>1454</v>
      </c>
      <c r="D548" t="s">
        <v>92</v>
      </c>
      <c r="E548" s="1">
        <v>45599</v>
      </c>
      <c r="F548">
        <v>1</v>
      </c>
      <c r="G548" t="s">
        <v>38</v>
      </c>
      <c r="H548" t="s">
        <v>57</v>
      </c>
      <c r="I548" t="s">
        <v>1696</v>
      </c>
      <c r="J548" t="s">
        <v>1350</v>
      </c>
      <c r="K548">
        <v>5600</v>
      </c>
      <c r="L548">
        <v>600</v>
      </c>
      <c r="M548">
        <v>600</v>
      </c>
      <c r="N548" t="s">
        <v>1697</v>
      </c>
    </row>
    <row r="549" spans="1:14" x14ac:dyDescent="0.2">
      <c r="A549" t="s">
        <v>439</v>
      </c>
      <c r="B549" t="s">
        <v>30</v>
      </c>
      <c r="C549">
        <v>1456</v>
      </c>
      <c r="D549" t="s">
        <v>51</v>
      </c>
      <c r="E549" s="1">
        <v>45333</v>
      </c>
      <c r="F549">
        <v>3</v>
      </c>
      <c r="G549" t="s">
        <v>38</v>
      </c>
      <c r="H549" t="s">
        <v>57</v>
      </c>
      <c r="I549" t="s">
        <v>1700</v>
      </c>
      <c r="J549" t="s">
        <v>1253</v>
      </c>
      <c r="K549">
        <v>5290</v>
      </c>
      <c r="L549">
        <v>250</v>
      </c>
      <c r="M549">
        <v>750</v>
      </c>
      <c r="N549" t="s">
        <v>1701</v>
      </c>
    </row>
    <row r="550" spans="1:14" x14ac:dyDescent="0.2">
      <c r="A550" t="s">
        <v>448</v>
      </c>
      <c r="B550" t="s">
        <v>449</v>
      </c>
      <c r="C550">
        <v>1462</v>
      </c>
      <c r="D550" t="s">
        <v>31</v>
      </c>
      <c r="E550" s="1">
        <v>45330</v>
      </c>
      <c r="F550">
        <v>3</v>
      </c>
      <c r="G550" t="s">
        <v>32</v>
      </c>
      <c r="H550" t="s">
        <v>57</v>
      </c>
      <c r="I550" t="s">
        <v>1712</v>
      </c>
      <c r="J550" t="s">
        <v>1350</v>
      </c>
      <c r="K550">
        <v>5600</v>
      </c>
      <c r="L550">
        <v>250</v>
      </c>
      <c r="M550">
        <v>750</v>
      </c>
      <c r="N550" t="s">
        <v>1713</v>
      </c>
    </row>
    <row r="551" spans="1:14" x14ac:dyDescent="0.2">
      <c r="A551" t="s">
        <v>455</v>
      </c>
      <c r="B551" t="s">
        <v>456</v>
      </c>
      <c r="C551">
        <v>1467</v>
      </c>
      <c r="D551" t="s">
        <v>31</v>
      </c>
      <c r="E551" s="1">
        <v>45338</v>
      </c>
      <c r="F551">
        <v>2</v>
      </c>
      <c r="G551" t="s">
        <v>52</v>
      </c>
      <c r="H551" t="s">
        <v>57</v>
      </c>
      <c r="I551" t="s">
        <v>1722</v>
      </c>
      <c r="J551" t="s">
        <v>1350</v>
      </c>
      <c r="K551">
        <v>5600</v>
      </c>
      <c r="L551">
        <v>250</v>
      </c>
      <c r="M551">
        <v>500</v>
      </c>
      <c r="N551" t="s">
        <v>1723</v>
      </c>
    </row>
    <row r="552" spans="1:14" x14ac:dyDescent="0.2">
      <c r="A552" t="s">
        <v>55</v>
      </c>
      <c r="B552" t="s">
        <v>460</v>
      </c>
      <c r="C552">
        <v>1471</v>
      </c>
      <c r="D552" t="s">
        <v>76</v>
      </c>
      <c r="E552" s="1">
        <v>45417</v>
      </c>
      <c r="F552">
        <v>2</v>
      </c>
      <c r="G552" t="s">
        <v>32</v>
      </c>
      <c r="H552" t="s">
        <v>57</v>
      </c>
      <c r="I552" t="s">
        <v>1730</v>
      </c>
      <c r="J552" t="s">
        <v>1253</v>
      </c>
      <c r="K552">
        <v>5290</v>
      </c>
      <c r="L552">
        <v>1200</v>
      </c>
      <c r="M552">
        <v>2400</v>
      </c>
      <c r="N552" t="s">
        <v>1731</v>
      </c>
    </row>
    <row r="553" spans="1:14" x14ac:dyDescent="0.2">
      <c r="A553" t="s">
        <v>493</v>
      </c>
      <c r="B553" t="s">
        <v>494</v>
      </c>
      <c r="C553">
        <v>1492</v>
      </c>
      <c r="D553" t="s">
        <v>76</v>
      </c>
      <c r="E553" s="1">
        <v>45355</v>
      </c>
      <c r="F553">
        <v>3</v>
      </c>
      <c r="G553" t="s">
        <v>32</v>
      </c>
      <c r="H553" t="s">
        <v>57</v>
      </c>
      <c r="I553" t="s">
        <v>1772</v>
      </c>
      <c r="J553" t="s">
        <v>1350</v>
      </c>
      <c r="K553">
        <v>5600</v>
      </c>
      <c r="L553">
        <v>1200</v>
      </c>
      <c r="M553">
        <v>3600</v>
      </c>
      <c r="N553" t="s">
        <v>1773</v>
      </c>
    </row>
    <row r="554" spans="1:14" x14ac:dyDescent="0.2">
      <c r="A554" t="s">
        <v>511</v>
      </c>
      <c r="B554" t="s">
        <v>512</v>
      </c>
      <c r="C554">
        <v>1505</v>
      </c>
      <c r="D554" t="s">
        <v>51</v>
      </c>
      <c r="E554" s="1">
        <v>45609</v>
      </c>
      <c r="F554">
        <v>1</v>
      </c>
      <c r="G554" t="s">
        <v>32</v>
      </c>
      <c r="H554" t="s">
        <v>57</v>
      </c>
      <c r="I554" t="s">
        <v>1798</v>
      </c>
      <c r="J554" t="s">
        <v>1253</v>
      </c>
      <c r="K554">
        <v>5290</v>
      </c>
      <c r="L554">
        <v>250</v>
      </c>
      <c r="M554">
        <v>250</v>
      </c>
      <c r="N554" t="s">
        <v>1799</v>
      </c>
    </row>
    <row r="555" spans="1:14" x14ac:dyDescent="0.2">
      <c r="A555" t="s">
        <v>523</v>
      </c>
      <c r="B555" t="s">
        <v>524</v>
      </c>
      <c r="C555">
        <v>1515</v>
      </c>
      <c r="D555" t="s">
        <v>42</v>
      </c>
      <c r="E555" s="1">
        <v>45413</v>
      </c>
      <c r="F555">
        <v>2</v>
      </c>
      <c r="G555" t="s">
        <v>52</v>
      </c>
      <c r="H555" t="s">
        <v>57</v>
      </c>
      <c r="I555" t="s">
        <v>1818</v>
      </c>
      <c r="J555" t="s">
        <v>1350</v>
      </c>
      <c r="K555">
        <v>5600</v>
      </c>
      <c r="L555">
        <v>300</v>
      </c>
      <c r="M555">
        <v>600</v>
      </c>
      <c r="N555" t="s">
        <v>1819</v>
      </c>
    </row>
    <row r="556" spans="1:14" x14ac:dyDescent="0.2">
      <c r="A556" t="s">
        <v>528</v>
      </c>
      <c r="B556" t="s">
        <v>529</v>
      </c>
      <c r="C556">
        <v>1519</v>
      </c>
      <c r="D556" t="s">
        <v>92</v>
      </c>
      <c r="E556" s="1">
        <v>45572</v>
      </c>
      <c r="F556">
        <v>1</v>
      </c>
      <c r="G556" t="s">
        <v>32</v>
      </c>
      <c r="H556" t="s">
        <v>57</v>
      </c>
      <c r="I556" t="s">
        <v>1826</v>
      </c>
      <c r="J556" t="s">
        <v>1253</v>
      </c>
      <c r="K556">
        <v>5290</v>
      </c>
      <c r="L556">
        <v>600</v>
      </c>
      <c r="M556">
        <v>600</v>
      </c>
      <c r="N556" t="s">
        <v>1827</v>
      </c>
    </row>
    <row r="557" spans="1:14" x14ac:dyDescent="0.2">
      <c r="A557" t="s">
        <v>530</v>
      </c>
      <c r="B557" t="s">
        <v>372</v>
      </c>
      <c r="C557">
        <v>1520</v>
      </c>
      <c r="D557" t="s">
        <v>51</v>
      </c>
      <c r="E557" s="1">
        <v>45416</v>
      </c>
      <c r="F557">
        <v>2</v>
      </c>
      <c r="G557" t="s">
        <v>52</v>
      </c>
      <c r="H557" t="s">
        <v>57</v>
      </c>
      <c r="I557" t="s">
        <v>1828</v>
      </c>
      <c r="J557" t="s">
        <v>1095</v>
      </c>
      <c r="K557">
        <v>5000</v>
      </c>
      <c r="L557">
        <v>250</v>
      </c>
      <c r="M557">
        <v>500</v>
      </c>
      <c r="N557" t="s">
        <v>1829</v>
      </c>
    </row>
    <row r="558" spans="1:14" x14ac:dyDescent="0.2">
      <c r="A558" t="s">
        <v>552</v>
      </c>
      <c r="B558" t="s">
        <v>553</v>
      </c>
      <c r="C558">
        <v>1540</v>
      </c>
      <c r="D558" t="s">
        <v>92</v>
      </c>
      <c r="E558" s="1">
        <v>45505</v>
      </c>
      <c r="F558">
        <v>3</v>
      </c>
      <c r="G558" t="s">
        <v>52</v>
      </c>
      <c r="H558" t="s">
        <v>57</v>
      </c>
      <c r="I558" t="s">
        <v>1868</v>
      </c>
      <c r="J558" t="s">
        <v>1095</v>
      </c>
      <c r="K558">
        <v>5000</v>
      </c>
      <c r="L558">
        <v>600</v>
      </c>
      <c r="M558">
        <v>1800</v>
      </c>
      <c r="N558" t="s">
        <v>1869</v>
      </c>
    </row>
    <row r="559" spans="1:14" x14ac:dyDescent="0.2">
      <c r="A559" t="s">
        <v>564</v>
      </c>
      <c r="B559" t="s">
        <v>565</v>
      </c>
      <c r="C559">
        <v>1550</v>
      </c>
      <c r="D559" t="s">
        <v>76</v>
      </c>
      <c r="E559" s="1">
        <v>45373</v>
      </c>
      <c r="F559">
        <v>1</v>
      </c>
      <c r="G559" t="s">
        <v>38</v>
      </c>
      <c r="H559" t="s">
        <v>57</v>
      </c>
      <c r="I559" t="s">
        <v>1888</v>
      </c>
      <c r="J559" t="s">
        <v>1253</v>
      </c>
      <c r="K559">
        <v>5290</v>
      </c>
      <c r="L559">
        <v>1200</v>
      </c>
      <c r="M559">
        <v>1200</v>
      </c>
      <c r="N559" t="s">
        <v>1889</v>
      </c>
    </row>
    <row r="560" spans="1:14" x14ac:dyDescent="0.2">
      <c r="A560" t="s">
        <v>428</v>
      </c>
      <c r="B560" t="s">
        <v>375</v>
      </c>
      <c r="C560">
        <v>1553</v>
      </c>
      <c r="D560" t="s">
        <v>76</v>
      </c>
      <c r="E560" s="1">
        <v>45648</v>
      </c>
      <c r="F560">
        <v>3</v>
      </c>
      <c r="G560" t="s">
        <v>32</v>
      </c>
      <c r="H560" t="s">
        <v>57</v>
      </c>
      <c r="I560" t="s">
        <v>1894</v>
      </c>
      <c r="J560" t="s">
        <v>1095</v>
      </c>
      <c r="K560">
        <v>5000</v>
      </c>
      <c r="L560">
        <v>1200</v>
      </c>
      <c r="M560">
        <v>3600</v>
      </c>
      <c r="N560" t="s">
        <v>1895</v>
      </c>
    </row>
    <row r="561" spans="1:14" x14ac:dyDescent="0.2">
      <c r="A561" t="s">
        <v>571</v>
      </c>
      <c r="B561" t="s">
        <v>572</v>
      </c>
      <c r="C561">
        <v>1555</v>
      </c>
      <c r="D561" t="s">
        <v>37</v>
      </c>
      <c r="E561" s="1">
        <v>45428</v>
      </c>
      <c r="F561">
        <v>3</v>
      </c>
      <c r="G561" t="s">
        <v>52</v>
      </c>
      <c r="H561" t="s">
        <v>57</v>
      </c>
      <c r="I561" t="s">
        <v>1898</v>
      </c>
      <c r="J561" t="s">
        <v>1253</v>
      </c>
      <c r="K561">
        <v>5290</v>
      </c>
      <c r="L561">
        <v>800</v>
      </c>
      <c r="M561">
        <v>2400</v>
      </c>
      <c r="N561" t="s">
        <v>1899</v>
      </c>
    </row>
    <row r="562" spans="1:14" x14ac:dyDescent="0.2">
      <c r="A562" t="s">
        <v>575</v>
      </c>
      <c r="B562" t="s">
        <v>576</v>
      </c>
      <c r="C562">
        <v>1557</v>
      </c>
      <c r="D562" t="s">
        <v>76</v>
      </c>
      <c r="E562" s="1">
        <v>45306</v>
      </c>
      <c r="F562">
        <v>3</v>
      </c>
      <c r="G562" t="s">
        <v>38</v>
      </c>
      <c r="H562" t="s">
        <v>57</v>
      </c>
      <c r="I562" t="s">
        <v>1902</v>
      </c>
      <c r="J562" t="s">
        <v>1253</v>
      </c>
      <c r="K562">
        <v>5290</v>
      </c>
      <c r="L562">
        <v>1200</v>
      </c>
      <c r="M562">
        <v>3600</v>
      </c>
      <c r="N562" t="s">
        <v>1903</v>
      </c>
    </row>
    <row r="563" spans="1:14" x14ac:dyDescent="0.2">
      <c r="A563" t="s">
        <v>587</v>
      </c>
      <c r="B563" t="s">
        <v>588</v>
      </c>
      <c r="C563">
        <v>1565</v>
      </c>
      <c r="D563" t="s">
        <v>37</v>
      </c>
      <c r="E563" s="1">
        <v>45642</v>
      </c>
      <c r="F563">
        <v>2</v>
      </c>
      <c r="G563" t="s">
        <v>32</v>
      </c>
      <c r="H563" t="s">
        <v>57</v>
      </c>
      <c r="I563" t="s">
        <v>1918</v>
      </c>
      <c r="J563" t="s">
        <v>1253</v>
      </c>
      <c r="K563">
        <v>5290</v>
      </c>
      <c r="L563">
        <v>800</v>
      </c>
      <c r="M563">
        <v>1600</v>
      </c>
      <c r="N563" t="s">
        <v>1919</v>
      </c>
    </row>
    <row r="564" spans="1:14" x14ac:dyDescent="0.2">
      <c r="A564" t="s">
        <v>381</v>
      </c>
      <c r="B564" t="s">
        <v>605</v>
      </c>
      <c r="C564">
        <v>1578</v>
      </c>
      <c r="D564" t="s">
        <v>37</v>
      </c>
      <c r="E564" s="1">
        <v>45460</v>
      </c>
      <c r="F564">
        <v>2</v>
      </c>
      <c r="G564" t="s">
        <v>71</v>
      </c>
      <c r="H564" t="s">
        <v>57</v>
      </c>
      <c r="I564" t="s">
        <v>1944</v>
      </c>
      <c r="J564" t="s">
        <v>1253</v>
      </c>
      <c r="K564">
        <v>5290</v>
      </c>
      <c r="L564">
        <v>800</v>
      </c>
      <c r="M564">
        <v>1600</v>
      </c>
      <c r="N564" t="s">
        <v>1945</v>
      </c>
    </row>
    <row r="565" spans="1:14" x14ac:dyDescent="0.2">
      <c r="A565" t="s">
        <v>197</v>
      </c>
      <c r="B565" t="s">
        <v>606</v>
      </c>
      <c r="C565">
        <v>1579</v>
      </c>
      <c r="D565" t="s">
        <v>76</v>
      </c>
      <c r="E565" s="1">
        <v>45359</v>
      </c>
      <c r="F565">
        <v>1</v>
      </c>
      <c r="G565" t="s">
        <v>38</v>
      </c>
      <c r="H565" t="s">
        <v>57</v>
      </c>
      <c r="I565" t="s">
        <v>1946</v>
      </c>
      <c r="J565" t="s">
        <v>1095</v>
      </c>
      <c r="K565">
        <v>5000</v>
      </c>
      <c r="L565">
        <v>1200</v>
      </c>
      <c r="M565">
        <v>1200</v>
      </c>
      <c r="N565" t="s">
        <v>1947</v>
      </c>
    </row>
    <row r="566" spans="1:14" x14ac:dyDescent="0.2">
      <c r="A566" t="s">
        <v>610</v>
      </c>
      <c r="B566" t="s">
        <v>611</v>
      </c>
      <c r="C566">
        <v>1583</v>
      </c>
      <c r="D566" t="s">
        <v>92</v>
      </c>
      <c r="E566" s="1">
        <v>45590</v>
      </c>
      <c r="F566">
        <v>3</v>
      </c>
      <c r="G566" t="s">
        <v>52</v>
      </c>
      <c r="H566" t="s">
        <v>57</v>
      </c>
      <c r="I566" t="s">
        <v>1954</v>
      </c>
      <c r="J566" t="s">
        <v>1253</v>
      </c>
      <c r="K566">
        <v>5290</v>
      </c>
      <c r="L566">
        <v>600</v>
      </c>
      <c r="M566">
        <v>1800</v>
      </c>
      <c r="N566" t="s">
        <v>1955</v>
      </c>
    </row>
    <row r="567" spans="1:14" x14ac:dyDescent="0.2">
      <c r="A567" t="s">
        <v>203</v>
      </c>
      <c r="B567" t="s">
        <v>612</v>
      </c>
      <c r="C567">
        <v>1584</v>
      </c>
      <c r="D567" t="s">
        <v>42</v>
      </c>
      <c r="E567" s="1">
        <v>45588</v>
      </c>
      <c r="F567">
        <v>3</v>
      </c>
      <c r="G567" t="s">
        <v>32</v>
      </c>
      <c r="H567" t="s">
        <v>57</v>
      </c>
      <c r="I567" t="s">
        <v>1956</v>
      </c>
      <c r="J567" t="s">
        <v>1095</v>
      </c>
      <c r="K567">
        <v>5000</v>
      </c>
      <c r="L567">
        <v>300</v>
      </c>
      <c r="M567">
        <v>900</v>
      </c>
      <c r="N567" t="s">
        <v>1957</v>
      </c>
    </row>
    <row r="568" spans="1:14" x14ac:dyDescent="0.2">
      <c r="A568" t="s">
        <v>626</v>
      </c>
      <c r="B568" t="s">
        <v>399</v>
      </c>
      <c r="C568">
        <v>1598</v>
      </c>
      <c r="D568" t="s">
        <v>76</v>
      </c>
      <c r="E568" s="1">
        <v>45582</v>
      </c>
      <c r="F568">
        <v>3</v>
      </c>
      <c r="G568" t="s">
        <v>52</v>
      </c>
      <c r="H568" t="s">
        <v>57</v>
      </c>
      <c r="I568" t="s">
        <v>1984</v>
      </c>
      <c r="J568" t="s">
        <v>1095</v>
      </c>
      <c r="K568">
        <v>5000</v>
      </c>
      <c r="L568">
        <v>1200</v>
      </c>
      <c r="M568">
        <v>3600</v>
      </c>
      <c r="N568" t="s">
        <v>1985</v>
      </c>
    </row>
    <row r="569" spans="1:14" x14ac:dyDescent="0.2">
      <c r="A569" t="s">
        <v>640</v>
      </c>
      <c r="B569" t="s">
        <v>567</v>
      </c>
      <c r="C569">
        <v>1610</v>
      </c>
      <c r="D569" t="s">
        <v>42</v>
      </c>
      <c r="E569" s="1">
        <v>45566</v>
      </c>
      <c r="F569">
        <v>3</v>
      </c>
      <c r="G569" t="s">
        <v>38</v>
      </c>
      <c r="H569" t="s">
        <v>57</v>
      </c>
      <c r="I569" t="s">
        <v>2008</v>
      </c>
      <c r="J569" t="s">
        <v>1350</v>
      </c>
      <c r="K569">
        <v>5600</v>
      </c>
      <c r="L569">
        <v>300</v>
      </c>
      <c r="M569">
        <v>900</v>
      </c>
      <c r="N569" t="s">
        <v>2009</v>
      </c>
    </row>
    <row r="570" spans="1:14" x14ac:dyDescent="0.2">
      <c r="A570" t="s">
        <v>642</v>
      </c>
      <c r="B570" t="s">
        <v>643</v>
      </c>
      <c r="C570">
        <v>1612</v>
      </c>
      <c r="D570" t="s">
        <v>76</v>
      </c>
      <c r="E570" s="1">
        <v>45570</v>
      </c>
      <c r="F570">
        <v>1</v>
      </c>
      <c r="G570" t="s">
        <v>32</v>
      </c>
      <c r="H570" t="s">
        <v>57</v>
      </c>
      <c r="I570" t="s">
        <v>2012</v>
      </c>
      <c r="J570" t="s">
        <v>1253</v>
      </c>
      <c r="K570">
        <v>5290</v>
      </c>
      <c r="L570">
        <v>1200</v>
      </c>
      <c r="M570">
        <v>1200</v>
      </c>
      <c r="N570" t="s">
        <v>2013</v>
      </c>
    </row>
    <row r="571" spans="1:14" x14ac:dyDescent="0.2">
      <c r="A571" t="s">
        <v>644</v>
      </c>
      <c r="B571" t="s">
        <v>569</v>
      </c>
      <c r="C571">
        <v>1614</v>
      </c>
      <c r="D571" t="s">
        <v>31</v>
      </c>
      <c r="E571" s="1">
        <v>45501</v>
      </c>
      <c r="F571">
        <v>2</v>
      </c>
      <c r="G571" t="s">
        <v>71</v>
      </c>
      <c r="H571" t="s">
        <v>57</v>
      </c>
      <c r="I571" t="s">
        <v>2016</v>
      </c>
      <c r="J571" t="s">
        <v>1095</v>
      </c>
      <c r="K571">
        <v>5000</v>
      </c>
      <c r="L571">
        <v>250</v>
      </c>
      <c r="M571">
        <v>500</v>
      </c>
      <c r="N571" t="s">
        <v>2017</v>
      </c>
    </row>
    <row r="572" spans="1:14" x14ac:dyDescent="0.2">
      <c r="A572" t="s">
        <v>152</v>
      </c>
      <c r="B572" t="s">
        <v>652</v>
      </c>
      <c r="C572">
        <v>1620</v>
      </c>
      <c r="D572" t="s">
        <v>92</v>
      </c>
      <c r="E572" s="1">
        <v>45491</v>
      </c>
      <c r="F572">
        <v>1</v>
      </c>
      <c r="G572" t="s">
        <v>71</v>
      </c>
      <c r="H572" t="s">
        <v>57</v>
      </c>
      <c r="I572" t="s">
        <v>2030</v>
      </c>
      <c r="J572" t="s">
        <v>1350</v>
      </c>
      <c r="K572">
        <v>5600</v>
      </c>
      <c r="L572">
        <v>600</v>
      </c>
      <c r="M572">
        <v>600</v>
      </c>
      <c r="N572" t="s">
        <v>2031</v>
      </c>
    </row>
    <row r="573" spans="1:14" x14ac:dyDescent="0.2">
      <c r="A573" t="s">
        <v>655</v>
      </c>
      <c r="B573" t="s">
        <v>160</v>
      </c>
      <c r="C573">
        <v>1622</v>
      </c>
      <c r="D573" t="s">
        <v>92</v>
      </c>
      <c r="E573" s="1">
        <v>45536</v>
      </c>
      <c r="F573">
        <v>3</v>
      </c>
      <c r="G573" t="s">
        <v>52</v>
      </c>
      <c r="H573" t="s">
        <v>57</v>
      </c>
      <c r="I573" t="s">
        <v>2034</v>
      </c>
      <c r="J573" t="s">
        <v>1350</v>
      </c>
      <c r="K573">
        <v>5600</v>
      </c>
      <c r="L573">
        <v>600</v>
      </c>
      <c r="M573">
        <v>1800</v>
      </c>
      <c r="N573" t="s">
        <v>2035</v>
      </c>
    </row>
    <row r="574" spans="1:14" x14ac:dyDescent="0.2">
      <c r="A574" t="s">
        <v>685</v>
      </c>
      <c r="B574" t="s">
        <v>225</v>
      </c>
      <c r="C574">
        <v>1647</v>
      </c>
      <c r="D574" t="s">
        <v>31</v>
      </c>
      <c r="E574" s="1">
        <v>45518</v>
      </c>
      <c r="F574">
        <v>2</v>
      </c>
      <c r="G574" t="s">
        <v>32</v>
      </c>
      <c r="H574" t="s">
        <v>57</v>
      </c>
      <c r="I574" t="s">
        <v>2084</v>
      </c>
      <c r="J574" t="s">
        <v>1350</v>
      </c>
      <c r="K574">
        <v>5600</v>
      </c>
      <c r="L574">
        <v>250</v>
      </c>
      <c r="M574">
        <v>500</v>
      </c>
      <c r="N574" t="s">
        <v>2085</v>
      </c>
    </row>
    <row r="575" spans="1:14" x14ac:dyDescent="0.2">
      <c r="A575" t="s">
        <v>690</v>
      </c>
      <c r="B575" t="s">
        <v>691</v>
      </c>
      <c r="C575">
        <v>1650</v>
      </c>
      <c r="D575" t="s">
        <v>37</v>
      </c>
      <c r="E575" s="1">
        <v>45657</v>
      </c>
      <c r="F575">
        <v>2</v>
      </c>
      <c r="G575" t="s">
        <v>52</v>
      </c>
      <c r="H575" t="s">
        <v>57</v>
      </c>
      <c r="I575" t="s">
        <v>2090</v>
      </c>
      <c r="J575" t="s">
        <v>1095</v>
      </c>
      <c r="K575">
        <v>5000</v>
      </c>
      <c r="L575">
        <v>800</v>
      </c>
      <c r="M575">
        <v>1600</v>
      </c>
      <c r="N575" t="s">
        <v>2091</v>
      </c>
    </row>
    <row r="576" spans="1:14" x14ac:dyDescent="0.2">
      <c r="A576" t="s">
        <v>487</v>
      </c>
      <c r="B576" t="s">
        <v>725</v>
      </c>
      <c r="C576">
        <v>1678</v>
      </c>
      <c r="D576" t="s">
        <v>31</v>
      </c>
      <c r="E576" s="1">
        <v>45558</v>
      </c>
      <c r="F576">
        <v>1</v>
      </c>
      <c r="G576" t="s">
        <v>52</v>
      </c>
      <c r="H576" t="s">
        <v>57</v>
      </c>
      <c r="I576" t="s">
        <v>2146</v>
      </c>
      <c r="J576" t="s">
        <v>1095</v>
      </c>
      <c r="K576">
        <v>5000</v>
      </c>
      <c r="L576">
        <v>250</v>
      </c>
      <c r="M576">
        <v>250</v>
      </c>
      <c r="N576" t="s">
        <v>2147</v>
      </c>
    </row>
    <row r="577" spans="1:14" x14ac:dyDescent="0.2">
      <c r="A577" t="s">
        <v>744</v>
      </c>
      <c r="B577" t="s">
        <v>745</v>
      </c>
      <c r="C577">
        <v>1692</v>
      </c>
      <c r="D577" t="s">
        <v>92</v>
      </c>
      <c r="E577" s="1">
        <v>45484</v>
      </c>
      <c r="F577">
        <v>2</v>
      </c>
      <c r="G577" t="s">
        <v>52</v>
      </c>
      <c r="H577" t="s">
        <v>57</v>
      </c>
      <c r="I577" t="s">
        <v>2174</v>
      </c>
      <c r="J577" t="s">
        <v>1350</v>
      </c>
      <c r="K577">
        <v>5600</v>
      </c>
      <c r="L577">
        <v>600</v>
      </c>
      <c r="M577">
        <v>1200</v>
      </c>
      <c r="N577" t="s">
        <v>2175</v>
      </c>
    </row>
    <row r="578" spans="1:14" x14ac:dyDescent="0.2">
      <c r="A578" t="s">
        <v>746</v>
      </c>
      <c r="B578" t="s">
        <v>228</v>
      </c>
      <c r="C578">
        <v>1693</v>
      </c>
      <c r="D578" t="s">
        <v>76</v>
      </c>
      <c r="E578" s="1">
        <v>45607</v>
      </c>
      <c r="F578">
        <v>2</v>
      </c>
      <c r="G578" t="s">
        <v>52</v>
      </c>
      <c r="H578" t="s">
        <v>57</v>
      </c>
      <c r="I578" t="s">
        <v>2176</v>
      </c>
      <c r="J578" t="s">
        <v>1350</v>
      </c>
      <c r="K578">
        <v>5600</v>
      </c>
      <c r="L578">
        <v>1200</v>
      </c>
      <c r="M578">
        <v>2400</v>
      </c>
      <c r="N578" t="s">
        <v>2177</v>
      </c>
    </row>
    <row r="579" spans="1:14" x14ac:dyDescent="0.2">
      <c r="A579" t="s">
        <v>748</v>
      </c>
      <c r="B579" t="s">
        <v>749</v>
      </c>
      <c r="C579">
        <v>1696</v>
      </c>
      <c r="D579" t="s">
        <v>37</v>
      </c>
      <c r="E579" s="1">
        <v>45316</v>
      </c>
      <c r="F579">
        <v>2</v>
      </c>
      <c r="G579" t="s">
        <v>52</v>
      </c>
      <c r="H579" t="s">
        <v>57</v>
      </c>
      <c r="I579" t="s">
        <v>2182</v>
      </c>
      <c r="J579" t="s">
        <v>1253</v>
      </c>
      <c r="K579">
        <v>5290</v>
      </c>
      <c r="L579">
        <v>800</v>
      </c>
      <c r="M579">
        <v>1600</v>
      </c>
      <c r="N579" t="s">
        <v>2183</v>
      </c>
    </row>
    <row r="580" spans="1:14" x14ac:dyDescent="0.2">
      <c r="A580" t="s">
        <v>547</v>
      </c>
      <c r="B580" t="s">
        <v>319</v>
      </c>
      <c r="C580">
        <v>1700</v>
      </c>
      <c r="D580" t="s">
        <v>51</v>
      </c>
      <c r="E580" s="1">
        <v>45425</v>
      </c>
      <c r="F580">
        <v>3</v>
      </c>
      <c r="G580" t="s">
        <v>52</v>
      </c>
      <c r="H580" t="s">
        <v>57</v>
      </c>
      <c r="I580" t="s">
        <v>2190</v>
      </c>
      <c r="J580" t="s">
        <v>1253</v>
      </c>
      <c r="K580">
        <v>5290</v>
      </c>
      <c r="L580">
        <v>250</v>
      </c>
      <c r="M580">
        <v>750</v>
      </c>
      <c r="N580" t="s">
        <v>2191</v>
      </c>
    </row>
    <row r="581" spans="1:14" x14ac:dyDescent="0.2">
      <c r="A581" t="s">
        <v>767</v>
      </c>
      <c r="B581" t="s">
        <v>768</v>
      </c>
      <c r="C581">
        <v>1713</v>
      </c>
      <c r="D581" t="s">
        <v>92</v>
      </c>
      <c r="E581" s="1">
        <v>45640</v>
      </c>
      <c r="F581">
        <v>3</v>
      </c>
      <c r="G581" t="s">
        <v>52</v>
      </c>
      <c r="H581" t="s">
        <v>57</v>
      </c>
      <c r="I581" t="s">
        <v>2216</v>
      </c>
      <c r="J581" t="s">
        <v>1253</v>
      </c>
      <c r="K581">
        <v>5290</v>
      </c>
      <c r="L581">
        <v>600</v>
      </c>
      <c r="M581">
        <v>1800</v>
      </c>
      <c r="N581" t="s">
        <v>2217</v>
      </c>
    </row>
    <row r="582" spans="1:14" x14ac:dyDescent="0.2">
      <c r="A582" t="s">
        <v>345</v>
      </c>
      <c r="B582" t="s">
        <v>778</v>
      </c>
      <c r="C582">
        <v>1724</v>
      </c>
      <c r="D582" t="s">
        <v>37</v>
      </c>
      <c r="E582" s="1">
        <v>45567</v>
      </c>
      <c r="F582">
        <v>1</v>
      </c>
      <c r="G582" t="s">
        <v>71</v>
      </c>
      <c r="H582" t="s">
        <v>57</v>
      </c>
      <c r="I582" t="s">
        <v>2238</v>
      </c>
      <c r="J582" t="s">
        <v>1350</v>
      </c>
      <c r="K582">
        <v>5600</v>
      </c>
      <c r="L582">
        <v>800</v>
      </c>
      <c r="M582">
        <v>800</v>
      </c>
      <c r="N582" t="s">
        <v>2239</v>
      </c>
    </row>
    <row r="583" spans="1:14" x14ac:dyDescent="0.2">
      <c r="A583" t="s">
        <v>168</v>
      </c>
      <c r="B583" t="s">
        <v>793</v>
      </c>
      <c r="C583">
        <v>1737</v>
      </c>
      <c r="D583" t="s">
        <v>42</v>
      </c>
      <c r="E583" s="1">
        <v>45654</v>
      </c>
      <c r="F583">
        <v>3</v>
      </c>
      <c r="G583" t="s">
        <v>32</v>
      </c>
      <c r="H583" t="s">
        <v>57</v>
      </c>
      <c r="I583" t="s">
        <v>2264</v>
      </c>
      <c r="J583" t="s">
        <v>1350</v>
      </c>
      <c r="K583">
        <v>5600</v>
      </c>
      <c r="L583">
        <v>300</v>
      </c>
      <c r="M583">
        <v>900</v>
      </c>
      <c r="N583" t="s">
        <v>2265</v>
      </c>
    </row>
    <row r="584" spans="1:14" x14ac:dyDescent="0.2">
      <c r="A584" t="s">
        <v>193</v>
      </c>
      <c r="B584" t="s">
        <v>798</v>
      </c>
      <c r="C584">
        <v>1743</v>
      </c>
      <c r="D584" t="s">
        <v>31</v>
      </c>
      <c r="E584" s="1">
        <v>45311</v>
      </c>
      <c r="F584">
        <v>2</v>
      </c>
      <c r="G584" t="s">
        <v>52</v>
      </c>
      <c r="H584" t="s">
        <v>57</v>
      </c>
      <c r="I584" t="s">
        <v>2276</v>
      </c>
      <c r="J584" t="s">
        <v>1253</v>
      </c>
      <c r="K584">
        <v>5290</v>
      </c>
      <c r="L584">
        <v>250</v>
      </c>
      <c r="M584">
        <v>500</v>
      </c>
      <c r="N584" t="s">
        <v>2277</v>
      </c>
    </row>
    <row r="585" spans="1:14" x14ac:dyDescent="0.2">
      <c r="A585" t="s">
        <v>535</v>
      </c>
      <c r="B585" t="s">
        <v>231</v>
      </c>
      <c r="C585">
        <v>1748</v>
      </c>
      <c r="D585" t="s">
        <v>31</v>
      </c>
      <c r="E585" s="1">
        <v>45382</v>
      </c>
      <c r="F585">
        <v>2</v>
      </c>
      <c r="G585" t="s">
        <v>38</v>
      </c>
      <c r="H585" t="s">
        <v>57</v>
      </c>
      <c r="I585" t="s">
        <v>2286</v>
      </c>
      <c r="J585" t="s">
        <v>1350</v>
      </c>
      <c r="K585">
        <v>5600</v>
      </c>
      <c r="L585">
        <v>250</v>
      </c>
      <c r="M585">
        <v>500</v>
      </c>
      <c r="N585" t="s">
        <v>2287</v>
      </c>
    </row>
    <row r="586" spans="1:14" x14ac:dyDescent="0.2">
      <c r="A586" t="s">
        <v>251</v>
      </c>
      <c r="B586" t="s">
        <v>285</v>
      </c>
      <c r="C586">
        <v>1782</v>
      </c>
      <c r="D586" t="s">
        <v>51</v>
      </c>
      <c r="E586" s="1">
        <v>45352</v>
      </c>
      <c r="F586">
        <v>2</v>
      </c>
      <c r="G586" t="s">
        <v>52</v>
      </c>
      <c r="H586" t="s">
        <v>57</v>
      </c>
      <c r="I586" t="s">
        <v>2354</v>
      </c>
      <c r="J586" t="s">
        <v>1253</v>
      </c>
      <c r="K586">
        <v>5290</v>
      </c>
      <c r="L586">
        <v>250</v>
      </c>
      <c r="M586">
        <v>500</v>
      </c>
      <c r="N586" t="s">
        <v>2355</v>
      </c>
    </row>
    <row r="587" spans="1:14" x14ac:dyDescent="0.2">
      <c r="A587" t="s">
        <v>838</v>
      </c>
      <c r="B587" t="s">
        <v>490</v>
      </c>
      <c r="C587">
        <v>1784</v>
      </c>
      <c r="D587" t="s">
        <v>51</v>
      </c>
      <c r="E587" s="1">
        <v>45490</v>
      </c>
      <c r="F587">
        <v>2</v>
      </c>
      <c r="G587" t="s">
        <v>52</v>
      </c>
      <c r="H587" t="s">
        <v>57</v>
      </c>
      <c r="I587" t="s">
        <v>2358</v>
      </c>
      <c r="J587" t="s">
        <v>1350</v>
      </c>
      <c r="K587">
        <v>5600</v>
      </c>
      <c r="L587">
        <v>250</v>
      </c>
      <c r="M587">
        <v>500</v>
      </c>
      <c r="N587" t="s">
        <v>2359</v>
      </c>
    </row>
    <row r="588" spans="1:14" x14ac:dyDescent="0.2">
      <c r="A588" t="s">
        <v>844</v>
      </c>
      <c r="B588" t="s">
        <v>845</v>
      </c>
      <c r="C588">
        <v>1789</v>
      </c>
      <c r="D588" t="s">
        <v>51</v>
      </c>
      <c r="E588" s="1">
        <v>45335</v>
      </c>
      <c r="F588">
        <v>1</v>
      </c>
      <c r="G588" t="s">
        <v>32</v>
      </c>
      <c r="H588" t="s">
        <v>57</v>
      </c>
      <c r="I588" t="s">
        <v>2368</v>
      </c>
      <c r="J588" t="s">
        <v>1253</v>
      </c>
      <c r="K588">
        <v>5290</v>
      </c>
      <c r="L588">
        <v>250</v>
      </c>
      <c r="M588">
        <v>250</v>
      </c>
      <c r="N588" t="s">
        <v>2369</v>
      </c>
    </row>
    <row r="589" spans="1:14" x14ac:dyDescent="0.2">
      <c r="A589" t="s">
        <v>682</v>
      </c>
      <c r="B589" t="s">
        <v>854</v>
      </c>
      <c r="C589">
        <v>1796</v>
      </c>
      <c r="D589" t="s">
        <v>76</v>
      </c>
      <c r="E589" s="1">
        <v>45340</v>
      </c>
      <c r="F589">
        <v>3</v>
      </c>
      <c r="G589" t="s">
        <v>32</v>
      </c>
      <c r="H589" t="s">
        <v>57</v>
      </c>
      <c r="I589" t="s">
        <v>2382</v>
      </c>
      <c r="J589" t="s">
        <v>1253</v>
      </c>
      <c r="K589">
        <v>5290</v>
      </c>
      <c r="L589">
        <v>1200</v>
      </c>
      <c r="M589">
        <v>3600</v>
      </c>
      <c r="N589" t="s">
        <v>2383</v>
      </c>
    </row>
    <row r="590" spans="1:14" x14ac:dyDescent="0.2">
      <c r="A590" t="s">
        <v>864</v>
      </c>
      <c r="B590" t="s">
        <v>56</v>
      </c>
      <c r="C590">
        <v>1808</v>
      </c>
      <c r="D590" t="s">
        <v>31</v>
      </c>
      <c r="E590" s="1">
        <v>45653</v>
      </c>
      <c r="F590">
        <v>3</v>
      </c>
      <c r="G590" t="s">
        <v>52</v>
      </c>
      <c r="H590" t="s">
        <v>57</v>
      </c>
      <c r="I590" t="s">
        <v>2406</v>
      </c>
      <c r="J590" t="s">
        <v>1095</v>
      </c>
      <c r="K590">
        <v>5000</v>
      </c>
      <c r="L590">
        <v>250</v>
      </c>
      <c r="M590">
        <v>750</v>
      </c>
      <c r="N590" t="s">
        <v>2407</v>
      </c>
    </row>
    <row r="591" spans="1:14" x14ac:dyDescent="0.2">
      <c r="A591" t="s">
        <v>876</v>
      </c>
      <c r="B591" t="s">
        <v>702</v>
      </c>
      <c r="C591">
        <v>1818</v>
      </c>
      <c r="D591" t="s">
        <v>37</v>
      </c>
      <c r="E591" s="1">
        <v>45454</v>
      </c>
      <c r="F591">
        <v>1</v>
      </c>
      <c r="G591" t="s">
        <v>32</v>
      </c>
      <c r="H591" t="s">
        <v>57</v>
      </c>
      <c r="I591" t="s">
        <v>2426</v>
      </c>
      <c r="J591" t="s">
        <v>1350</v>
      </c>
      <c r="K591">
        <v>5600</v>
      </c>
      <c r="L591">
        <v>800</v>
      </c>
      <c r="M591">
        <v>800</v>
      </c>
      <c r="N591" t="s">
        <v>2427</v>
      </c>
    </row>
    <row r="592" spans="1:14" x14ac:dyDescent="0.2">
      <c r="A592" t="s">
        <v>143</v>
      </c>
      <c r="B592" t="s">
        <v>803</v>
      </c>
      <c r="C592">
        <v>1821</v>
      </c>
      <c r="D592" t="s">
        <v>31</v>
      </c>
      <c r="E592" s="1">
        <v>45417</v>
      </c>
      <c r="F592">
        <v>3</v>
      </c>
      <c r="G592" t="s">
        <v>52</v>
      </c>
      <c r="H592" t="s">
        <v>57</v>
      </c>
      <c r="I592" t="s">
        <v>2432</v>
      </c>
      <c r="J592" t="s">
        <v>1095</v>
      </c>
      <c r="K592">
        <v>5000</v>
      </c>
      <c r="L592">
        <v>250</v>
      </c>
      <c r="M592">
        <v>750</v>
      </c>
      <c r="N592" t="s">
        <v>2433</v>
      </c>
    </row>
    <row r="593" spans="1:14" x14ac:dyDescent="0.2">
      <c r="A593" t="s">
        <v>897</v>
      </c>
      <c r="B593" t="s">
        <v>750</v>
      </c>
      <c r="C593">
        <v>1837</v>
      </c>
      <c r="D593" t="s">
        <v>92</v>
      </c>
      <c r="E593" s="1">
        <v>45453</v>
      </c>
      <c r="F593">
        <v>3</v>
      </c>
      <c r="G593" t="s">
        <v>32</v>
      </c>
      <c r="H593" t="s">
        <v>57</v>
      </c>
      <c r="I593" t="s">
        <v>2464</v>
      </c>
      <c r="J593" t="s">
        <v>1253</v>
      </c>
      <c r="K593">
        <v>5290</v>
      </c>
      <c r="L593">
        <v>600</v>
      </c>
      <c r="M593">
        <v>1800</v>
      </c>
      <c r="N593" t="s">
        <v>2465</v>
      </c>
    </row>
    <row r="594" spans="1:14" x14ac:dyDescent="0.2">
      <c r="A594" t="s">
        <v>543</v>
      </c>
      <c r="B594" t="s">
        <v>727</v>
      </c>
      <c r="C594">
        <v>1839</v>
      </c>
      <c r="D594" t="s">
        <v>42</v>
      </c>
      <c r="E594" s="1">
        <v>45340</v>
      </c>
      <c r="F594">
        <v>2</v>
      </c>
      <c r="G594" t="s">
        <v>32</v>
      </c>
      <c r="H594" t="s">
        <v>57</v>
      </c>
      <c r="I594" t="s">
        <v>2468</v>
      </c>
      <c r="J594" t="s">
        <v>1095</v>
      </c>
      <c r="K594">
        <v>5000</v>
      </c>
      <c r="L594">
        <v>300</v>
      </c>
      <c r="M594">
        <v>600</v>
      </c>
      <c r="N594" t="s">
        <v>2469</v>
      </c>
    </row>
    <row r="595" spans="1:14" x14ac:dyDescent="0.2">
      <c r="A595" t="s">
        <v>907</v>
      </c>
      <c r="B595" t="s">
        <v>505</v>
      </c>
      <c r="C595">
        <v>1849</v>
      </c>
      <c r="D595" t="s">
        <v>51</v>
      </c>
      <c r="E595" s="1">
        <v>45541</v>
      </c>
      <c r="F595">
        <v>2</v>
      </c>
      <c r="G595" t="s">
        <v>38</v>
      </c>
      <c r="H595" t="s">
        <v>57</v>
      </c>
      <c r="I595" t="s">
        <v>2487</v>
      </c>
      <c r="J595" t="s">
        <v>1253</v>
      </c>
      <c r="K595">
        <v>5290</v>
      </c>
      <c r="L595">
        <v>250</v>
      </c>
      <c r="M595">
        <v>500</v>
      </c>
      <c r="N595" t="s">
        <v>2488</v>
      </c>
    </row>
    <row r="596" spans="1:14" x14ac:dyDescent="0.2">
      <c r="A596" t="s">
        <v>910</v>
      </c>
      <c r="B596" t="s">
        <v>911</v>
      </c>
      <c r="C596">
        <v>1855</v>
      </c>
      <c r="D596" t="s">
        <v>37</v>
      </c>
      <c r="E596" s="1">
        <v>45604</v>
      </c>
      <c r="F596">
        <v>1</v>
      </c>
      <c r="G596" t="s">
        <v>38</v>
      </c>
      <c r="H596" t="s">
        <v>57</v>
      </c>
      <c r="I596" t="s">
        <v>2499</v>
      </c>
      <c r="J596" t="s">
        <v>1095</v>
      </c>
      <c r="K596">
        <v>5000</v>
      </c>
      <c r="L596">
        <v>800</v>
      </c>
      <c r="M596">
        <v>800</v>
      </c>
      <c r="N596" t="s">
        <v>2500</v>
      </c>
    </row>
    <row r="597" spans="1:14" x14ac:dyDescent="0.2">
      <c r="A597" t="s">
        <v>914</v>
      </c>
      <c r="B597" t="s">
        <v>703</v>
      </c>
      <c r="C597">
        <v>1857</v>
      </c>
      <c r="D597" t="s">
        <v>37</v>
      </c>
      <c r="E597" s="1">
        <v>45334</v>
      </c>
      <c r="F597">
        <v>1</v>
      </c>
      <c r="G597" t="s">
        <v>32</v>
      </c>
      <c r="H597" t="s">
        <v>57</v>
      </c>
      <c r="I597" t="s">
        <v>2503</v>
      </c>
      <c r="J597" t="s">
        <v>1350</v>
      </c>
      <c r="K597">
        <v>5600</v>
      </c>
      <c r="L597">
        <v>800</v>
      </c>
      <c r="M597">
        <v>800</v>
      </c>
      <c r="N597" t="s">
        <v>2504</v>
      </c>
    </row>
    <row r="598" spans="1:14" x14ac:dyDescent="0.2">
      <c r="A598" t="s">
        <v>925</v>
      </c>
      <c r="B598" t="s">
        <v>507</v>
      </c>
      <c r="C598">
        <v>1865</v>
      </c>
      <c r="D598" t="s">
        <v>37</v>
      </c>
      <c r="E598" s="1">
        <v>45491</v>
      </c>
      <c r="F598">
        <v>3</v>
      </c>
      <c r="G598" t="s">
        <v>71</v>
      </c>
      <c r="H598" t="s">
        <v>57</v>
      </c>
      <c r="I598" t="s">
        <v>2519</v>
      </c>
      <c r="J598" t="s">
        <v>1350</v>
      </c>
      <c r="K598">
        <v>5600</v>
      </c>
      <c r="L598">
        <v>800</v>
      </c>
      <c r="M598">
        <v>2400</v>
      </c>
      <c r="N598" t="s">
        <v>2520</v>
      </c>
    </row>
    <row r="599" spans="1:14" x14ac:dyDescent="0.2">
      <c r="A599" t="s">
        <v>740</v>
      </c>
      <c r="B599" t="s">
        <v>624</v>
      </c>
      <c r="C599">
        <v>1867</v>
      </c>
      <c r="D599" t="s">
        <v>31</v>
      </c>
      <c r="E599" s="1">
        <v>45340</v>
      </c>
      <c r="F599">
        <v>3</v>
      </c>
      <c r="G599" t="s">
        <v>38</v>
      </c>
      <c r="H599" t="s">
        <v>57</v>
      </c>
      <c r="I599" t="s">
        <v>2523</v>
      </c>
      <c r="J599" t="s">
        <v>1350</v>
      </c>
      <c r="K599">
        <v>5600</v>
      </c>
      <c r="L599">
        <v>250</v>
      </c>
      <c r="M599">
        <v>750</v>
      </c>
      <c r="N599" t="s">
        <v>2524</v>
      </c>
    </row>
    <row r="600" spans="1:14" x14ac:dyDescent="0.2">
      <c r="A600" t="s">
        <v>310</v>
      </c>
      <c r="B600" t="s">
        <v>944</v>
      </c>
      <c r="C600">
        <v>1885</v>
      </c>
      <c r="D600" t="s">
        <v>51</v>
      </c>
      <c r="E600" s="1">
        <v>45418</v>
      </c>
      <c r="F600">
        <v>1</v>
      </c>
      <c r="G600" t="s">
        <v>52</v>
      </c>
      <c r="H600" t="s">
        <v>57</v>
      </c>
      <c r="I600" t="s">
        <v>2559</v>
      </c>
      <c r="J600" t="s">
        <v>1350</v>
      </c>
      <c r="K600">
        <v>5600</v>
      </c>
      <c r="L600">
        <v>250</v>
      </c>
      <c r="M600">
        <v>250</v>
      </c>
      <c r="N600" t="s">
        <v>2560</v>
      </c>
    </row>
    <row r="601" spans="1:14" x14ac:dyDescent="0.2">
      <c r="A601" t="s">
        <v>72</v>
      </c>
      <c r="B601" t="s">
        <v>331</v>
      </c>
      <c r="C601">
        <v>1909</v>
      </c>
      <c r="D601" t="s">
        <v>92</v>
      </c>
      <c r="E601" s="1">
        <v>45342</v>
      </c>
      <c r="F601">
        <v>2</v>
      </c>
      <c r="G601" t="s">
        <v>52</v>
      </c>
      <c r="H601" t="s">
        <v>57</v>
      </c>
      <c r="I601" t="s">
        <v>2607</v>
      </c>
      <c r="J601" t="s">
        <v>1095</v>
      </c>
      <c r="K601">
        <v>5000</v>
      </c>
      <c r="L601">
        <v>600</v>
      </c>
      <c r="M601">
        <v>1200</v>
      </c>
      <c r="N601" t="s">
        <v>2608</v>
      </c>
    </row>
    <row r="602" spans="1:14" x14ac:dyDescent="0.2">
      <c r="A602" t="s">
        <v>969</v>
      </c>
      <c r="B602" t="s">
        <v>522</v>
      </c>
      <c r="C602">
        <v>1910</v>
      </c>
      <c r="D602" t="s">
        <v>76</v>
      </c>
      <c r="E602" s="1">
        <v>45523</v>
      </c>
      <c r="F602">
        <v>2</v>
      </c>
      <c r="G602" t="s">
        <v>52</v>
      </c>
      <c r="H602" t="s">
        <v>57</v>
      </c>
      <c r="I602" t="s">
        <v>2609</v>
      </c>
      <c r="J602" t="s">
        <v>1350</v>
      </c>
      <c r="K602">
        <v>5600</v>
      </c>
      <c r="L602">
        <v>1200</v>
      </c>
      <c r="M602">
        <v>2400</v>
      </c>
      <c r="N602" t="s">
        <v>2610</v>
      </c>
    </row>
    <row r="603" spans="1:14" x14ac:dyDescent="0.2">
      <c r="A603" t="s">
        <v>634</v>
      </c>
      <c r="B603" t="s">
        <v>442</v>
      </c>
      <c r="C603">
        <v>1922</v>
      </c>
      <c r="D603" t="s">
        <v>92</v>
      </c>
      <c r="E603" s="1">
        <v>45607</v>
      </c>
      <c r="F603">
        <v>1</v>
      </c>
      <c r="G603" t="s">
        <v>32</v>
      </c>
      <c r="H603" t="s">
        <v>57</v>
      </c>
      <c r="I603" t="s">
        <v>2633</v>
      </c>
      <c r="J603" t="s">
        <v>1350</v>
      </c>
      <c r="K603">
        <v>5600</v>
      </c>
      <c r="L603">
        <v>600</v>
      </c>
      <c r="M603">
        <v>600</v>
      </c>
      <c r="N603" t="s">
        <v>2634</v>
      </c>
    </row>
    <row r="604" spans="1:14" x14ac:dyDescent="0.2">
      <c r="A604" t="s">
        <v>460</v>
      </c>
      <c r="B604" t="s">
        <v>391</v>
      </c>
      <c r="C604">
        <v>1935</v>
      </c>
      <c r="D604" t="s">
        <v>31</v>
      </c>
      <c r="E604" s="1">
        <v>45357</v>
      </c>
      <c r="F604">
        <v>1</v>
      </c>
      <c r="G604" t="s">
        <v>38</v>
      </c>
      <c r="H604" t="s">
        <v>57</v>
      </c>
      <c r="I604" t="s">
        <v>2659</v>
      </c>
      <c r="J604" t="s">
        <v>1253</v>
      </c>
      <c r="K604">
        <v>5290</v>
      </c>
      <c r="L604">
        <v>250</v>
      </c>
      <c r="M604">
        <v>250</v>
      </c>
      <c r="N604" t="s">
        <v>2660</v>
      </c>
    </row>
    <row r="605" spans="1:14" x14ac:dyDescent="0.2">
      <c r="A605" t="s">
        <v>1014</v>
      </c>
      <c r="B605" t="s">
        <v>1015</v>
      </c>
      <c r="C605">
        <v>1960</v>
      </c>
      <c r="D605" t="s">
        <v>31</v>
      </c>
      <c r="E605" s="1">
        <v>45506</v>
      </c>
      <c r="F605">
        <v>1</v>
      </c>
      <c r="G605" t="s">
        <v>52</v>
      </c>
      <c r="H605" t="s">
        <v>57</v>
      </c>
      <c r="I605" t="s">
        <v>2709</v>
      </c>
      <c r="J605" t="s">
        <v>1095</v>
      </c>
      <c r="K605">
        <v>5000</v>
      </c>
      <c r="L605">
        <v>250</v>
      </c>
      <c r="M605">
        <v>250</v>
      </c>
      <c r="N605" t="s">
        <v>2710</v>
      </c>
    </row>
    <row r="606" spans="1:14" x14ac:dyDescent="0.2">
      <c r="A606" t="s">
        <v>229</v>
      </c>
      <c r="B606" t="s">
        <v>1023</v>
      </c>
      <c r="C606">
        <v>1970</v>
      </c>
      <c r="D606" t="s">
        <v>92</v>
      </c>
      <c r="E606" s="1">
        <v>45483</v>
      </c>
      <c r="F606">
        <v>3</v>
      </c>
      <c r="G606" t="s">
        <v>52</v>
      </c>
      <c r="H606" t="s">
        <v>57</v>
      </c>
      <c r="I606" t="s">
        <v>2729</v>
      </c>
      <c r="J606" t="s">
        <v>1350</v>
      </c>
      <c r="K606">
        <v>5600</v>
      </c>
      <c r="L606">
        <v>600</v>
      </c>
      <c r="M606">
        <v>1800</v>
      </c>
      <c r="N606" t="s">
        <v>2730</v>
      </c>
    </row>
    <row r="607" spans="1:14" x14ac:dyDescent="0.2">
      <c r="A607" t="s">
        <v>1024</v>
      </c>
      <c r="B607" t="s">
        <v>1025</v>
      </c>
      <c r="C607">
        <v>1976</v>
      </c>
      <c r="D607" t="s">
        <v>76</v>
      </c>
      <c r="E607" s="1">
        <v>45363</v>
      </c>
      <c r="F607">
        <v>2</v>
      </c>
      <c r="G607" t="s">
        <v>71</v>
      </c>
      <c r="H607" t="s">
        <v>57</v>
      </c>
      <c r="I607" t="s">
        <v>2741</v>
      </c>
      <c r="J607" t="s">
        <v>1253</v>
      </c>
      <c r="K607">
        <v>5290</v>
      </c>
      <c r="L607">
        <v>1200</v>
      </c>
      <c r="M607">
        <v>2400</v>
      </c>
      <c r="N607" t="s">
        <v>2742</v>
      </c>
    </row>
    <row r="608" spans="1:14" x14ac:dyDescent="0.2">
      <c r="A608" t="s">
        <v>1032</v>
      </c>
      <c r="B608" t="s">
        <v>1033</v>
      </c>
      <c r="C608">
        <v>1984</v>
      </c>
      <c r="D608" t="s">
        <v>76</v>
      </c>
      <c r="E608" s="1">
        <v>45599</v>
      </c>
      <c r="F608">
        <v>2</v>
      </c>
      <c r="G608" t="s">
        <v>38</v>
      </c>
      <c r="H608" t="s">
        <v>57</v>
      </c>
      <c r="I608" t="s">
        <v>2757</v>
      </c>
      <c r="J608" t="s">
        <v>1253</v>
      </c>
      <c r="K608">
        <v>5290</v>
      </c>
      <c r="L608">
        <v>1200</v>
      </c>
      <c r="M608">
        <v>2400</v>
      </c>
      <c r="N608" t="s">
        <v>2758</v>
      </c>
    </row>
    <row r="609" spans="1:14" x14ac:dyDescent="0.2">
      <c r="A609" t="s">
        <v>349</v>
      </c>
      <c r="B609" t="s">
        <v>1048</v>
      </c>
      <c r="C609">
        <v>2005</v>
      </c>
      <c r="D609" t="s">
        <v>92</v>
      </c>
      <c r="E609" s="1">
        <v>45327</v>
      </c>
      <c r="F609">
        <v>2</v>
      </c>
      <c r="G609" t="s">
        <v>32</v>
      </c>
      <c r="H609" t="s">
        <v>57</v>
      </c>
      <c r="I609" t="s">
        <v>2799</v>
      </c>
      <c r="J609" t="s">
        <v>1253</v>
      </c>
      <c r="K609">
        <v>5290</v>
      </c>
      <c r="L609">
        <v>600</v>
      </c>
      <c r="M609">
        <v>1200</v>
      </c>
      <c r="N609" t="s">
        <v>2800</v>
      </c>
    </row>
    <row r="610" spans="1:14" x14ac:dyDescent="0.2">
      <c r="A610" t="s">
        <v>30</v>
      </c>
      <c r="B610" t="s">
        <v>96</v>
      </c>
      <c r="C610">
        <v>2009</v>
      </c>
      <c r="D610" t="s">
        <v>92</v>
      </c>
      <c r="E610" s="1">
        <v>45293</v>
      </c>
      <c r="F610">
        <v>3</v>
      </c>
      <c r="G610" t="s">
        <v>38</v>
      </c>
      <c r="H610" t="s">
        <v>57</v>
      </c>
      <c r="I610" t="s">
        <v>2807</v>
      </c>
      <c r="J610" t="s">
        <v>1253</v>
      </c>
      <c r="K610">
        <v>5290</v>
      </c>
      <c r="L610">
        <v>600</v>
      </c>
      <c r="M610">
        <v>1800</v>
      </c>
      <c r="N610" t="s">
        <v>2808</v>
      </c>
    </row>
    <row r="611" spans="1:14" x14ac:dyDescent="0.2">
      <c r="A611" t="s">
        <v>564</v>
      </c>
      <c r="B611" t="s">
        <v>841</v>
      </c>
      <c r="C611">
        <v>2020</v>
      </c>
      <c r="D611" t="s">
        <v>31</v>
      </c>
      <c r="E611" s="1">
        <v>45511</v>
      </c>
      <c r="F611">
        <v>1</v>
      </c>
      <c r="G611" t="s">
        <v>52</v>
      </c>
      <c r="H611" t="s">
        <v>57</v>
      </c>
      <c r="I611" t="s">
        <v>2829</v>
      </c>
      <c r="J611" t="s">
        <v>1253</v>
      </c>
      <c r="K611">
        <v>5290</v>
      </c>
      <c r="L611">
        <v>250</v>
      </c>
      <c r="M611">
        <v>250</v>
      </c>
      <c r="N611" t="s">
        <v>2830</v>
      </c>
    </row>
    <row r="612" spans="1:14" x14ac:dyDescent="0.2">
      <c r="A612" t="s">
        <v>1075</v>
      </c>
      <c r="B612" t="s">
        <v>1076</v>
      </c>
      <c r="C612">
        <v>2041</v>
      </c>
      <c r="D612" t="s">
        <v>37</v>
      </c>
      <c r="E612" s="1">
        <v>45300</v>
      </c>
      <c r="F612">
        <v>1</v>
      </c>
      <c r="G612" t="s">
        <v>32</v>
      </c>
      <c r="H612" t="s">
        <v>57</v>
      </c>
      <c r="I612" t="s">
        <v>2871</v>
      </c>
      <c r="J612" t="s">
        <v>1253</v>
      </c>
      <c r="K612">
        <v>5290</v>
      </c>
      <c r="L612">
        <v>800</v>
      </c>
      <c r="M612">
        <v>800</v>
      </c>
      <c r="N612" t="s">
        <v>2872</v>
      </c>
    </row>
    <row r="613" spans="1:14" x14ac:dyDescent="0.2">
      <c r="A613" t="s">
        <v>213</v>
      </c>
      <c r="B613" t="s">
        <v>1088</v>
      </c>
      <c r="C613">
        <v>2052</v>
      </c>
      <c r="D613" t="s">
        <v>51</v>
      </c>
      <c r="E613" s="1">
        <v>45615</v>
      </c>
      <c r="F613">
        <v>3</v>
      </c>
      <c r="G613" t="s">
        <v>32</v>
      </c>
      <c r="H613" t="s">
        <v>57</v>
      </c>
      <c r="I613" t="s">
        <v>2893</v>
      </c>
      <c r="J613" t="s">
        <v>1095</v>
      </c>
      <c r="K613">
        <v>5000</v>
      </c>
      <c r="L613">
        <v>250</v>
      </c>
      <c r="M613">
        <v>750</v>
      </c>
      <c r="N613" t="s">
        <v>2894</v>
      </c>
    </row>
    <row r="614" spans="1:14" x14ac:dyDescent="0.2">
      <c r="A614" t="s">
        <v>239</v>
      </c>
      <c r="B614" t="s">
        <v>104</v>
      </c>
      <c r="C614">
        <v>2072</v>
      </c>
      <c r="D614" t="s">
        <v>76</v>
      </c>
      <c r="E614" s="1">
        <v>45350</v>
      </c>
      <c r="F614">
        <v>2</v>
      </c>
      <c r="G614" t="s">
        <v>52</v>
      </c>
      <c r="H614" t="s">
        <v>57</v>
      </c>
      <c r="I614" t="s">
        <v>2933</v>
      </c>
      <c r="J614" t="s">
        <v>1095</v>
      </c>
      <c r="K614">
        <v>5000</v>
      </c>
      <c r="L614">
        <v>1200</v>
      </c>
      <c r="M614">
        <v>2400</v>
      </c>
      <c r="N614" t="s">
        <v>2934</v>
      </c>
    </row>
    <row r="615" spans="1:14" x14ac:dyDescent="0.2">
      <c r="A615" t="s">
        <v>1113</v>
      </c>
      <c r="B615" t="s">
        <v>711</v>
      </c>
      <c r="C615">
        <v>2079</v>
      </c>
      <c r="D615" t="s">
        <v>92</v>
      </c>
      <c r="E615" s="1">
        <v>45462</v>
      </c>
      <c r="F615">
        <v>2</v>
      </c>
      <c r="G615" t="s">
        <v>38</v>
      </c>
      <c r="H615" t="s">
        <v>57</v>
      </c>
      <c r="I615" t="s">
        <v>2947</v>
      </c>
      <c r="J615" t="s">
        <v>1253</v>
      </c>
      <c r="K615">
        <v>5290</v>
      </c>
      <c r="L615">
        <v>600</v>
      </c>
      <c r="M615">
        <v>1200</v>
      </c>
      <c r="N615" t="s">
        <v>2948</v>
      </c>
    </row>
    <row r="616" spans="1:14" x14ac:dyDescent="0.2">
      <c r="A616" t="s">
        <v>1128</v>
      </c>
      <c r="B616" t="s">
        <v>541</v>
      </c>
      <c r="C616">
        <v>2093</v>
      </c>
      <c r="D616" t="s">
        <v>51</v>
      </c>
      <c r="E616" s="1">
        <v>45606</v>
      </c>
      <c r="F616">
        <v>2</v>
      </c>
      <c r="G616" t="s">
        <v>32</v>
      </c>
      <c r="H616" t="s">
        <v>57</v>
      </c>
      <c r="I616" t="s">
        <v>2977</v>
      </c>
      <c r="J616" t="s">
        <v>1095</v>
      </c>
      <c r="K616">
        <v>5000</v>
      </c>
      <c r="L616">
        <v>250</v>
      </c>
      <c r="M616">
        <v>500</v>
      </c>
      <c r="N616" t="s">
        <v>2978</v>
      </c>
    </row>
    <row r="617" spans="1:14" x14ac:dyDescent="0.2">
      <c r="A617" t="s">
        <v>325</v>
      </c>
      <c r="B617" t="s">
        <v>918</v>
      </c>
      <c r="C617">
        <v>2094</v>
      </c>
      <c r="D617" t="s">
        <v>42</v>
      </c>
      <c r="E617" s="1">
        <v>45646</v>
      </c>
      <c r="F617">
        <v>1</v>
      </c>
      <c r="G617" t="s">
        <v>32</v>
      </c>
      <c r="H617" t="s">
        <v>57</v>
      </c>
      <c r="I617" t="s">
        <v>2979</v>
      </c>
      <c r="J617" t="s">
        <v>1253</v>
      </c>
      <c r="K617">
        <v>5290</v>
      </c>
      <c r="L617">
        <v>300</v>
      </c>
      <c r="M617">
        <v>300</v>
      </c>
      <c r="N617" t="s">
        <v>2980</v>
      </c>
    </row>
    <row r="618" spans="1:14" x14ac:dyDescent="0.2">
      <c r="A618" t="s">
        <v>694</v>
      </c>
      <c r="B618" t="s">
        <v>641</v>
      </c>
      <c r="C618">
        <v>2100</v>
      </c>
      <c r="D618" t="s">
        <v>76</v>
      </c>
      <c r="E618" s="1">
        <v>45293</v>
      </c>
      <c r="F618">
        <v>3</v>
      </c>
      <c r="G618" t="s">
        <v>38</v>
      </c>
      <c r="H618" t="s">
        <v>57</v>
      </c>
      <c r="I618" t="s">
        <v>2991</v>
      </c>
      <c r="J618" t="s">
        <v>1095</v>
      </c>
      <c r="K618">
        <v>5000</v>
      </c>
      <c r="L618">
        <v>1200</v>
      </c>
      <c r="M618">
        <v>3600</v>
      </c>
      <c r="N618" t="s">
        <v>2992</v>
      </c>
    </row>
    <row r="619" spans="1:14" x14ac:dyDescent="0.2">
      <c r="A619" t="s">
        <v>334</v>
      </c>
      <c r="B619" t="s">
        <v>1131</v>
      </c>
      <c r="C619">
        <v>2101</v>
      </c>
      <c r="D619" t="s">
        <v>76</v>
      </c>
      <c r="E619" s="1">
        <v>45419</v>
      </c>
      <c r="F619">
        <v>1</v>
      </c>
      <c r="G619" t="s">
        <v>52</v>
      </c>
      <c r="H619" t="s">
        <v>57</v>
      </c>
      <c r="I619" t="s">
        <v>2993</v>
      </c>
      <c r="J619" t="s">
        <v>1253</v>
      </c>
      <c r="K619">
        <v>5290</v>
      </c>
      <c r="L619">
        <v>1200</v>
      </c>
      <c r="M619">
        <v>1200</v>
      </c>
      <c r="N619" t="s">
        <v>2994</v>
      </c>
    </row>
    <row r="620" spans="1:14" x14ac:dyDescent="0.2">
      <c r="A620" t="s">
        <v>1159</v>
      </c>
      <c r="B620" t="s">
        <v>443</v>
      </c>
      <c r="C620">
        <v>2128</v>
      </c>
      <c r="D620" t="s">
        <v>37</v>
      </c>
      <c r="E620" s="1">
        <v>45610</v>
      </c>
      <c r="F620">
        <v>1</v>
      </c>
      <c r="G620" t="s">
        <v>32</v>
      </c>
      <c r="H620" t="s">
        <v>57</v>
      </c>
      <c r="I620" t="s">
        <v>3047</v>
      </c>
      <c r="J620" t="s">
        <v>1253</v>
      </c>
      <c r="K620">
        <v>5290</v>
      </c>
      <c r="L620">
        <v>800</v>
      </c>
      <c r="M620">
        <v>800</v>
      </c>
      <c r="N620" t="s">
        <v>3048</v>
      </c>
    </row>
    <row r="621" spans="1:14" x14ac:dyDescent="0.2">
      <c r="A621" t="s">
        <v>72</v>
      </c>
      <c r="B621" t="s">
        <v>124</v>
      </c>
      <c r="C621">
        <v>2129</v>
      </c>
      <c r="D621" t="s">
        <v>51</v>
      </c>
      <c r="E621" s="1">
        <v>45644</v>
      </c>
      <c r="F621">
        <v>3</v>
      </c>
      <c r="G621" t="s">
        <v>32</v>
      </c>
      <c r="H621" t="s">
        <v>57</v>
      </c>
      <c r="I621" t="s">
        <v>3049</v>
      </c>
      <c r="J621" t="s">
        <v>1350</v>
      </c>
      <c r="K621">
        <v>5600</v>
      </c>
      <c r="L621">
        <v>250</v>
      </c>
      <c r="M621">
        <v>750</v>
      </c>
      <c r="N621" t="s">
        <v>3050</v>
      </c>
    </row>
    <row r="622" spans="1:14" x14ac:dyDescent="0.2">
      <c r="A622" t="s">
        <v>1173</v>
      </c>
      <c r="B622" t="s">
        <v>519</v>
      </c>
      <c r="C622">
        <v>2142</v>
      </c>
      <c r="D622" t="s">
        <v>51</v>
      </c>
      <c r="E622" s="1">
        <v>45531</v>
      </c>
      <c r="F622">
        <v>3</v>
      </c>
      <c r="G622" t="s">
        <v>32</v>
      </c>
      <c r="H622" t="s">
        <v>57</v>
      </c>
      <c r="I622" t="s">
        <v>3075</v>
      </c>
      <c r="J622" t="s">
        <v>1350</v>
      </c>
      <c r="K622">
        <v>5600</v>
      </c>
      <c r="L622">
        <v>250</v>
      </c>
      <c r="M622">
        <v>750</v>
      </c>
      <c r="N622" t="s">
        <v>3076</v>
      </c>
    </row>
    <row r="623" spans="1:14" x14ac:dyDescent="0.2">
      <c r="A623" t="s">
        <v>1189</v>
      </c>
      <c r="B623" t="s">
        <v>368</v>
      </c>
      <c r="C623">
        <v>2165</v>
      </c>
      <c r="D623" t="s">
        <v>31</v>
      </c>
      <c r="E623" s="1">
        <v>45474</v>
      </c>
      <c r="F623">
        <v>2</v>
      </c>
      <c r="G623" t="s">
        <v>71</v>
      </c>
      <c r="H623" t="s">
        <v>57</v>
      </c>
      <c r="I623" t="s">
        <v>3121</v>
      </c>
      <c r="J623" t="s">
        <v>1095</v>
      </c>
      <c r="K623">
        <v>5000</v>
      </c>
      <c r="L623">
        <v>250</v>
      </c>
      <c r="M623">
        <v>500</v>
      </c>
      <c r="N623" t="s">
        <v>3122</v>
      </c>
    </row>
    <row r="624" spans="1:14" x14ac:dyDescent="0.2">
      <c r="A624" t="s">
        <v>751</v>
      </c>
      <c r="B624" t="s">
        <v>1190</v>
      </c>
      <c r="C624">
        <v>2166</v>
      </c>
      <c r="D624" t="s">
        <v>92</v>
      </c>
      <c r="E624" s="1">
        <v>45365</v>
      </c>
      <c r="F624">
        <v>2</v>
      </c>
      <c r="G624" t="s">
        <v>52</v>
      </c>
      <c r="H624" t="s">
        <v>57</v>
      </c>
      <c r="I624" t="s">
        <v>3123</v>
      </c>
      <c r="J624" t="s">
        <v>1253</v>
      </c>
      <c r="K624">
        <v>5290</v>
      </c>
      <c r="L624">
        <v>600</v>
      </c>
      <c r="M624">
        <v>1200</v>
      </c>
      <c r="N624" t="s">
        <v>3124</v>
      </c>
    </row>
    <row r="625" spans="1:14" x14ac:dyDescent="0.2">
      <c r="A625" t="s">
        <v>198</v>
      </c>
      <c r="B625" t="s">
        <v>1048</v>
      </c>
      <c r="C625">
        <v>2177</v>
      </c>
      <c r="D625" t="s">
        <v>42</v>
      </c>
      <c r="E625" s="1">
        <v>45447</v>
      </c>
      <c r="F625">
        <v>1</v>
      </c>
      <c r="G625" t="s">
        <v>52</v>
      </c>
      <c r="H625" t="s">
        <v>57</v>
      </c>
      <c r="I625" t="s">
        <v>3145</v>
      </c>
      <c r="J625" t="s">
        <v>1350</v>
      </c>
      <c r="K625">
        <v>5600</v>
      </c>
      <c r="L625">
        <v>300</v>
      </c>
      <c r="M625">
        <v>300</v>
      </c>
      <c r="N625" t="s">
        <v>3146</v>
      </c>
    </row>
    <row r="626" spans="1:14" x14ac:dyDescent="0.2">
      <c r="A626" t="s">
        <v>74</v>
      </c>
      <c r="B626" t="s">
        <v>1198</v>
      </c>
      <c r="C626">
        <v>2179</v>
      </c>
      <c r="D626" t="s">
        <v>76</v>
      </c>
      <c r="E626" s="1">
        <v>45583</v>
      </c>
      <c r="F626">
        <v>2</v>
      </c>
      <c r="G626" t="s">
        <v>52</v>
      </c>
      <c r="H626" t="s">
        <v>57</v>
      </c>
      <c r="I626" t="s">
        <v>3149</v>
      </c>
      <c r="J626" t="s">
        <v>1350</v>
      </c>
      <c r="K626">
        <v>5600</v>
      </c>
      <c r="L626">
        <v>1200</v>
      </c>
      <c r="M626">
        <v>2400</v>
      </c>
      <c r="N626" t="s">
        <v>3150</v>
      </c>
    </row>
    <row r="627" spans="1:14" x14ac:dyDescent="0.2">
      <c r="A627" t="s">
        <v>876</v>
      </c>
      <c r="B627" t="s">
        <v>1086</v>
      </c>
      <c r="C627">
        <v>2185</v>
      </c>
      <c r="D627" t="s">
        <v>51</v>
      </c>
      <c r="E627" s="1">
        <v>45340</v>
      </c>
      <c r="F627">
        <v>3</v>
      </c>
      <c r="G627" t="s">
        <v>52</v>
      </c>
      <c r="H627" t="s">
        <v>57</v>
      </c>
      <c r="I627" t="s">
        <v>3161</v>
      </c>
      <c r="J627" t="s">
        <v>1095</v>
      </c>
      <c r="K627">
        <v>5000</v>
      </c>
      <c r="L627">
        <v>250</v>
      </c>
      <c r="M627">
        <v>750</v>
      </c>
      <c r="N627" t="s">
        <v>3162</v>
      </c>
    </row>
    <row r="628" spans="1:14" x14ac:dyDescent="0.2">
      <c r="A628" t="s">
        <v>401</v>
      </c>
      <c r="B628" t="s">
        <v>1204</v>
      </c>
      <c r="C628">
        <v>2189</v>
      </c>
      <c r="D628" t="s">
        <v>76</v>
      </c>
      <c r="E628" s="1">
        <v>45352</v>
      </c>
      <c r="F628">
        <v>1</v>
      </c>
      <c r="G628" t="s">
        <v>52</v>
      </c>
      <c r="H628" t="s">
        <v>57</v>
      </c>
      <c r="I628" t="s">
        <v>3169</v>
      </c>
      <c r="J628" t="s">
        <v>1095</v>
      </c>
      <c r="K628">
        <v>5000</v>
      </c>
      <c r="L628">
        <v>1200</v>
      </c>
      <c r="M628">
        <v>1200</v>
      </c>
      <c r="N628" t="s">
        <v>3170</v>
      </c>
    </row>
    <row r="629" spans="1:14" x14ac:dyDescent="0.2">
      <c r="A629" t="s">
        <v>897</v>
      </c>
      <c r="B629" t="s">
        <v>177</v>
      </c>
      <c r="C629">
        <v>2194</v>
      </c>
      <c r="D629" t="s">
        <v>42</v>
      </c>
      <c r="E629" s="1">
        <v>45444</v>
      </c>
      <c r="F629">
        <v>1</v>
      </c>
      <c r="G629" t="s">
        <v>32</v>
      </c>
      <c r="H629" t="s">
        <v>57</v>
      </c>
      <c r="I629" t="s">
        <v>3179</v>
      </c>
      <c r="J629" t="s">
        <v>1350</v>
      </c>
      <c r="K629">
        <v>5600</v>
      </c>
      <c r="L629">
        <v>300</v>
      </c>
      <c r="M629">
        <v>300</v>
      </c>
      <c r="N629" t="s">
        <v>3180</v>
      </c>
    </row>
    <row r="630" spans="1:14" x14ac:dyDescent="0.2">
      <c r="A630" t="s">
        <v>170</v>
      </c>
      <c r="B630" t="s">
        <v>1209</v>
      </c>
      <c r="C630">
        <v>2199</v>
      </c>
      <c r="D630" t="s">
        <v>31</v>
      </c>
      <c r="E630" s="1">
        <v>45591</v>
      </c>
      <c r="F630">
        <v>3</v>
      </c>
      <c r="G630" t="s">
        <v>52</v>
      </c>
      <c r="H630" t="s">
        <v>57</v>
      </c>
      <c r="I630" t="s">
        <v>3189</v>
      </c>
      <c r="J630" t="s">
        <v>1253</v>
      </c>
      <c r="K630">
        <v>5290</v>
      </c>
      <c r="L630">
        <v>250</v>
      </c>
      <c r="M630">
        <v>750</v>
      </c>
      <c r="N630" t="s">
        <v>3190</v>
      </c>
    </row>
    <row r="631" spans="1:14" x14ac:dyDescent="0.2">
      <c r="A631" t="s">
        <v>970</v>
      </c>
      <c r="B631" t="s">
        <v>447</v>
      </c>
      <c r="C631">
        <v>2206</v>
      </c>
      <c r="D631" t="s">
        <v>76</v>
      </c>
      <c r="E631" s="1">
        <v>45486</v>
      </c>
      <c r="F631">
        <v>2</v>
      </c>
      <c r="G631" t="s">
        <v>32</v>
      </c>
      <c r="H631" t="s">
        <v>57</v>
      </c>
      <c r="I631" t="s">
        <v>3203</v>
      </c>
      <c r="J631" t="s">
        <v>1350</v>
      </c>
      <c r="K631">
        <v>5600</v>
      </c>
      <c r="L631">
        <v>1200</v>
      </c>
      <c r="M631">
        <v>2400</v>
      </c>
      <c r="N631" t="s">
        <v>3204</v>
      </c>
    </row>
    <row r="632" spans="1:14" x14ac:dyDescent="0.2">
      <c r="A632" t="s">
        <v>225</v>
      </c>
      <c r="B632" t="s">
        <v>883</v>
      </c>
      <c r="C632">
        <v>2210</v>
      </c>
      <c r="D632" t="s">
        <v>76</v>
      </c>
      <c r="E632" s="1">
        <v>45392</v>
      </c>
      <c r="F632">
        <v>3</v>
      </c>
      <c r="G632" t="s">
        <v>32</v>
      </c>
      <c r="H632" t="s">
        <v>57</v>
      </c>
      <c r="I632" t="s">
        <v>3211</v>
      </c>
      <c r="J632" t="s">
        <v>1253</v>
      </c>
      <c r="K632">
        <v>5290</v>
      </c>
      <c r="L632">
        <v>1200</v>
      </c>
      <c r="M632">
        <v>3600</v>
      </c>
      <c r="N632" t="s">
        <v>3212</v>
      </c>
    </row>
    <row r="633" spans="1:14" x14ac:dyDescent="0.2">
      <c r="A633" t="s">
        <v>658</v>
      </c>
      <c r="B633" t="s">
        <v>348</v>
      </c>
      <c r="C633">
        <v>2214</v>
      </c>
      <c r="D633" t="s">
        <v>37</v>
      </c>
      <c r="E633" s="1">
        <v>45353</v>
      </c>
      <c r="F633">
        <v>1</v>
      </c>
      <c r="G633" t="s">
        <v>52</v>
      </c>
      <c r="H633" t="s">
        <v>57</v>
      </c>
      <c r="I633" t="s">
        <v>3219</v>
      </c>
      <c r="J633" t="s">
        <v>1350</v>
      </c>
      <c r="K633">
        <v>5600</v>
      </c>
      <c r="L633">
        <v>800</v>
      </c>
      <c r="M633">
        <v>800</v>
      </c>
      <c r="N633" t="s">
        <v>3220</v>
      </c>
    </row>
    <row r="634" spans="1:14" x14ac:dyDescent="0.2">
      <c r="A634" t="s">
        <v>1171</v>
      </c>
      <c r="B634" t="s">
        <v>372</v>
      </c>
      <c r="C634">
        <v>2230</v>
      </c>
      <c r="D634" t="s">
        <v>76</v>
      </c>
      <c r="E634" s="1">
        <v>45423</v>
      </c>
      <c r="F634">
        <v>2</v>
      </c>
      <c r="G634" t="s">
        <v>52</v>
      </c>
      <c r="H634" t="s">
        <v>57</v>
      </c>
      <c r="I634" t="s">
        <v>3251</v>
      </c>
      <c r="J634" t="s">
        <v>1253</v>
      </c>
      <c r="K634">
        <v>5290</v>
      </c>
      <c r="L634">
        <v>1200</v>
      </c>
      <c r="M634">
        <v>2400</v>
      </c>
      <c r="N634" t="s">
        <v>3252</v>
      </c>
    </row>
    <row r="635" spans="1:14" x14ac:dyDescent="0.2">
      <c r="A635" t="s">
        <v>1231</v>
      </c>
      <c r="B635" t="s">
        <v>1023</v>
      </c>
      <c r="C635">
        <v>2231</v>
      </c>
      <c r="D635" t="s">
        <v>51</v>
      </c>
      <c r="E635" s="1">
        <v>45300</v>
      </c>
      <c r="F635">
        <v>1</v>
      </c>
      <c r="G635" t="s">
        <v>32</v>
      </c>
      <c r="H635" t="s">
        <v>57</v>
      </c>
      <c r="I635" t="s">
        <v>3253</v>
      </c>
      <c r="J635" t="s">
        <v>1253</v>
      </c>
      <c r="K635">
        <v>5290</v>
      </c>
      <c r="L635">
        <v>250</v>
      </c>
      <c r="M635">
        <v>250</v>
      </c>
      <c r="N635" t="s">
        <v>3254</v>
      </c>
    </row>
    <row r="636" spans="1:14" x14ac:dyDescent="0.2">
      <c r="A636" t="s">
        <v>62</v>
      </c>
      <c r="B636" t="s">
        <v>63</v>
      </c>
      <c r="C636">
        <v>1242</v>
      </c>
      <c r="D636" t="s">
        <v>42</v>
      </c>
      <c r="E636" s="1">
        <v>45330</v>
      </c>
      <c r="F636">
        <v>3</v>
      </c>
      <c r="G636" t="s">
        <v>52</v>
      </c>
      <c r="H636" t="s">
        <v>64</v>
      </c>
      <c r="I636" t="s">
        <v>1261</v>
      </c>
      <c r="J636" t="s">
        <v>1262</v>
      </c>
      <c r="K636">
        <v>7250</v>
      </c>
      <c r="L636">
        <v>300</v>
      </c>
      <c r="M636">
        <v>900</v>
      </c>
      <c r="N636" t="s">
        <v>1263</v>
      </c>
    </row>
    <row r="637" spans="1:14" x14ac:dyDescent="0.2">
      <c r="A637" t="s">
        <v>65</v>
      </c>
      <c r="B637" t="s">
        <v>66</v>
      </c>
      <c r="C637">
        <v>1243</v>
      </c>
      <c r="D637" t="s">
        <v>37</v>
      </c>
      <c r="E637" s="1">
        <v>45635</v>
      </c>
      <c r="F637">
        <v>2</v>
      </c>
      <c r="G637" t="s">
        <v>52</v>
      </c>
      <c r="H637" t="s">
        <v>64</v>
      </c>
      <c r="I637" t="s">
        <v>1264</v>
      </c>
      <c r="J637" t="s">
        <v>1265</v>
      </c>
      <c r="K637">
        <v>7000</v>
      </c>
      <c r="L637">
        <v>800</v>
      </c>
      <c r="M637">
        <v>1600</v>
      </c>
      <c r="N637" t="s">
        <v>1266</v>
      </c>
    </row>
    <row r="638" spans="1:14" x14ac:dyDescent="0.2">
      <c r="A638" t="s">
        <v>84</v>
      </c>
      <c r="B638" t="s">
        <v>85</v>
      </c>
      <c r="C638">
        <v>1251</v>
      </c>
      <c r="D638" t="s">
        <v>51</v>
      </c>
      <c r="E638" s="1">
        <v>45524</v>
      </c>
      <c r="F638">
        <v>2</v>
      </c>
      <c r="G638" t="s">
        <v>38</v>
      </c>
      <c r="H638" t="s">
        <v>64</v>
      </c>
      <c r="I638" t="s">
        <v>1284</v>
      </c>
      <c r="J638" t="s">
        <v>1265</v>
      </c>
      <c r="K638">
        <v>7000</v>
      </c>
      <c r="L638">
        <v>250</v>
      </c>
      <c r="M638">
        <v>500</v>
      </c>
      <c r="N638" t="s">
        <v>1285</v>
      </c>
    </row>
    <row r="639" spans="1:14" x14ac:dyDescent="0.2">
      <c r="A639" t="s">
        <v>112</v>
      </c>
      <c r="B639" t="s">
        <v>113</v>
      </c>
      <c r="C639">
        <v>1265</v>
      </c>
      <c r="D639" t="s">
        <v>42</v>
      </c>
      <c r="E639" s="1">
        <v>45588</v>
      </c>
      <c r="F639">
        <v>1</v>
      </c>
      <c r="G639" t="s">
        <v>52</v>
      </c>
      <c r="H639" t="s">
        <v>64</v>
      </c>
      <c r="I639" t="s">
        <v>1315</v>
      </c>
      <c r="J639" t="s">
        <v>1265</v>
      </c>
      <c r="K639">
        <v>7000</v>
      </c>
      <c r="L639">
        <v>300</v>
      </c>
      <c r="M639">
        <v>300</v>
      </c>
      <c r="N639" t="s">
        <v>1316</v>
      </c>
    </row>
    <row r="640" spans="1:14" x14ac:dyDescent="0.2">
      <c r="A640" t="s">
        <v>133</v>
      </c>
      <c r="B640" t="s">
        <v>134</v>
      </c>
      <c r="C640">
        <v>1275</v>
      </c>
      <c r="D640" t="s">
        <v>42</v>
      </c>
      <c r="E640" s="1">
        <v>45550</v>
      </c>
      <c r="F640">
        <v>2</v>
      </c>
      <c r="G640" t="s">
        <v>52</v>
      </c>
      <c r="H640" t="s">
        <v>64</v>
      </c>
      <c r="I640" t="s">
        <v>1335</v>
      </c>
      <c r="J640" t="s">
        <v>1262</v>
      </c>
      <c r="K640">
        <v>7250</v>
      </c>
      <c r="L640">
        <v>300</v>
      </c>
      <c r="M640">
        <v>600</v>
      </c>
      <c r="N640" t="s">
        <v>1336</v>
      </c>
    </row>
    <row r="641" spans="1:14" x14ac:dyDescent="0.2">
      <c r="A641" t="s">
        <v>175</v>
      </c>
      <c r="B641" t="s">
        <v>176</v>
      </c>
      <c r="C641">
        <v>1298</v>
      </c>
      <c r="D641" t="s">
        <v>76</v>
      </c>
      <c r="E641" s="1">
        <v>45313</v>
      </c>
      <c r="F641">
        <v>3</v>
      </c>
      <c r="G641" t="s">
        <v>52</v>
      </c>
      <c r="H641" t="s">
        <v>64</v>
      </c>
      <c r="I641" t="s">
        <v>1383</v>
      </c>
      <c r="J641" t="s">
        <v>1262</v>
      </c>
      <c r="K641">
        <v>7250</v>
      </c>
      <c r="L641">
        <v>1200</v>
      </c>
      <c r="M641">
        <v>3600</v>
      </c>
      <c r="N641" t="s">
        <v>1384</v>
      </c>
    </row>
    <row r="642" spans="1:14" x14ac:dyDescent="0.2">
      <c r="A642" t="s">
        <v>182</v>
      </c>
      <c r="B642" t="s">
        <v>183</v>
      </c>
      <c r="C642">
        <v>1302</v>
      </c>
      <c r="D642" t="s">
        <v>51</v>
      </c>
      <c r="E642" s="1">
        <v>45475</v>
      </c>
      <c r="F642">
        <v>1</v>
      </c>
      <c r="G642" t="s">
        <v>52</v>
      </c>
      <c r="H642" t="s">
        <v>64</v>
      </c>
      <c r="I642" t="s">
        <v>1391</v>
      </c>
      <c r="J642" t="s">
        <v>1262</v>
      </c>
      <c r="K642">
        <v>7250</v>
      </c>
      <c r="L642">
        <v>250</v>
      </c>
      <c r="M642">
        <v>250</v>
      </c>
      <c r="N642" t="s">
        <v>1392</v>
      </c>
    </row>
    <row r="643" spans="1:14" x14ac:dyDescent="0.2">
      <c r="A643" t="s">
        <v>189</v>
      </c>
      <c r="B643" t="s">
        <v>190</v>
      </c>
      <c r="C643">
        <v>1306</v>
      </c>
      <c r="D643" t="s">
        <v>76</v>
      </c>
      <c r="E643" s="1">
        <v>45542</v>
      </c>
      <c r="F643">
        <v>1</v>
      </c>
      <c r="G643" t="s">
        <v>32</v>
      </c>
      <c r="H643" t="s">
        <v>64</v>
      </c>
      <c r="I643" t="s">
        <v>1399</v>
      </c>
      <c r="J643" t="s">
        <v>1400</v>
      </c>
      <c r="K643">
        <v>7310</v>
      </c>
      <c r="L643">
        <v>1200</v>
      </c>
      <c r="M643">
        <v>1200</v>
      </c>
      <c r="N643" t="s">
        <v>1401</v>
      </c>
    </row>
    <row r="644" spans="1:14" x14ac:dyDescent="0.2">
      <c r="A644" t="s">
        <v>213</v>
      </c>
      <c r="B644" t="s">
        <v>214</v>
      </c>
      <c r="C644">
        <v>1319</v>
      </c>
      <c r="D644" t="s">
        <v>76</v>
      </c>
      <c r="E644" s="1">
        <v>45411</v>
      </c>
      <c r="F644">
        <v>2</v>
      </c>
      <c r="G644" t="s">
        <v>32</v>
      </c>
      <c r="H644" t="s">
        <v>64</v>
      </c>
      <c r="I644" t="s">
        <v>1426</v>
      </c>
      <c r="J644" t="s">
        <v>1262</v>
      </c>
      <c r="K644">
        <v>7250</v>
      </c>
      <c r="L644">
        <v>1200</v>
      </c>
      <c r="M644">
        <v>2400</v>
      </c>
      <c r="N644" t="s">
        <v>1427</v>
      </c>
    </row>
    <row r="645" spans="1:14" x14ac:dyDescent="0.2">
      <c r="A645" t="s">
        <v>217</v>
      </c>
      <c r="B645" t="s">
        <v>218</v>
      </c>
      <c r="C645">
        <v>1321</v>
      </c>
      <c r="D645" t="s">
        <v>31</v>
      </c>
      <c r="E645" s="1">
        <v>45398</v>
      </c>
      <c r="F645">
        <v>1</v>
      </c>
      <c r="G645" t="s">
        <v>32</v>
      </c>
      <c r="H645" t="s">
        <v>64</v>
      </c>
      <c r="I645" t="s">
        <v>1430</v>
      </c>
      <c r="J645" t="s">
        <v>1265</v>
      </c>
      <c r="K645">
        <v>7000</v>
      </c>
      <c r="L645">
        <v>250</v>
      </c>
      <c r="M645">
        <v>250</v>
      </c>
      <c r="N645" t="s">
        <v>1431</v>
      </c>
    </row>
    <row r="646" spans="1:14" x14ac:dyDescent="0.2">
      <c r="A646" t="s">
        <v>225</v>
      </c>
      <c r="B646" t="s">
        <v>226</v>
      </c>
      <c r="C646">
        <v>1326</v>
      </c>
      <c r="D646" t="s">
        <v>31</v>
      </c>
      <c r="E646" s="1">
        <v>45378</v>
      </c>
      <c r="F646">
        <v>3</v>
      </c>
      <c r="G646" t="s">
        <v>32</v>
      </c>
      <c r="H646" t="s">
        <v>64</v>
      </c>
      <c r="I646" t="s">
        <v>1440</v>
      </c>
      <c r="J646" t="s">
        <v>1265</v>
      </c>
      <c r="K646">
        <v>7000</v>
      </c>
      <c r="L646">
        <v>250</v>
      </c>
      <c r="M646">
        <v>750</v>
      </c>
      <c r="N646" t="s">
        <v>1441</v>
      </c>
    </row>
    <row r="647" spans="1:14" x14ac:dyDescent="0.2">
      <c r="A647" t="s">
        <v>233</v>
      </c>
      <c r="B647" t="s">
        <v>234</v>
      </c>
      <c r="C647">
        <v>1330</v>
      </c>
      <c r="D647" t="s">
        <v>31</v>
      </c>
      <c r="E647" s="1">
        <v>45430</v>
      </c>
      <c r="F647">
        <v>1</v>
      </c>
      <c r="G647" t="s">
        <v>52</v>
      </c>
      <c r="H647" t="s">
        <v>64</v>
      </c>
      <c r="I647" t="s">
        <v>1448</v>
      </c>
      <c r="J647" t="s">
        <v>1265</v>
      </c>
      <c r="K647">
        <v>7000</v>
      </c>
      <c r="L647">
        <v>250</v>
      </c>
      <c r="M647">
        <v>250</v>
      </c>
      <c r="N647" t="s">
        <v>1449</v>
      </c>
    </row>
    <row r="648" spans="1:14" x14ac:dyDescent="0.2">
      <c r="A648" t="s">
        <v>261</v>
      </c>
      <c r="B648" t="s">
        <v>262</v>
      </c>
      <c r="C648">
        <v>1347</v>
      </c>
      <c r="D648" t="s">
        <v>42</v>
      </c>
      <c r="E648" s="1">
        <v>45481</v>
      </c>
      <c r="F648">
        <v>3</v>
      </c>
      <c r="G648" t="s">
        <v>32</v>
      </c>
      <c r="H648" t="s">
        <v>64</v>
      </c>
      <c r="I648" t="s">
        <v>1482</v>
      </c>
      <c r="J648" t="s">
        <v>1262</v>
      </c>
      <c r="K648">
        <v>7250</v>
      </c>
      <c r="L648">
        <v>300</v>
      </c>
      <c r="M648">
        <v>900</v>
      </c>
      <c r="N648" t="s">
        <v>1483</v>
      </c>
    </row>
    <row r="649" spans="1:14" x14ac:dyDescent="0.2">
      <c r="A649" t="s">
        <v>267</v>
      </c>
      <c r="B649" t="s">
        <v>268</v>
      </c>
      <c r="C649">
        <v>1351</v>
      </c>
      <c r="D649" t="s">
        <v>92</v>
      </c>
      <c r="E649" s="1">
        <v>45371</v>
      </c>
      <c r="F649">
        <v>3</v>
      </c>
      <c r="G649" t="s">
        <v>52</v>
      </c>
      <c r="H649" t="s">
        <v>64</v>
      </c>
      <c r="I649" t="s">
        <v>1490</v>
      </c>
      <c r="J649" t="s">
        <v>1400</v>
      </c>
      <c r="K649">
        <v>7310</v>
      </c>
      <c r="L649">
        <v>600</v>
      </c>
      <c r="M649">
        <v>1800</v>
      </c>
      <c r="N649" t="s">
        <v>1491</v>
      </c>
    </row>
    <row r="650" spans="1:14" x14ac:dyDescent="0.2">
      <c r="A650" t="s">
        <v>281</v>
      </c>
      <c r="B650" t="s">
        <v>282</v>
      </c>
      <c r="C650">
        <v>1359</v>
      </c>
      <c r="D650" t="s">
        <v>76</v>
      </c>
      <c r="E650" s="1">
        <v>45469</v>
      </c>
      <c r="F650">
        <v>3</v>
      </c>
      <c r="G650" t="s">
        <v>52</v>
      </c>
      <c r="H650" t="s">
        <v>64</v>
      </c>
      <c r="I650" t="s">
        <v>1506</v>
      </c>
      <c r="J650" t="s">
        <v>1400</v>
      </c>
      <c r="K650">
        <v>7310</v>
      </c>
      <c r="L650">
        <v>1200</v>
      </c>
      <c r="M650">
        <v>3600</v>
      </c>
      <c r="N650" t="s">
        <v>1507</v>
      </c>
    </row>
    <row r="651" spans="1:14" x14ac:dyDescent="0.2">
      <c r="A651" t="s">
        <v>294</v>
      </c>
      <c r="B651" t="s">
        <v>295</v>
      </c>
      <c r="C651">
        <v>1366</v>
      </c>
      <c r="D651" t="s">
        <v>76</v>
      </c>
      <c r="E651" s="1">
        <v>45612</v>
      </c>
      <c r="F651">
        <v>3</v>
      </c>
      <c r="G651" t="s">
        <v>71</v>
      </c>
      <c r="H651" t="s">
        <v>64</v>
      </c>
      <c r="I651" t="s">
        <v>1520</v>
      </c>
      <c r="J651" t="s">
        <v>1265</v>
      </c>
      <c r="K651">
        <v>7000</v>
      </c>
      <c r="L651">
        <v>1200</v>
      </c>
      <c r="M651">
        <v>3600</v>
      </c>
      <c r="N651" t="s">
        <v>1521</v>
      </c>
    </row>
    <row r="652" spans="1:14" x14ac:dyDescent="0.2">
      <c r="A652" t="s">
        <v>261</v>
      </c>
      <c r="B652" t="s">
        <v>298</v>
      </c>
      <c r="C652">
        <v>1368</v>
      </c>
      <c r="D652" t="s">
        <v>37</v>
      </c>
      <c r="E652" s="1">
        <v>45485</v>
      </c>
      <c r="F652">
        <v>3</v>
      </c>
      <c r="G652" t="s">
        <v>38</v>
      </c>
      <c r="H652" t="s">
        <v>64</v>
      </c>
      <c r="I652" t="s">
        <v>1524</v>
      </c>
      <c r="J652" t="s">
        <v>1265</v>
      </c>
      <c r="K652">
        <v>7000</v>
      </c>
      <c r="L652">
        <v>800</v>
      </c>
      <c r="M652">
        <v>2400</v>
      </c>
      <c r="N652" t="s">
        <v>1525</v>
      </c>
    </row>
    <row r="653" spans="1:14" x14ac:dyDescent="0.2">
      <c r="A653" t="s">
        <v>169</v>
      </c>
      <c r="B653" t="s">
        <v>245</v>
      </c>
      <c r="C653">
        <v>1390</v>
      </c>
      <c r="D653" t="s">
        <v>42</v>
      </c>
      <c r="E653" s="1">
        <v>45577</v>
      </c>
      <c r="F653">
        <v>2</v>
      </c>
      <c r="G653" t="s">
        <v>32</v>
      </c>
      <c r="H653" t="s">
        <v>64</v>
      </c>
      <c r="I653" t="s">
        <v>1568</v>
      </c>
      <c r="J653" t="s">
        <v>1262</v>
      </c>
      <c r="K653">
        <v>7250</v>
      </c>
      <c r="L653">
        <v>300</v>
      </c>
      <c r="M653">
        <v>600</v>
      </c>
      <c r="N653" t="s">
        <v>1569</v>
      </c>
    </row>
    <row r="654" spans="1:14" x14ac:dyDescent="0.2">
      <c r="A654" t="s">
        <v>334</v>
      </c>
      <c r="B654" t="s">
        <v>335</v>
      </c>
      <c r="C654">
        <v>1391</v>
      </c>
      <c r="D654" t="s">
        <v>76</v>
      </c>
      <c r="E654" s="1">
        <v>45634</v>
      </c>
      <c r="F654">
        <v>2</v>
      </c>
      <c r="G654" t="s">
        <v>32</v>
      </c>
      <c r="H654" t="s">
        <v>64</v>
      </c>
      <c r="I654" t="s">
        <v>1570</v>
      </c>
      <c r="J654" t="s">
        <v>1262</v>
      </c>
      <c r="K654">
        <v>7250</v>
      </c>
      <c r="L654">
        <v>1200</v>
      </c>
      <c r="M654">
        <v>2400</v>
      </c>
      <c r="N654" t="s">
        <v>1571</v>
      </c>
    </row>
    <row r="655" spans="1:14" x14ac:dyDescent="0.2">
      <c r="A655" t="s">
        <v>379</v>
      </c>
      <c r="B655" t="s">
        <v>380</v>
      </c>
      <c r="C655">
        <v>1419</v>
      </c>
      <c r="D655" t="s">
        <v>76</v>
      </c>
      <c r="E655" s="1">
        <v>45500</v>
      </c>
      <c r="F655">
        <v>1</v>
      </c>
      <c r="G655" t="s">
        <v>52</v>
      </c>
      <c r="H655" t="s">
        <v>64</v>
      </c>
      <c r="I655" t="s">
        <v>1626</v>
      </c>
      <c r="J655" t="s">
        <v>1262</v>
      </c>
      <c r="K655">
        <v>7250</v>
      </c>
      <c r="L655">
        <v>1200</v>
      </c>
      <c r="M655">
        <v>1200</v>
      </c>
      <c r="N655" t="s">
        <v>1627</v>
      </c>
    </row>
    <row r="656" spans="1:14" x14ac:dyDescent="0.2">
      <c r="A656" t="s">
        <v>411</v>
      </c>
      <c r="B656" t="s">
        <v>348</v>
      </c>
      <c r="C656">
        <v>1439</v>
      </c>
      <c r="D656" t="s">
        <v>51</v>
      </c>
      <c r="E656" s="1">
        <v>45518</v>
      </c>
      <c r="F656">
        <v>2</v>
      </c>
      <c r="G656" t="s">
        <v>32</v>
      </c>
      <c r="H656" t="s">
        <v>64</v>
      </c>
      <c r="I656" t="s">
        <v>1666</v>
      </c>
      <c r="J656" t="s">
        <v>1265</v>
      </c>
      <c r="K656">
        <v>7000</v>
      </c>
      <c r="L656">
        <v>250</v>
      </c>
      <c r="M656">
        <v>500</v>
      </c>
      <c r="N656" t="s">
        <v>1667</v>
      </c>
    </row>
    <row r="657" spans="1:14" x14ac:dyDescent="0.2">
      <c r="A657" t="s">
        <v>434</v>
      </c>
      <c r="B657" t="s">
        <v>435</v>
      </c>
      <c r="C657">
        <v>1453</v>
      </c>
      <c r="D657" t="s">
        <v>76</v>
      </c>
      <c r="E657" s="1">
        <v>45410</v>
      </c>
      <c r="F657">
        <v>2</v>
      </c>
      <c r="G657" t="s">
        <v>52</v>
      </c>
      <c r="H657" t="s">
        <v>64</v>
      </c>
      <c r="I657" t="s">
        <v>1694</v>
      </c>
      <c r="J657" t="s">
        <v>1265</v>
      </c>
      <c r="K657">
        <v>7000</v>
      </c>
      <c r="L657">
        <v>1200</v>
      </c>
      <c r="M657">
        <v>2400</v>
      </c>
      <c r="N657" t="s">
        <v>1695</v>
      </c>
    </row>
    <row r="658" spans="1:14" x14ac:dyDescent="0.2">
      <c r="A658" t="s">
        <v>432</v>
      </c>
      <c r="B658" t="s">
        <v>443</v>
      </c>
      <c r="C658">
        <v>1459</v>
      </c>
      <c r="D658" t="s">
        <v>37</v>
      </c>
      <c r="E658" s="1">
        <v>45414</v>
      </c>
      <c r="F658">
        <v>2</v>
      </c>
      <c r="G658" t="s">
        <v>52</v>
      </c>
      <c r="H658" t="s">
        <v>64</v>
      </c>
      <c r="I658" t="s">
        <v>1706</v>
      </c>
      <c r="J658" t="s">
        <v>1400</v>
      </c>
      <c r="K658">
        <v>7310</v>
      </c>
      <c r="L658">
        <v>800</v>
      </c>
      <c r="M658">
        <v>1600</v>
      </c>
      <c r="N658" t="s">
        <v>1707</v>
      </c>
    </row>
    <row r="659" spans="1:14" x14ac:dyDescent="0.2">
      <c r="A659" t="s">
        <v>453</v>
      </c>
      <c r="B659" t="s">
        <v>378</v>
      </c>
      <c r="C659">
        <v>1465</v>
      </c>
      <c r="D659" t="s">
        <v>76</v>
      </c>
      <c r="E659" s="1">
        <v>45541</v>
      </c>
      <c r="F659">
        <v>2</v>
      </c>
      <c r="G659" t="s">
        <v>52</v>
      </c>
      <c r="H659" t="s">
        <v>64</v>
      </c>
      <c r="I659" t="s">
        <v>1718</v>
      </c>
      <c r="J659" t="s">
        <v>1400</v>
      </c>
      <c r="K659">
        <v>7310</v>
      </c>
      <c r="L659">
        <v>1200</v>
      </c>
      <c r="M659">
        <v>2400</v>
      </c>
      <c r="N659" t="s">
        <v>1719</v>
      </c>
    </row>
    <row r="660" spans="1:14" x14ac:dyDescent="0.2">
      <c r="A660" t="s">
        <v>144</v>
      </c>
      <c r="B660" t="s">
        <v>102</v>
      </c>
      <c r="C660">
        <v>1468</v>
      </c>
      <c r="D660" t="s">
        <v>31</v>
      </c>
      <c r="E660" s="1">
        <v>45468</v>
      </c>
      <c r="F660">
        <v>2</v>
      </c>
      <c r="G660" t="s">
        <v>32</v>
      </c>
      <c r="H660" t="s">
        <v>64</v>
      </c>
      <c r="I660" t="s">
        <v>1724</v>
      </c>
      <c r="J660" t="s">
        <v>1262</v>
      </c>
      <c r="K660">
        <v>7250</v>
      </c>
      <c r="L660">
        <v>250</v>
      </c>
      <c r="M660">
        <v>500</v>
      </c>
      <c r="N660" t="s">
        <v>1725</v>
      </c>
    </row>
    <row r="661" spans="1:14" x14ac:dyDescent="0.2">
      <c r="A661" t="s">
        <v>458</v>
      </c>
      <c r="B661" t="s">
        <v>459</v>
      </c>
      <c r="C661">
        <v>1470</v>
      </c>
      <c r="D661" t="s">
        <v>42</v>
      </c>
      <c r="E661" s="1">
        <v>45575</v>
      </c>
      <c r="F661">
        <v>1</v>
      </c>
      <c r="G661" t="s">
        <v>32</v>
      </c>
      <c r="H661" t="s">
        <v>64</v>
      </c>
      <c r="I661" t="s">
        <v>1728</v>
      </c>
      <c r="J661" t="s">
        <v>1400</v>
      </c>
      <c r="K661">
        <v>7310</v>
      </c>
      <c r="L661">
        <v>300</v>
      </c>
      <c r="M661">
        <v>300</v>
      </c>
      <c r="N661" t="s">
        <v>1729</v>
      </c>
    </row>
    <row r="662" spans="1:14" x14ac:dyDescent="0.2">
      <c r="A662" t="s">
        <v>510</v>
      </c>
      <c r="B662" t="s">
        <v>307</v>
      </c>
      <c r="C662">
        <v>1504</v>
      </c>
      <c r="D662" t="s">
        <v>76</v>
      </c>
      <c r="E662" s="1">
        <v>45464</v>
      </c>
      <c r="F662">
        <v>2</v>
      </c>
      <c r="G662" t="s">
        <v>32</v>
      </c>
      <c r="H662" t="s">
        <v>64</v>
      </c>
      <c r="I662" t="s">
        <v>1796</v>
      </c>
      <c r="J662" t="s">
        <v>1265</v>
      </c>
      <c r="K662">
        <v>7000</v>
      </c>
      <c r="L662">
        <v>1200</v>
      </c>
      <c r="M662">
        <v>2400</v>
      </c>
      <c r="N662" t="s">
        <v>1797</v>
      </c>
    </row>
    <row r="663" spans="1:14" x14ac:dyDescent="0.2">
      <c r="A663" t="s">
        <v>520</v>
      </c>
      <c r="B663" t="s">
        <v>250</v>
      </c>
      <c r="C663">
        <v>1513</v>
      </c>
      <c r="D663" t="s">
        <v>42</v>
      </c>
      <c r="E663" s="1">
        <v>45504</v>
      </c>
      <c r="F663">
        <v>1</v>
      </c>
      <c r="G663" t="s">
        <v>32</v>
      </c>
      <c r="H663" t="s">
        <v>64</v>
      </c>
      <c r="I663" t="s">
        <v>1814</v>
      </c>
      <c r="J663" t="s">
        <v>1400</v>
      </c>
      <c r="K663">
        <v>7310</v>
      </c>
      <c r="L663">
        <v>300</v>
      </c>
      <c r="M663">
        <v>300</v>
      </c>
      <c r="N663" t="s">
        <v>1815</v>
      </c>
    </row>
    <row r="664" spans="1:14" x14ac:dyDescent="0.2">
      <c r="A664" t="s">
        <v>104</v>
      </c>
      <c r="B664" t="s">
        <v>526</v>
      </c>
      <c r="C664">
        <v>1517</v>
      </c>
      <c r="D664" t="s">
        <v>92</v>
      </c>
      <c r="E664" s="1">
        <v>45498</v>
      </c>
      <c r="F664">
        <v>2</v>
      </c>
      <c r="G664" t="s">
        <v>52</v>
      </c>
      <c r="H664" t="s">
        <v>64</v>
      </c>
      <c r="I664" t="s">
        <v>1822</v>
      </c>
      <c r="J664" t="s">
        <v>1265</v>
      </c>
      <c r="K664">
        <v>7000</v>
      </c>
      <c r="L664">
        <v>600</v>
      </c>
      <c r="M664">
        <v>1200</v>
      </c>
      <c r="N664" t="s">
        <v>1823</v>
      </c>
    </row>
    <row r="665" spans="1:14" x14ac:dyDescent="0.2">
      <c r="A665" t="s">
        <v>558</v>
      </c>
      <c r="B665" t="s">
        <v>329</v>
      </c>
      <c r="C665">
        <v>1545</v>
      </c>
      <c r="D665" t="s">
        <v>31</v>
      </c>
      <c r="E665" s="1">
        <v>45401</v>
      </c>
      <c r="F665">
        <v>3</v>
      </c>
      <c r="G665" t="s">
        <v>52</v>
      </c>
      <c r="H665" t="s">
        <v>64</v>
      </c>
      <c r="I665" t="s">
        <v>1878</v>
      </c>
      <c r="J665" t="s">
        <v>1265</v>
      </c>
      <c r="K665">
        <v>7000</v>
      </c>
      <c r="L665">
        <v>250</v>
      </c>
      <c r="M665">
        <v>750</v>
      </c>
      <c r="N665" t="s">
        <v>1879</v>
      </c>
    </row>
    <row r="666" spans="1:14" x14ac:dyDescent="0.2">
      <c r="A666" t="s">
        <v>34</v>
      </c>
      <c r="B666" t="s">
        <v>559</v>
      </c>
      <c r="C666">
        <v>1546</v>
      </c>
      <c r="D666" t="s">
        <v>76</v>
      </c>
      <c r="E666" s="1">
        <v>45525</v>
      </c>
      <c r="F666">
        <v>1</v>
      </c>
      <c r="G666" t="s">
        <v>52</v>
      </c>
      <c r="H666" t="s">
        <v>64</v>
      </c>
      <c r="I666" t="s">
        <v>1880</v>
      </c>
      <c r="J666" t="s">
        <v>1400</v>
      </c>
      <c r="K666">
        <v>7310</v>
      </c>
      <c r="L666">
        <v>1200</v>
      </c>
      <c r="M666">
        <v>1200</v>
      </c>
      <c r="N666" t="s">
        <v>1881</v>
      </c>
    </row>
    <row r="667" spans="1:14" x14ac:dyDescent="0.2">
      <c r="A667" t="s">
        <v>577</v>
      </c>
      <c r="B667" t="s">
        <v>75</v>
      </c>
      <c r="C667">
        <v>1558</v>
      </c>
      <c r="D667" t="s">
        <v>76</v>
      </c>
      <c r="E667" s="1">
        <v>45386</v>
      </c>
      <c r="F667">
        <v>2</v>
      </c>
      <c r="G667" t="s">
        <v>52</v>
      </c>
      <c r="H667" t="s">
        <v>64</v>
      </c>
      <c r="I667" t="s">
        <v>1904</v>
      </c>
      <c r="J667" t="s">
        <v>1400</v>
      </c>
      <c r="K667">
        <v>7310</v>
      </c>
      <c r="L667">
        <v>1200</v>
      </c>
      <c r="M667">
        <v>2400</v>
      </c>
      <c r="N667" t="s">
        <v>1905</v>
      </c>
    </row>
    <row r="668" spans="1:14" x14ac:dyDescent="0.2">
      <c r="A668" t="s">
        <v>598</v>
      </c>
      <c r="B668" t="s">
        <v>185</v>
      </c>
      <c r="C668">
        <v>1572</v>
      </c>
      <c r="D668" t="s">
        <v>37</v>
      </c>
      <c r="E668" s="1">
        <v>45411</v>
      </c>
      <c r="F668">
        <v>3</v>
      </c>
      <c r="G668" t="s">
        <v>52</v>
      </c>
      <c r="H668" t="s">
        <v>64</v>
      </c>
      <c r="I668" t="s">
        <v>1932</v>
      </c>
      <c r="J668" t="s">
        <v>1262</v>
      </c>
      <c r="K668">
        <v>7250</v>
      </c>
      <c r="L668">
        <v>800</v>
      </c>
      <c r="M668">
        <v>2400</v>
      </c>
      <c r="N668" t="s">
        <v>1933</v>
      </c>
    </row>
    <row r="669" spans="1:14" x14ac:dyDescent="0.2">
      <c r="A669" t="s">
        <v>258</v>
      </c>
      <c r="B669" t="s">
        <v>599</v>
      </c>
      <c r="C669">
        <v>1574</v>
      </c>
      <c r="D669" t="s">
        <v>92</v>
      </c>
      <c r="E669" s="1">
        <v>45656</v>
      </c>
      <c r="F669">
        <v>3</v>
      </c>
      <c r="G669" t="s">
        <v>38</v>
      </c>
      <c r="H669" t="s">
        <v>64</v>
      </c>
      <c r="I669" t="s">
        <v>1936</v>
      </c>
      <c r="J669" t="s">
        <v>1262</v>
      </c>
      <c r="K669">
        <v>7250</v>
      </c>
      <c r="L669">
        <v>600</v>
      </c>
      <c r="M669">
        <v>1800</v>
      </c>
      <c r="N669" t="s">
        <v>1937</v>
      </c>
    </row>
    <row r="670" spans="1:14" x14ac:dyDescent="0.2">
      <c r="A670" t="s">
        <v>144</v>
      </c>
      <c r="B670" t="s">
        <v>609</v>
      </c>
      <c r="C670">
        <v>1582</v>
      </c>
      <c r="D670" t="s">
        <v>76</v>
      </c>
      <c r="E670" s="1">
        <v>45564</v>
      </c>
      <c r="F670">
        <v>1</v>
      </c>
      <c r="G670" t="s">
        <v>52</v>
      </c>
      <c r="H670" t="s">
        <v>64</v>
      </c>
      <c r="I670" t="s">
        <v>1952</v>
      </c>
      <c r="J670" t="s">
        <v>1265</v>
      </c>
      <c r="K670">
        <v>7000</v>
      </c>
      <c r="L670">
        <v>1200</v>
      </c>
      <c r="M670">
        <v>1200</v>
      </c>
      <c r="N670" t="s">
        <v>1953</v>
      </c>
    </row>
    <row r="671" spans="1:14" x14ac:dyDescent="0.2">
      <c r="A671" t="s">
        <v>631</v>
      </c>
      <c r="B671" t="s">
        <v>632</v>
      </c>
      <c r="C671">
        <v>1603</v>
      </c>
      <c r="D671" t="s">
        <v>92</v>
      </c>
      <c r="E671" s="1">
        <v>45576</v>
      </c>
      <c r="F671">
        <v>2</v>
      </c>
      <c r="G671" t="s">
        <v>32</v>
      </c>
      <c r="H671" t="s">
        <v>64</v>
      </c>
      <c r="I671" t="s">
        <v>1994</v>
      </c>
      <c r="J671" t="s">
        <v>1262</v>
      </c>
      <c r="K671">
        <v>7250</v>
      </c>
      <c r="L671">
        <v>600</v>
      </c>
      <c r="M671">
        <v>1200</v>
      </c>
      <c r="N671" t="s">
        <v>1995</v>
      </c>
    </row>
    <row r="672" spans="1:14" x14ac:dyDescent="0.2">
      <c r="A672" t="s">
        <v>636</v>
      </c>
      <c r="B672" t="s">
        <v>372</v>
      </c>
      <c r="C672">
        <v>1606</v>
      </c>
      <c r="D672" t="s">
        <v>92</v>
      </c>
      <c r="E672" s="1">
        <v>45370</v>
      </c>
      <c r="F672">
        <v>3</v>
      </c>
      <c r="G672" t="s">
        <v>52</v>
      </c>
      <c r="H672" t="s">
        <v>64</v>
      </c>
      <c r="I672" t="s">
        <v>2000</v>
      </c>
      <c r="J672" t="s">
        <v>1400</v>
      </c>
      <c r="K672">
        <v>7310</v>
      </c>
      <c r="L672">
        <v>600</v>
      </c>
      <c r="M672">
        <v>1800</v>
      </c>
      <c r="N672" t="s">
        <v>2001</v>
      </c>
    </row>
    <row r="673" spans="1:14" x14ac:dyDescent="0.2">
      <c r="A673" t="s">
        <v>638</v>
      </c>
      <c r="B673" t="s">
        <v>639</v>
      </c>
      <c r="C673">
        <v>1609</v>
      </c>
      <c r="D673" t="s">
        <v>92</v>
      </c>
      <c r="E673" s="1">
        <v>45526</v>
      </c>
      <c r="F673">
        <v>2</v>
      </c>
      <c r="G673" t="s">
        <v>38</v>
      </c>
      <c r="H673" t="s">
        <v>64</v>
      </c>
      <c r="I673" t="s">
        <v>2006</v>
      </c>
      <c r="J673" t="s">
        <v>1400</v>
      </c>
      <c r="K673">
        <v>7310</v>
      </c>
      <c r="L673">
        <v>600</v>
      </c>
      <c r="M673">
        <v>1200</v>
      </c>
      <c r="N673" t="s">
        <v>2007</v>
      </c>
    </row>
    <row r="674" spans="1:14" x14ac:dyDescent="0.2">
      <c r="A674" t="s">
        <v>603</v>
      </c>
      <c r="B674" t="s">
        <v>346</v>
      </c>
      <c r="C674">
        <v>1613</v>
      </c>
      <c r="D674" t="s">
        <v>31</v>
      </c>
      <c r="E674" s="1">
        <v>45471</v>
      </c>
      <c r="F674">
        <v>3</v>
      </c>
      <c r="G674" t="s">
        <v>52</v>
      </c>
      <c r="H674" t="s">
        <v>64</v>
      </c>
      <c r="I674" t="s">
        <v>2014</v>
      </c>
      <c r="J674" t="s">
        <v>1262</v>
      </c>
      <c r="K674">
        <v>7250</v>
      </c>
      <c r="L674">
        <v>250</v>
      </c>
      <c r="M674">
        <v>750</v>
      </c>
      <c r="N674" t="s">
        <v>2015</v>
      </c>
    </row>
    <row r="675" spans="1:14" x14ac:dyDescent="0.2">
      <c r="A675" t="s">
        <v>645</v>
      </c>
      <c r="B675" t="s">
        <v>646</v>
      </c>
      <c r="C675">
        <v>1615</v>
      </c>
      <c r="D675" t="s">
        <v>37</v>
      </c>
      <c r="E675" s="1">
        <v>45378</v>
      </c>
      <c r="F675">
        <v>1</v>
      </c>
      <c r="G675" t="s">
        <v>52</v>
      </c>
      <c r="H675" t="s">
        <v>64</v>
      </c>
      <c r="I675" t="s">
        <v>2020</v>
      </c>
      <c r="J675" t="s">
        <v>1400</v>
      </c>
      <c r="K675">
        <v>7310</v>
      </c>
      <c r="L675">
        <v>800</v>
      </c>
      <c r="M675">
        <v>800</v>
      </c>
      <c r="N675" t="s">
        <v>2021</v>
      </c>
    </row>
    <row r="676" spans="1:14" x14ac:dyDescent="0.2">
      <c r="A676" t="s">
        <v>648</v>
      </c>
      <c r="B676" t="s">
        <v>649</v>
      </c>
      <c r="C676">
        <v>1617</v>
      </c>
      <c r="D676" t="s">
        <v>76</v>
      </c>
      <c r="E676" s="1">
        <v>45605</v>
      </c>
      <c r="F676">
        <v>3</v>
      </c>
      <c r="G676" t="s">
        <v>52</v>
      </c>
      <c r="H676" t="s">
        <v>64</v>
      </c>
      <c r="I676" t="s">
        <v>2024</v>
      </c>
      <c r="J676" t="s">
        <v>1262</v>
      </c>
      <c r="K676">
        <v>7250</v>
      </c>
      <c r="L676">
        <v>1200</v>
      </c>
      <c r="M676">
        <v>3600</v>
      </c>
      <c r="N676" t="s">
        <v>2025</v>
      </c>
    </row>
    <row r="677" spans="1:14" x14ac:dyDescent="0.2">
      <c r="A677" t="s">
        <v>322</v>
      </c>
      <c r="B677" t="s">
        <v>167</v>
      </c>
      <c r="C677">
        <v>1623</v>
      </c>
      <c r="D677" t="s">
        <v>51</v>
      </c>
      <c r="E677" s="1">
        <v>45514</v>
      </c>
      <c r="F677">
        <v>3</v>
      </c>
      <c r="G677" t="s">
        <v>32</v>
      </c>
      <c r="H677" t="s">
        <v>64</v>
      </c>
      <c r="I677" t="s">
        <v>2036</v>
      </c>
      <c r="J677" t="s">
        <v>1265</v>
      </c>
      <c r="K677">
        <v>7000</v>
      </c>
      <c r="L677">
        <v>250</v>
      </c>
      <c r="M677">
        <v>750</v>
      </c>
      <c r="N677" t="s">
        <v>2037</v>
      </c>
    </row>
    <row r="678" spans="1:14" x14ac:dyDescent="0.2">
      <c r="A678" t="s">
        <v>611</v>
      </c>
      <c r="B678" t="s">
        <v>203</v>
      </c>
      <c r="C678">
        <v>1631</v>
      </c>
      <c r="D678" t="s">
        <v>42</v>
      </c>
      <c r="E678" s="1">
        <v>45375</v>
      </c>
      <c r="F678">
        <v>3</v>
      </c>
      <c r="G678" t="s">
        <v>32</v>
      </c>
      <c r="H678" t="s">
        <v>64</v>
      </c>
      <c r="I678" t="s">
        <v>2052</v>
      </c>
      <c r="J678" t="s">
        <v>1265</v>
      </c>
      <c r="K678">
        <v>7000</v>
      </c>
      <c r="L678">
        <v>300</v>
      </c>
      <c r="M678">
        <v>900</v>
      </c>
      <c r="N678" t="s">
        <v>2053</v>
      </c>
    </row>
    <row r="679" spans="1:14" x14ac:dyDescent="0.2">
      <c r="A679" t="s">
        <v>675</v>
      </c>
      <c r="B679" t="s">
        <v>676</v>
      </c>
      <c r="C679">
        <v>1640</v>
      </c>
      <c r="D679" t="s">
        <v>51</v>
      </c>
      <c r="E679" s="1">
        <v>45597</v>
      </c>
      <c r="F679">
        <v>3</v>
      </c>
      <c r="G679" t="s">
        <v>52</v>
      </c>
      <c r="H679" t="s">
        <v>64</v>
      </c>
      <c r="I679" t="s">
        <v>2070</v>
      </c>
      <c r="J679" t="s">
        <v>1262</v>
      </c>
      <c r="K679">
        <v>7250</v>
      </c>
      <c r="L679">
        <v>250</v>
      </c>
      <c r="M679">
        <v>750</v>
      </c>
      <c r="N679" t="s">
        <v>2071</v>
      </c>
    </row>
    <row r="680" spans="1:14" x14ac:dyDescent="0.2">
      <c r="A680" t="s">
        <v>682</v>
      </c>
      <c r="B680" t="s">
        <v>683</v>
      </c>
      <c r="C680">
        <v>1645</v>
      </c>
      <c r="D680" t="s">
        <v>76</v>
      </c>
      <c r="E680" s="1">
        <v>45339</v>
      </c>
      <c r="F680">
        <v>3</v>
      </c>
      <c r="G680" t="s">
        <v>32</v>
      </c>
      <c r="H680" t="s">
        <v>64</v>
      </c>
      <c r="I680" t="s">
        <v>2080</v>
      </c>
      <c r="J680" t="s">
        <v>1265</v>
      </c>
      <c r="K680">
        <v>7000</v>
      </c>
      <c r="L680">
        <v>1200</v>
      </c>
      <c r="M680">
        <v>3600</v>
      </c>
      <c r="N680" t="s">
        <v>2081</v>
      </c>
    </row>
    <row r="681" spans="1:14" x14ac:dyDescent="0.2">
      <c r="A681" t="s">
        <v>692</v>
      </c>
      <c r="B681" t="s">
        <v>693</v>
      </c>
      <c r="C681">
        <v>1651</v>
      </c>
      <c r="D681" t="s">
        <v>51</v>
      </c>
      <c r="E681" s="1">
        <v>45456</v>
      </c>
      <c r="F681">
        <v>2</v>
      </c>
      <c r="G681" t="s">
        <v>71</v>
      </c>
      <c r="H681" t="s">
        <v>64</v>
      </c>
      <c r="I681" t="s">
        <v>2092</v>
      </c>
      <c r="J681" t="s">
        <v>1400</v>
      </c>
      <c r="K681">
        <v>7310</v>
      </c>
      <c r="L681">
        <v>250</v>
      </c>
      <c r="M681">
        <v>500</v>
      </c>
      <c r="N681" t="s">
        <v>2093</v>
      </c>
    </row>
    <row r="682" spans="1:14" x14ac:dyDescent="0.2">
      <c r="A682" t="s">
        <v>125</v>
      </c>
      <c r="B682" t="s">
        <v>59</v>
      </c>
      <c r="C682">
        <v>1658</v>
      </c>
      <c r="D682" t="s">
        <v>37</v>
      </c>
      <c r="E682" s="1">
        <v>45550</v>
      </c>
      <c r="F682">
        <v>1</v>
      </c>
      <c r="G682" t="s">
        <v>71</v>
      </c>
      <c r="H682" t="s">
        <v>64</v>
      </c>
      <c r="I682" t="s">
        <v>2106</v>
      </c>
      <c r="J682" t="s">
        <v>1262</v>
      </c>
      <c r="K682">
        <v>7250</v>
      </c>
      <c r="L682">
        <v>800</v>
      </c>
      <c r="M682">
        <v>800</v>
      </c>
      <c r="N682" t="s">
        <v>2107</v>
      </c>
    </row>
    <row r="683" spans="1:14" x14ac:dyDescent="0.2">
      <c r="A683" t="s">
        <v>701</v>
      </c>
      <c r="B683" t="s">
        <v>702</v>
      </c>
      <c r="C683">
        <v>1660</v>
      </c>
      <c r="D683" t="s">
        <v>42</v>
      </c>
      <c r="E683" s="1">
        <v>45627</v>
      </c>
      <c r="F683">
        <v>2</v>
      </c>
      <c r="G683" t="s">
        <v>52</v>
      </c>
      <c r="H683" t="s">
        <v>64</v>
      </c>
      <c r="I683" t="s">
        <v>2110</v>
      </c>
      <c r="J683" t="s">
        <v>1265</v>
      </c>
      <c r="K683">
        <v>7000</v>
      </c>
      <c r="L683">
        <v>300</v>
      </c>
      <c r="M683">
        <v>600</v>
      </c>
      <c r="N683" t="s">
        <v>2111</v>
      </c>
    </row>
    <row r="684" spans="1:14" x14ac:dyDescent="0.2">
      <c r="A684" t="s">
        <v>128</v>
      </c>
      <c r="B684" t="s">
        <v>730</v>
      </c>
      <c r="C684">
        <v>1682</v>
      </c>
      <c r="D684" t="s">
        <v>37</v>
      </c>
      <c r="E684" s="1">
        <v>45458</v>
      </c>
      <c r="F684">
        <v>2</v>
      </c>
      <c r="G684" t="s">
        <v>71</v>
      </c>
      <c r="H684" t="s">
        <v>64</v>
      </c>
      <c r="I684" t="s">
        <v>2154</v>
      </c>
      <c r="J684" t="s">
        <v>1400</v>
      </c>
      <c r="K684">
        <v>7310</v>
      </c>
      <c r="L684">
        <v>800</v>
      </c>
      <c r="M684">
        <v>1600</v>
      </c>
      <c r="N684" t="s">
        <v>2155</v>
      </c>
    </row>
    <row r="685" spans="1:14" x14ac:dyDescent="0.2">
      <c r="A685" t="s">
        <v>738</v>
      </c>
      <c r="B685" t="s">
        <v>739</v>
      </c>
      <c r="C685">
        <v>1689</v>
      </c>
      <c r="D685" t="s">
        <v>37</v>
      </c>
      <c r="E685" s="1">
        <v>45571</v>
      </c>
      <c r="F685">
        <v>3</v>
      </c>
      <c r="G685" t="s">
        <v>32</v>
      </c>
      <c r="H685" t="s">
        <v>64</v>
      </c>
      <c r="I685" t="s">
        <v>2168</v>
      </c>
      <c r="J685" t="s">
        <v>1262</v>
      </c>
      <c r="K685">
        <v>7250</v>
      </c>
      <c r="L685">
        <v>800</v>
      </c>
      <c r="M685">
        <v>2400</v>
      </c>
      <c r="N685" t="s">
        <v>2169</v>
      </c>
    </row>
    <row r="686" spans="1:14" x14ac:dyDescent="0.2">
      <c r="A686" t="s">
        <v>708</v>
      </c>
      <c r="B686" t="s">
        <v>454</v>
      </c>
      <c r="C686">
        <v>1694</v>
      </c>
      <c r="D686" t="s">
        <v>76</v>
      </c>
      <c r="E686" s="1">
        <v>45370</v>
      </c>
      <c r="F686">
        <v>1</v>
      </c>
      <c r="G686" t="s">
        <v>38</v>
      </c>
      <c r="H686" t="s">
        <v>64</v>
      </c>
      <c r="I686" t="s">
        <v>2178</v>
      </c>
      <c r="J686" t="s">
        <v>1262</v>
      </c>
      <c r="K686">
        <v>7250</v>
      </c>
      <c r="L686">
        <v>1200</v>
      </c>
      <c r="M686">
        <v>1200</v>
      </c>
      <c r="N686" t="s">
        <v>2179</v>
      </c>
    </row>
    <row r="687" spans="1:14" x14ac:dyDescent="0.2">
      <c r="A687" t="s">
        <v>656</v>
      </c>
      <c r="B687" t="s">
        <v>787</v>
      </c>
      <c r="C687">
        <v>1731</v>
      </c>
      <c r="D687" t="s">
        <v>76</v>
      </c>
      <c r="E687" s="1">
        <v>45300</v>
      </c>
      <c r="F687">
        <v>1</v>
      </c>
      <c r="G687" t="s">
        <v>32</v>
      </c>
      <c r="H687" t="s">
        <v>64</v>
      </c>
      <c r="I687" t="s">
        <v>2252</v>
      </c>
      <c r="J687" t="s">
        <v>1262</v>
      </c>
      <c r="K687">
        <v>7250</v>
      </c>
      <c r="L687">
        <v>1200</v>
      </c>
      <c r="M687">
        <v>1200</v>
      </c>
      <c r="N687" t="s">
        <v>2253</v>
      </c>
    </row>
    <row r="688" spans="1:14" x14ac:dyDescent="0.2">
      <c r="A688" t="s">
        <v>559</v>
      </c>
      <c r="B688" t="s">
        <v>809</v>
      </c>
      <c r="C688">
        <v>1754</v>
      </c>
      <c r="D688" t="s">
        <v>37</v>
      </c>
      <c r="E688" s="1">
        <v>45564</v>
      </c>
      <c r="F688">
        <v>1</v>
      </c>
      <c r="G688" t="s">
        <v>38</v>
      </c>
      <c r="H688" t="s">
        <v>64</v>
      </c>
      <c r="I688" t="s">
        <v>2298</v>
      </c>
      <c r="J688" t="s">
        <v>1262</v>
      </c>
      <c r="K688">
        <v>7250</v>
      </c>
      <c r="L688">
        <v>800</v>
      </c>
      <c r="M688">
        <v>800</v>
      </c>
      <c r="N688" t="s">
        <v>2299</v>
      </c>
    </row>
    <row r="689" spans="1:14" x14ac:dyDescent="0.2">
      <c r="A689" t="s">
        <v>502</v>
      </c>
      <c r="B689" t="s">
        <v>811</v>
      </c>
      <c r="C689">
        <v>1756</v>
      </c>
      <c r="D689" t="s">
        <v>37</v>
      </c>
      <c r="E689" s="1">
        <v>45438</v>
      </c>
      <c r="F689">
        <v>2</v>
      </c>
      <c r="G689" t="s">
        <v>38</v>
      </c>
      <c r="H689" t="s">
        <v>64</v>
      </c>
      <c r="I689" t="s">
        <v>2302</v>
      </c>
      <c r="J689" t="s">
        <v>1265</v>
      </c>
      <c r="K689">
        <v>7000</v>
      </c>
      <c r="L689">
        <v>800</v>
      </c>
      <c r="M689">
        <v>1600</v>
      </c>
      <c r="N689" t="s">
        <v>2303</v>
      </c>
    </row>
    <row r="690" spans="1:14" x14ac:dyDescent="0.2">
      <c r="A690" t="s">
        <v>564</v>
      </c>
      <c r="B690" t="s">
        <v>729</v>
      </c>
      <c r="C690">
        <v>1763</v>
      </c>
      <c r="D690" t="s">
        <v>76</v>
      </c>
      <c r="E690" s="1">
        <v>45637</v>
      </c>
      <c r="F690">
        <v>3</v>
      </c>
      <c r="G690" t="s">
        <v>52</v>
      </c>
      <c r="H690" t="s">
        <v>64</v>
      </c>
      <c r="I690" t="s">
        <v>2316</v>
      </c>
      <c r="J690" t="s">
        <v>1400</v>
      </c>
      <c r="K690">
        <v>7310</v>
      </c>
      <c r="L690">
        <v>1200</v>
      </c>
      <c r="M690">
        <v>3600</v>
      </c>
      <c r="N690" t="s">
        <v>2317</v>
      </c>
    </row>
    <row r="691" spans="1:14" x14ac:dyDescent="0.2">
      <c r="A691" t="s">
        <v>674</v>
      </c>
      <c r="B691" t="s">
        <v>823</v>
      </c>
      <c r="C691">
        <v>1774</v>
      </c>
      <c r="D691" t="s">
        <v>51</v>
      </c>
      <c r="E691" s="1">
        <v>45358</v>
      </c>
      <c r="F691">
        <v>3</v>
      </c>
      <c r="G691" t="s">
        <v>52</v>
      </c>
      <c r="H691" t="s">
        <v>64</v>
      </c>
      <c r="I691" t="s">
        <v>2338</v>
      </c>
      <c r="J691" t="s">
        <v>1262</v>
      </c>
      <c r="K691">
        <v>7250</v>
      </c>
      <c r="L691">
        <v>250</v>
      </c>
      <c r="M691">
        <v>750</v>
      </c>
      <c r="N691" t="s">
        <v>2339</v>
      </c>
    </row>
    <row r="692" spans="1:14" x14ac:dyDescent="0.2">
      <c r="A692" t="s">
        <v>839</v>
      </c>
      <c r="B692" t="s">
        <v>840</v>
      </c>
      <c r="C692">
        <v>1786</v>
      </c>
      <c r="D692" t="s">
        <v>37</v>
      </c>
      <c r="E692" s="1">
        <v>45554</v>
      </c>
      <c r="F692">
        <v>3</v>
      </c>
      <c r="G692" t="s">
        <v>52</v>
      </c>
      <c r="H692" t="s">
        <v>64</v>
      </c>
      <c r="I692" t="s">
        <v>2362</v>
      </c>
      <c r="J692" t="s">
        <v>1265</v>
      </c>
      <c r="K692">
        <v>7000</v>
      </c>
      <c r="L692">
        <v>800</v>
      </c>
      <c r="M692">
        <v>2400</v>
      </c>
      <c r="N692" t="s">
        <v>2363</v>
      </c>
    </row>
    <row r="693" spans="1:14" x14ac:dyDescent="0.2">
      <c r="A693" t="s">
        <v>704</v>
      </c>
      <c r="B693" t="s">
        <v>116</v>
      </c>
      <c r="C693">
        <v>1805</v>
      </c>
      <c r="D693" t="s">
        <v>37</v>
      </c>
      <c r="E693" s="1">
        <v>45384</v>
      </c>
      <c r="F693">
        <v>3</v>
      </c>
      <c r="G693" t="s">
        <v>71</v>
      </c>
      <c r="H693" t="s">
        <v>64</v>
      </c>
      <c r="I693" t="s">
        <v>2400</v>
      </c>
      <c r="J693" t="s">
        <v>1400</v>
      </c>
      <c r="K693">
        <v>7310</v>
      </c>
      <c r="L693">
        <v>800</v>
      </c>
      <c r="M693">
        <v>2400</v>
      </c>
      <c r="N693" t="s">
        <v>2401</v>
      </c>
    </row>
    <row r="694" spans="1:14" x14ac:dyDescent="0.2">
      <c r="A694" t="s">
        <v>601</v>
      </c>
      <c r="B694" t="s">
        <v>867</v>
      </c>
      <c r="C694">
        <v>1812</v>
      </c>
      <c r="D694" t="s">
        <v>76</v>
      </c>
      <c r="E694" s="1">
        <v>45428</v>
      </c>
      <c r="F694">
        <v>1</v>
      </c>
      <c r="G694" t="s">
        <v>32</v>
      </c>
      <c r="H694" t="s">
        <v>64</v>
      </c>
      <c r="I694" t="s">
        <v>2414</v>
      </c>
      <c r="J694" t="s">
        <v>1265</v>
      </c>
      <c r="K694">
        <v>7000</v>
      </c>
      <c r="L694">
        <v>1200</v>
      </c>
      <c r="M694">
        <v>1200</v>
      </c>
      <c r="N694" t="s">
        <v>2415</v>
      </c>
    </row>
    <row r="695" spans="1:14" x14ac:dyDescent="0.2">
      <c r="A695" t="s">
        <v>872</v>
      </c>
      <c r="B695" t="s">
        <v>873</v>
      </c>
      <c r="C695">
        <v>1816</v>
      </c>
      <c r="D695" t="s">
        <v>31</v>
      </c>
      <c r="E695" s="1">
        <v>45401</v>
      </c>
      <c r="F695">
        <v>1</v>
      </c>
      <c r="G695" t="s">
        <v>52</v>
      </c>
      <c r="H695" t="s">
        <v>64</v>
      </c>
      <c r="I695" t="s">
        <v>2422</v>
      </c>
      <c r="J695" t="s">
        <v>1400</v>
      </c>
      <c r="K695">
        <v>7310</v>
      </c>
      <c r="L695">
        <v>250</v>
      </c>
      <c r="M695">
        <v>250</v>
      </c>
      <c r="N695" t="s">
        <v>2423</v>
      </c>
    </row>
    <row r="696" spans="1:14" x14ac:dyDescent="0.2">
      <c r="A696" t="s">
        <v>884</v>
      </c>
      <c r="B696" t="s">
        <v>885</v>
      </c>
      <c r="C696">
        <v>1827</v>
      </c>
      <c r="D696" t="s">
        <v>42</v>
      </c>
      <c r="E696" s="1">
        <v>45353</v>
      </c>
      <c r="F696">
        <v>2</v>
      </c>
      <c r="G696" t="s">
        <v>32</v>
      </c>
      <c r="H696" t="s">
        <v>64</v>
      </c>
      <c r="I696" t="s">
        <v>2444</v>
      </c>
      <c r="J696" t="s">
        <v>1400</v>
      </c>
      <c r="K696">
        <v>7310</v>
      </c>
      <c r="L696">
        <v>300</v>
      </c>
      <c r="M696">
        <v>600</v>
      </c>
      <c r="N696" t="s">
        <v>2445</v>
      </c>
    </row>
    <row r="697" spans="1:14" x14ac:dyDescent="0.2">
      <c r="A697" t="s">
        <v>892</v>
      </c>
      <c r="B697" t="s">
        <v>893</v>
      </c>
      <c r="C697">
        <v>1833</v>
      </c>
      <c r="D697" t="s">
        <v>92</v>
      </c>
      <c r="E697" s="1">
        <v>45440</v>
      </c>
      <c r="F697">
        <v>2</v>
      </c>
      <c r="G697" t="s">
        <v>32</v>
      </c>
      <c r="H697" t="s">
        <v>64</v>
      </c>
      <c r="I697" t="s">
        <v>2456</v>
      </c>
      <c r="J697" t="s">
        <v>1265</v>
      </c>
      <c r="K697">
        <v>7000</v>
      </c>
      <c r="L697">
        <v>600</v>
      </c>
      <c r="M697">
        <v>1200</v>
      </c>
      <c r="N697" t="s">
        <v>2457</v>
      </c>
    </row>
    <row r="698" spans="1:14" x14ac:dyDescent="0.2">
      <c r="A698" t="s">
        <v>760</v>
      </c>
      <c r="B698" t="s">
        <v>498</v>
      </c>
      <c r="C698">
        <v>1836</v>
      </c>
      <c r="D698" t="s">
        <v>76</v>
      </c>
      <c r="E698" s="1">
        <v>45358</v>
      </c>
      <c r="F698">
        <v>3</v>
      </c>
      <c r="G698" t="s">
        <v>52</v>
      </c>
      <c r="H698" t="s">
        <v>64</v>
      </c>
      <c r="I698" t="s">
        <v>2462</v>
      </c>
      <c r="J698" t="s">
        <v>1265</v>
      </c>
      <c r="K698">
        <v>7000</v>
      </c>
      <c r="L698">
        <v>1200</v>
      </c>
      <c r="M698">
        <v>3600</v>
      </c>
      <c r="N698" t="s">
        <v>2463</v>
      </c>
    </row>
    <row r="699" spans="1:14" x14ac:dyDescent="0.2">
      <c r="A699" t="s">
        <v>905</v>
      </c>
      <c r="B699" t="s">
        <v>78</v>
      </c>
      <c r="C699">
        <v>1847</v>
      </c>
      <c r="D699" t="s">
        <v>31</v>
      </c>
      <c r="E699" s="1">
        <v>45503</v>
      </c>
      <c r="F699">
        <v>1</v>
      </c>
      <c r="G699" t="s">
        <v>32</v>
      </c>
      <c r="H699" t="s">
        <v>64</v>
      </c>
      <c r="I699" t="s">
        <v>1710</v>
      </c>
      <c r="J699" t="s">
        <v>1265</v>
      </c>
      <c r="K699">
        <v>7000</v>
      </c>
      <c r="L699">
        <v>250</v>
      </c>
      <c r="M699">
        <v>250</v>
      </c>
      <c r="N699" t="s">
        <v>2484</v>
      </c>
    </row>
    <row r="700" spans="1:14" x14ac:dyDescent="0.2">
      <c r="A700" t="s">
        <v>935</v>
      </c>
      <c r="B700" t="s">
        <v>416</v>
      </c>
      <c r="C700">
        <v>1875</v>
      </c>
      <c r="D700" t="s">
        <v>76</v>
      </c>
      <c r="E700" s="1">
        <v>45528</v>
      </c>
      <c r="F700">
        <v>1</v>
      </c>
      <c r="G700" t="s">
        <v>32</v>
      </c>
      <c r="H700" t="s">
        <v>64</v>
      </c>
      <c r="I700" t="s">
        <v>2539</v>
      </c>
      <c r="J700" t="s">
        <v>1400</v>
      </c>
      <c r="K700">
        <v>7310</v>
      </c>
      <c r="L700">
        <v>1200</v>
      </c>
      <c r="M700">
        <v>1200</v>
      </c>
      <c r="N700" t="s">
        <v>2540</v>
      </c>
    </row>
    <row r="701" spans="1:14" x14ac:dyDescent="0.2">
      <c r="A701" t="s">
        <v>946</v>
      </c>
      <c r="B701" t="s">
        <v>947</v>
      </c>
      <c r="C701">
        <v>1887</v>
      </c>
      <c r="D701" t="s">
        <v>37</v>
      </c>
      <c r="E701" s="1">
        <v>45307</v>
      </c>
      <c r="F701">
        <v>3</v>
      </c>
      <c r="G701" t="s">
        <v>32</v>
      </c>
      <c r="H701" t="s">
        <v>64</v>
      </c>
      <c r="I701" t="s">
        <v>2563</v>
      </c>
      <c r="J701" t="s">
        <v>1262</v>
      </c>
      <c r="K701">
        <v>7250</v>
      </c>
      <c r="L701">
        <v>800</v>
      </c>
      <c r="M701">
        <v>2400</v>
      </c>
      <c r="N701" t="s">
        <v>2564</v>
      </c>
    </row>
    <row r="702" spans="1:14" x14ac:dyDescent="0.2">
      <c r="A702" t="s">
        <v>952</v>
      </c>
      <c r="B702" t="s">
        <v>727</v>
      </c>
      <c r="C702">
        <v>1891</v>
      </c>
      <c r="D702" t="s">
        <v>92</v>
      </c>
      <c r="E702" s="1">
        <v>45502</v>
      </c>
      <c r="F702">
        <v>2</v>
      </c>
      <c r="G702" t="s">
        <v>52</v>
      </c>
      <c r="H702" t="s">
        <v>64</v>
      </c>
      <c r="I702" t="s">
        <v>2571</v>
      </c>
      <c r="J702" t="s">
        <v>1400</v>
      </c>
      <c r="K702">
        <v>7310</v>
      </c>
      <c r="L702">
        <v>600</v>
      </c>
      <c r="M702">
        <v>1200</v>
      </c>
      <c r="N702" t="s">
        <v>2572</v>
      </c>
    </row>
    <row r="703" spans="1:14" x14ac:dyDescent="0.2">
      <c r="A703" t="s">
        <v>955</v>
      </c>
      <c r="B703" t="s">
        <v>151</v>
      </c>
      <c r="C703">
        <v>1894</v>
      </c>
      <c r="D703" t="s">
        <v>76</v>
      </c>
      <c r="E703" s="1">
        <v>45328</v>
      </c>
      <c r="F703">
        <v>1</v>
      </c>
      <c r="G703" t="s">
        <v>38</v>
      </c>
      <c r="H703" t="s">
        <v>64</v>
      </c>
      <c r="I703" t="s">
        <v>2577</v>
      </c>
      <c r="J703" t="s">
        <v>1400</v>
      </c>
      <c r="K703">
        <v>7310</v>
      </c>
      <c r="L703">
        <v>1200</v>
      </c>
      <c r="M703">
        <v>1200</v>
      </c>
      <c r="N703" t="s">
        <v>2578</v>
      </c>
    </row>
    <row r="704" spans="1:14" x14ac:dyDescent="0.2">
      <c r="A704" t="s">
        <v>956</v>
      </c>
      <c r="B704" t="s">
        <v>957</v>
      </c>
      <c r="C704">
        <v>1895</v>
      </c>
      <c r="D704" t="s">
        <v>31</v>
      </c>
      <c r="E704" s="1">
        <v>45398</v>
      </c>
      <c r="F704">
        <v>2</v>
      </c>
      <c r="G704" t="s">
        <v>52</v>
      </c>
      <c r="H704" t="s">
        <v>64</v>
      </c>
      <c r="I704" t="s">
        <v>2579</v>
      </c>
      <c r="J704" t="s">
        <v>1400</v>
      </c>
      <c r="K704">
        <v>7310</v>
      </c>
      <c r="L704">
        <v>250</v>
      </c>
      <c r="M704">
        <v>500</v>
      </c>
      <c r="N704" t="s">
        <v>2580</v>
      </c>
    </row>
    <row r="705" spans="1:14" x14ac:dyDescent="0.2">
      <c r="A705" t="s">
        <v>302</v>
      </c>
      <c r="B705" t="s">
        <v>962</v>
      </c>
      <c r="C705">
        <v>1900</v>
      </c>
      <c r="D705" t="s">
        <v>37</v>
      </c>
      <c r="E705" s="1">
        <v>45611</v>
      </c>
      <c r="F705">
        <v>1</v>
      </c>
      <c r="G705" t="s">
        <v>32</v>
      </c>
      <c r="H705" t="s">
        <v>64</v>
      </c>
      <c r="I705" t="s">
        <v>2589</v>
      </c>
      <c r="J705" t="s">
        <v>1262</v>
      </c>
      <c r="K705">
        <v>7250</v>
      </c>
      <c r="L705">
        <v>800</v>
      </c>
      <c r="M705">
        <v>800</v>
      </c>
      <c r="N705" t="s">
        <v>2590</v>
      </c>
    </row>
    <row r="706" spans="1:14" x14ac:dyDescent="0.2">
      <c r="A706" t="s">
        <v>325</v>
      </c>
      <c r="B706" t="s">
        <v>529</v>
      </c>
      <c r="C706">
        <v>1908</v>
      </c>
      <c r="D706" t="s">
        <v>31</v>
      </c>
      <c r="E706" s="1">
        <v>45524</v>
      </c>
      <c r="F706">
        <v>2</v>
      </c>
      <c r="G706" t="s">
        <v>32</v>
      </c>
      <c r="H706" t="s">
        <v>64</v>
      </c>
      <c r="I706" t="s">
        <v>2605</v>
      </c>
      <c r="J706" t="s">
        <v>1400</v>
      </c>
      <c r="K706">
        <v>7310</v>
      </c>
      <c r="L706">
        <v>250</v>
      </c>
      <c r="M706">
        <v>500</v>
      </c>
      <c r="N706" t="s">
        <v>2606</v>
      </c>
    </row>
    <row r="707" spans="1:14" x14ac:dyDescent="0.2">
      <c r="A707" t="s">
        <v>106</v>
      </c>
      <c r="B707" t="s">
        <v>943</v>
      </c>
      <c r="C707">
        <v>1911</v>
      </c>
      <c r="D707" t="s">
        <v>51</v>
      </c>
      <c r="E707" s="1">
        <v>45364</v>
      </c>
      <c r="F707">
        <v>2</v>
      </c>
      <c r="G707" t="s">
        <v>71</v>
      </c>
      <c r="H707" t="s">
        <v>64</v>
      </c>
      <c r="I707" t="s">
        <v>2611</v>
      </c>
      <c r="J707" t="s">
        <v>1400</v>
      </c>
      <c r="K707">
        <v>7310</v>
      </c>
      <c r="L707">
        <v>250</v>
      </c>
      <c r="M707">
        <v>500</v>
      </c>
      <c r="N707" t="s">
        <v>2612</v>
      </c>
    </row>
    <row r="708" spans="1:14" x14ac:dyDescent="0.2">
      <c r="A708" t="s">
        <v>203</v>
      </c>
      <c r="B708" t="s">
        <v>973</v>
      </c>
      <c r="C708">
        <v>1916</v>
      </c>
      <c r="D708" t="s">
        <v>31</v>
      </c>
      <c r="E708" s="1">
        <v>45480</v>
      </c>
      <c r="F708">
        <v>3</v>
      </c>
      <c r="G708" t="s">
        <v>32</v>
      </c>
      <c r="H708" t="s">
        <v>64</v>
      </c>
      <c r="I708" t="s">
        <v>2621</v>
      </c>
      <c r="J708" t="s">
        <v>1265</v>
      </c>
      <c r="K708">
        <v>7000</v>
      </c>
      <c r="L708">
        <v>250</v>
      </c>
      <c r="M708">
        <v>750</v>
      </c>
      <c r="N708" t="s">
        <v>2622</v>
      </c>
    </row>
    <row r="709" spans="1:14" x14ac:dyDescent="0.2">
      <c r="A709" t="s">
        <v>982</v>
      </c>
      <c r="B709" t="s">
        <v>983</v>
      </c>
      <c r="C709">
        <v>1923</v>
      </c>
      <c r="D709" t="s">
        <v>92</v>
      </c>
      <c r="E709" s="1">
        <v>45338</v>
      </c>
      <c r="F709">
        <v>3</v>
      </c>
      <c r="G709" t="s">
        <v>38</v>
      </c>
      <c r="H709" t="s">
        <v>64</v>
      </c>
      <c r="I709" t="s">
        <v>2635</v>
      </c>
      <c r="J709" t="s">
        <v>1400</v>
      </c>
      <c r="K709">
        <v>7310</v>
      </c>
      <c r="L709">
        <v>600</v>
      </c>
      <c r="M709">
        <v>1800</v>
      </c>
      <c r="N709" t="s">
        <v>2636</v>
      </c>
    </row>
    <row r="710" spans="1:14" x14ac:dyDescent="0.2">
      <c r="A710" t="s">
        <v>984</v>
      </c>
      <c r="B710" t="s">
        <v>985</v>
      </c>
      <c r="C710">
        <v>1925</v>
      </c>
      <c r="D710" t="s">
        <v>51</v>
      </c>
      <c r="E710" s="1">
        <v>45622</v>
      </c>
      <c r="F710">
        <v>2</v>
      </c>
      <c r="G710" t="s">
        <v>52</v>
      </c>
      <c r="H710" t="s">
        <v>64</v>
      </c>
      <c r="I710" t="s">
        <v>2639</v>
      </c>
      <c r="J710" t="s">
        <v>1262</v>
      </c>
      <c r="K710">
        <v>7250</v>
      </c>
      <c r="L710">
        <v>250</v>
      </c>
      <c r="M710">
        <v>500</v>
      </c>
      <c r="N710" t="s">
        <v>2640</v>
      </c>
    </row>
    <row r="711" spans="1:14" x14ac:dyDescent="0.2">
      <c r="A711" t="s">
        <v>999</v>
      </c>
      <c r="B711" t="s">
        <v>1000</v>
      </c>
      <c r="C711">
        <v>1938</v>
      </c>
      <c r="D711" t="s">
        <v>76</v>
      </c>
      <c r="E711" s="1">
        <v>45373</v>
      </c>
      <c r="F711">
        <v>3</v>
      </c>
      <c r="G711" t="s">
        <v>32</v>
      </c>
      <c r="H711" t="s">
        <v>64</v>
      </c>
      <c r="I711" t="s">
        <v>2665</v>
      </c>
      <c r="J711" t="s">
        <v>1265</v>
      </c>
      <c r="K711">
        <v>7000</v>
      </c>
      <c r="L711">
        <v>1200</v>
      </c>
      <c r="M711">
        <v>3600</v>
      </c>
      <c r="N711" t="s">
        <v>2666</v>
      </c>
    </row>
    <row r="712" spans="1:14" x14ac:dyDescent="0.2">
      <c r="A712" t="s">
        <v>1002</v>
      </c>
      <c r="B712" t="s">
        <v>259</v>
      </c>
      <c r="C712">
        <v>1941</v>
      </c>
      <c r="D712" t="s">
        <v>42</v>
      </c>
      <c r="E712" s="1">
        <v>45477</v>
      </c>
      <c r="F712">
        <v>1</v>
      </c>
      <c r="G712" t="s">
        <v>38</v>
      </c>
      <c r="H712" t="s">
        <v>64</v>
      </c>
      <c r="I712" t="s">
        <v>2671</v>
      </c>
      <c r="J712" t="s">
        <v>1400</v>
      </c>
      <c r="K712">
        <v>7310</v>
      </c>
      <c r="L712">
        <v>300</v>
      </c>
      <c r="M712">
        <v>300</v>
      </c>
      <c r="N712" t="s">
        <v>2672</v>
      </c>
    </row>
    <row r="713" spans="1:14" x14ac:dyDescent="0.2">
      <c r="A713" t="s">
        <v>521</v>
      </c>
      <c r="B713" t="s">
        <v>800</v>
      </c>
      <c r="C713">
        <v>1944</v>
      </c>
      <c r="D713" t="s">
        <v>31</v>
      </c>
      <c r="E713" s="1">
        <v>45571</v>
      </c>
      <c r="F713">
        <v>3</v>
      </c>
      <c r="G713" t="s">
        <v>32</v>
      </c>
      <c r="H713" t="s">
        <v>64</v>
      </c>
      <c r="I713" t="s">
        <v>2677</v>
      </c>
      <c r="J713" t="s">
        <v>1262</v>
      </c>
      <c r="K713">
        <v>7250</v>
      </c>
      <c r="L713">
        <v>250</v>
      </c>
      <c r="M713">
        <v>750</v>
      </c>
      <c r="N713" t="s">
        <v>2678</v>
      </c>
    </row>
    <row r="714" spans="1:14" x14ac:dyDescent="0.2">
      <c r="A714" t="s">
        <v>985</v>
      </c>
      <c r="B714" t="s">
        <v>326</v>
      </c>
      <c r="C714">
        <v>1950</v>
      </c>
      <c r="D714" t="s">
        <v>42</v>
      </c>
      <c r="E714" s="1">
        <v>45363</v>
      </c>
      <c r="F714">
        <v>3</v>
      </c>
      <c r="G714" t="s">
        <v>32</v>
      </c>
      <c r="H714" t="s">
        <v>64</v>
      </c>
      <c r="I714" t="s">
        <v>2689</v>
      </c>
      <c r="J714" t="s">
        <v>1262</v>
      </c>
      <c r="K714">
        <v>7250</v>
      </c>
      <c r="L714">
        <v>300</v>
      </c>
      <c r="M714">
        <v>900</v>
      </c>
      <c r="N714" t="s">
        <v>2690</v>
      </c>
    </row>
    <row r="715" spans="1:14" x14ac:dyDescent="0.2">
      <c r="A715" t="s">
        <v>302</v>
      </c>
      <c r="B715" t="s">
        <v>853</v>
      </c>
      <c r="C715">
        <v>1953</v>
      </c>
      <c r="D715" t="s">
        <v>51</v>
      </c>
      <c r="E715" s="1">
        <v>45414</v>
      </c>
      <c r="F715">
        <v>1</v>
      </c>
      <c r="G715" t="s">
        <v>32</v>
      </c>
      <c r="H715" t="s">
        <v>64</v>
      </c>
      <c r="I715" t="s">
        <v>2695</v>
      </c>
      <c r="J715" t="s">
        <v>1265</v>
      </c>
      <c r="K715">
        <v>7000</v>
      </c>
      <c r="L715">
        <v>250</v>
      </c>
      <c r="M715">
        <v>250</v>
      </c>
      <c r="N715" t="s">
        <v>2696</v>
      </c>
    </row>
    <row r="716" spans="1:14" x14ac:dyDescent="0.2">
      <c r="A716" t="s">
        <v>268</v>
      </c>
      <c r="B716" t="s">
        <v>486</v>
      </c>
      <c r="C716">
        <v>1956</v>
      </c>
      <c r="D716" t="s">
        <v>42</v>
      </c>
      <c r="E716" s="1">
        <v>45615</v>
      </c>
      <c r="F716">
        <v>2</v>
      </c>
      <c r="G716" t="s">
        <v>52</v>
      </c>
      <c r="H716" t="s">
        <v>64</v>
      </c>
      <c r="I716" t="s">
        <v>2701</v>
      </c>
      <c r="J716" t="s">
        <v>1400</v>
      </c>
      <c r="K716">
        <v>7310</v>
      </c>
      <c r="L716">
        <v>300</v>
      </c>
      <c r="M716">
        <v>600</v>
      </c>
      <c r="N716" t="s">
        <v>2702</v>
      </c>
    </row>
    <row r="717" spans="1:14" x14ac:dyDescent="0.2">
      <c r="A717" t="s">
        <v>224</v>
      </c>
      <c r="B717" t="s">
        <v>293</v>
      </c>
      <c r="C717">
        <v>1958</v>
      </c>
      <c r="D717" t="s">
        <v>31</v>
      </c>
      <c r="E717" s="1">
        <v>45600</v>
      </c>
      <c r="F717">
        <v>1</v>
      </c>
      <c r="G717" t="s">
        <v>52</v>
      </c>
      <c r="H717" t="s">
        <v>64</v>
      </c>
      <c r="I717" t="s">
        <v>2705</v>
      </c>
      <c r="J717" t="s">
        <v>1400</v>
      </c>
      <c r="K717">
        <v>7310</v>
      </c>
      <c r="L717">
        <v>250</v>
      </c>
      <c r="M717">
        <v>250</v>
      </c>
      <c r="N717" t="s">
        <v>2706</v>
      </c>
    </row>
    <row r="718" spans="1:14" x14ac:dyDescent="0.2">
      <c r="A718" t="s">
        <v>811</v>
      </c>
      <c r="B718" t="s">
        <v>617</v>
      </c>
      <c r="C718">
        <v>1972</v>
      </c>
      <c r="D718" t="s">
        <v>42</v>
      </c>
      <c r="E718" s="1">
        <v>45303</v>
      </c>
      <c r="F718">
        <v>2</v>
      </c>
      <c r="G718" t="s">
        <v>32</v>
      </c>
      <c r="H718" t="s">
        <v>64</v>
      </c>
      <c r="I718" t="s">
        <v>2733</v>
      </c>
      <c r="J718" t="s">
        <v>1265</v>
      </c>
      <c r="K718">
        <v>7000</v>
      </c>
      <c r="L718">
        <v>300</v>
      </c>
      <c r="M718">
        <v>600</v>
      </c>
      <c r="N718" t="s">
        <v>2734</v>
      </c>
    </row>
    <row r="719" spans="1:14" x14ac:dyDescent="0.2">
      <c r="A719" t="s">
        <v>812</v>
      </c>
      <c r="B719" t="s">
        <v>492</v>
      </c>
      <c r="C719">
        <v>1994</v>
      </c>
      <c r="D719" t="s">
        <v>76</v>
      </c>
      <c r="E719" s="1">
        <v>45641</v>
      </c>
      <c r="F719">
        <v>2</v>
      </c>
      <c r="G719" t="s">
        <v>32</v>
      </c>
      <c r="H719" t="s">
        <v>64</v>
      </c>
      <c r="I719" t="s">
        <v>2777</v>
      </c>
      <c r="J719" t="s">
        <v>1265</v>
      </c>
      <c r="K719">
        <v>7000</v>
      </c>
      <c r="L719">
        <v>1200</v>
      </c>
      <c r="M719">
        <v>2400</v>
      </c>
      <c r="N719" t="s">
        <v>2778</v>
      </c>
    </row>
    <row r="720" spans="1:14" x14ac:dyDescent="0.2">
      <c r="A720" t="s">
        <v>813</v>
      </c>
      <c r="B720" t="s">
        <v>1044</v>
      </c>
      <c r="C720">
        <v>1997</v>
      </c>
      <c r="D720" t="s">
        <v>31</v>
      </c>
      <c r="E720" s="1">
        <v>45364</v>
      </c>
      <c r="F720">
        <v>1</v>
      </c>
      <c r="G720" t="s">
        <v>52</v>
      </c>
      <c r="H720" t="s">
        <v>64</v>
      </c>
      <c r="I720" t="s">
        <v>2783</v>
      </c>
      <c r="J720" t="s">
        <v>1262</v>
      </c>
      <c r="K720">
        <v>7250</v>
      </c>
      <c r="L720">
        <v>250</v>
      </c>
      <c r="M720">
        <v>250</v>
      </c>
      <c r="N720" t="s">
        <v>2784</v>
      </c>
    </row>
    <row r="721" spans="1:14" x14ac:dyDescent="0.2">
      <c r="A721" t="s">
        <v>1049</v>
      </c>
      <c r="B721" t="s">
        <v>1050</v>
      </c>
      <c r="C721">
        <v>2010</v>
      </c>
      <c r="D721" t="s">
        <v>31</v>
      </c>
      <c r="E721" s="1">
        <v>45323</v>
      </c>
      <c r="F721">
        <v>2</v>
      </c>
      <c r="G721" t="s">
        <v>52</v>
      </c>
      <c r="H721" t="s">
        <v>64</v>
      </c>
      <c r="I721" t="s">
        <v>2809</v>
      </c>
      <c r="J721" t="s">
        <v>1265</v>
      </c>
      <c r="K721">
        <v>7000</v>
      </c>
      <c r="L721">
        <v>250</v>
      </c>
      <c r="M721">
        <v>500</v>
      </c>
      <c r="N721" t="s">
        <v>2810</v>
      </c>
    </row>
    <row r="722" spans="1:14" x14ac:dyDescent="0.2">
      <c r="A722" t="s">
        <v>1061</v>
      </c>
      <c r="B722" t="s">
        <v>1062</v>
      </c>
      <c r="C722">
        <v>2023</v>
      </c>
      <c r="D722" t="s">
        <v>92</v>
      </c>
      <c r="E722" s="1">
        <v>45528</v>
      </c>
      <c r="F722">
        <v>3</v>
      </c>
      <c r="G722" t="s">
        <v>52</v>
      </c>
      <c r="H722" t="s">
        <v>64</v>
      </c>
      <c r="I722" t="s">
        <v>2835</v>
      </c>
      <c r="J722" t="s">
        <v>1262</v>
      </c>
      <c r="K722">
        <v>7250</v>
      </c>
      <c r="L722">
        <v>600</v>
      </c>
      <c r="M722">
        <v>1800</v>
      </c>
      <c r="N722" t="s">
        <v>2836</v>
      </c>
    </row>
    <row r="723" spans="1:14" x14ac:dyDescent="0.2">
      <c r="A723" t="s">
        <v>905</v>
      </c>
      <c r="B723" t="s">
        <v>835</v>
      </c>
      <c r="C723">
        <v>2024</v>
      </c>
      <c r="D723" t="s">
        <v>76</v>
      </c>
      <c r="E723" s="1">
        <v>45475</v>
      </c>
      <c r="F723">
        <v>1</v>
      </c>
      <c r="G723" t="s">
        <v>71</v>
      </c>
      <c r="H723" t="s">
        <v>64</v>
      </c>
      <c r="I723" t="s">
        <v>2837</v>
      </c>
      <c r="J723" t="s">
        <v>1262</v>
      </c>
      <c r="K723">
        <v>7250</v>
      </c>
      <c r="L723">
        <v>1200</v>
      </c>
      <c r="M723">
        <v>1200</v>
      </c>
      <c r="N723" t="s">
        <v>2838</v>
      </c>
    </row>
    <row r="724" spans="1:14" x14ac:dyDescent="0.2">
      <c r="A724" t="s">
        <v>1072</v>
      </c>
      <c r="B724" t="s">
        <v>1073</v>
      </c>
      <c r="C724">
        <v>2037</v>
      </c>
      <c r="D724" t="s">
        <v>42</v>
      </c>
      <c r="E724" s="1">
        <v>45404</v>
      </c>
      <c r="F724">
        <v>3</v>
      </c>
      <c r="G724" t="s">
        <v>52</v>
      </c>
      <c r="H724" t="s">
        <v>64</v>
      </c>
      <c r="I724" t="s">
        <v>2863</v>
      </c>
      <c r="J724" t="s">
        <v>1265</v>
      </c>
      <c r="K724">
        <v>7000</v>
      </c>
      <c r="L724">
        <v>300</v>
      </c>
      <c r="M724">
        <v>900</v>
      </c>
      <c r="N724" t="s">
        <v>2864</v>
      </c>
    </row>
    <row r="725" spans="1:14" x14ac:dyDescent="0.2">
      <c r="A725" t="s">
        <v>704</v>
      </c>
      <c r="B725" t="s">
        <v>196</v>
      </c>
      <c r="C725">
        <v>2042</v>
      </c>
      <c r="D725" t="s">
        <v>42</v>
      </c>
      <c r="E725" s="1">
        <v>45393</v>
      </c>
      <c r="F725">
        <v>1</v>
      </c>
      <c r="G725" t="s">
        <v>32</v>
      </c>
      <c r="H725" t="s">
        <v>64</v>
      </c>
      <c r="I725" t="s">
        <v>2873</v>
      </c>
      <c r="J725" t="s">
        <v>1400</v>
      </c>
      <c r="K725">
        <v>7310</v>
      </c>
      <c r="L725">
        <v>300</v>
      </c>
      <c r="M725">
        <v>300</v>
      </c>
      <c r="N725" t="s">
        <v>2874</v>
      </c>
    </row>
    <row r="726" spans="1:14" x14ac:dyDescent="0.2">
      <c r="A726" t="s">
        <v>1091</v>
      </c>
      <c r="B726" t="s">
        <v>807</v>
      </c>
      <c r="C726">
        <v>2054</v>
      </c>
      <c r="D726" t="s">
        <v>51</v>
      </c>
      <c r="E726" s="1">
        <v>45500</v>
      </c>
      <c r="F726">
        <v>1</v>
      </c>
      <c r="G726" t="s">
        <v>52</v>
      </c>
      <c r="H726" t="s">
        <v>64</v>
      </c>
      <c r="I726" t="s">
        <v>2897</v>
      </c>
      <c r="J726" t="s">
        <v>1400</v>
      </c>
      <c r="K726">
        <v>7310</v>
      </c>
      <c r="L726">
        <v>250</v>
      </c>
      <c r="M726">
        <v>250</v>
      </c>
      <c r="N726" t="s">
        <v>2898</v>
      </c>
    </row>
    <row r="727" spans="1:14" x14ac:dyDescent="0.2">
      <c r="A727" t="s">
        <v>658</v>
      </c>
      <c r="B727" t="s">
        <v>624</v>
      </c>
      <c r="C727">
        <v>2056</v>
      </c>
      <c r="D727" t="s">
        <v>51</v>
      </c>
      <c r="E727" s="1">
        <v>45411</v>
      </c>
      <c r="F727">
        <v>2</v>
      </c>
      <c r="G727" t="s">
        <v>32</v>
      </c>
      <c r="H727" t="s">
        <v>64</v>
      </c>
      <c r="I727" t="s">
        <v>2901</v>
      </c>
      <c r="J727" t="s">
        <v>1400</v>
      </c>
      <c r="K727">
        <v>7310</v>
      </c>
      <c r="L727">
        <v>250</v>
      </c>
      <c r="M727">
        <v>500</v>
      </c>
      <c r="N727" t="s">
        <v>2902</v>
      </c>
    </row>
    <row r="728" spans="1:14" x14ac:dyDescent="0.2">
      <c r="A728" t="s">
        <v>417</v>
      </c>
      <c r="B728" t="s">
        <v>659</v>
      </c>
      <c r="C728">
        <v>2078</v>
      </c>
      <c r="D728" t="s">
        <v>76</v>
      </c>
      <c r="E728" s="1">
        <v>45431</v>
      </c>
      <c r="F728">
        <v>1</v>
      </c>
      <c r="G728" t="s">
        <v>71</v>
      </c>
      <c r="H728" t="s">
        <v>64</v>
      </c>
      <c r="I728" t="s">
        <v>2945</v>
      </c>
      <c r="J728" t="s">
        <v>1262</v>
      </c>
      <c r="K728">
        <v>7250</v>
      </c>
      <c r="L728">
        <v>1200</v>
      </c>
      <c r="M728">
        <v>1200</v>
      </c>
      <c r="N728" t="s">
        <v>2946</v>
      </c>
    </row>
    <row r="729" spans="1:14" x14ac:dyDescent="0.2">
      <c r="A729" t="s">
        <v>1117</v>
      </c>
      <c r="B729" t="s">
        <v>315</v>
      </c>
      <c r="C729">
        <v>2083</v>
      </c>
      <c r="D729" t="s">
        <v>76</v>
      </c>
      <c r="E729" s="1">
        <v>45567</v>
      </c>
      <c r="F729">
        <v>2</v>
      </c>
      <c r="G729" t="s">
        <v>71</v>
      </c>
      <c r="H729" t="s">
        <v>64</v>
      </c>
      <c r="I729" t="s">
        <v>2955</v>
      </c>
      <c r="J729" t="s">
        <v>1400</v>
      </c>
      <c r="K729">
        <v>7310</v>
      </c>
      <c r="L729">
        <v>1200</v>
      </c>
      <c r="M729">
        <v>2400</v>
      </c>
      <c r="N729" t="s">
        <v>2956</v>
      </c>
    </row>
    <row r="730" spans="1:14" x14ac:dyDescent="0.2">
      <c r="A730" t="s">
        <v>634</v>
      </c>
      <c r="B730" t="s">
        <v>323</v>
      </c>
      <c r="C730">
        <v>2096</v>
      </c>
      <c r="D730" t="s">
        <v>31</v>
      </c>
      <c r="E730" s="1">
        <v>45620</v>
      </c>
      <c r="F730">
        <v>1</v>
      </c>
      <c r="G730" t="s">
        <v>32</v>
      </c>
      <c r="H730" t="s">
        <v>64</v>
      </c>
      <c r="I730" t="s">
        <v>2983</v>
      </c>
      <c r="J730" t="s">
        <v>1265</v>
      </c>
      <c r="K730">
        <v>7000</v>
      </c>
      <c r="L730">
        <v>250</v>
      </c>
      <c r="M730">
        <v>250</v>
      </c>
      <c r="N730" t="s">
        <v>2984</v>
      </c>
    </row>
    <row r="731" spans="1:14" x14ac:dyDescent="0.2">
      <c r="A731" t="s">
        <v>86</v>
      </c>
      <c r="B731" t="s">
        <v>547</v>
      </c>
      <c r="C731">
        <v>2097</v>
      </c>
      <c r="D731" t="s">
        <v>42</v>
      </c>
      <c r="E731" s="1">
        <v>45586</v>
      </c>
      <c r="F731">
        <v>2</v>
      </c>
      <c r="G731" t="s">
        <v>71</v>
      </c>
      <c r="H731" t="s">
        <v>64</v>
      </c>
      <c r="I731" t="s">
        <v>2985</v>
      </c>
      <c r="J731" t="s">
        <v>1262</v>
      </c>
      <c r="K731">
        <v>7250</v>
      </c>
      <c r="L731">
        <v>300</v>
      </c>
      <c r="M731">
        <v>600</v>
      </c>
      <c r="N731" t="s">
        <v>2986</v>
      </c>
    </row>
    <row r="732" spans="1:14" x14ac:dyDescent="0.2">
      <c r="A732" t="s">
        <v>159</v>
      </c>
      <c r="B732" t="s">
        <v>1133</v>
      </c>
      <c r="C732">
        <v>2103</v>
      </c>
      <c r="D732" t="s">
        <v>76</v>
      </c>
      <c r="E732" s="1">
        <v>45646</v>
      </c>
      <c r="F732">
        <v>1</v>
      </c>
      <c r="G732" t="s">
        <v>52</v>
      </c>
      <c r="H732" t="s">
        <v>64</v>
      </c>
      <c r="I732" t="s">
        <v>2997</v>
      </c>
      <c r="J732" t="s">
        <v>1262</v>
      </c>
      <c r="K732">
        <v>7250</v>
      </c>
      <c r="L732">
        <v>1200</v>
      </c>
      <c r="M732">
        <v>1200</v>
      </c>
      <c r="N732" t="s">
        <v>2998</v>
      </c>
    </row>
    <row r="733" spans="1:14" x14ac:dyDescent="0.2">
      <c r="A733" t="s">
        <v>571</v>
      </c>
      <c r="B733" t="s">
        <v>1134</v>
      </c>
      <c r="C733">
        <v>2105</v>
      </c>
      <c r="D733" t="s">
        <v>76</v>
      </c>
      <c r="E733" s="1">
        <v>45378</v>
      </c>
      <c r="F733">
        <v>3</v>
      </c>
      <c r="G733" t="s">
        <v>38</v>
      </c>
      <c r="H733" t="s">
        <v>64</v>
      </c>
      <c r="I733" t="s">
        <v>3001</v>
      </c>
      <c r="J733" t="s">
        <v>1400</v>
      </c>
      <c r="K733">
        <v>7310</v>
      </c>
      <c r="L733">
        <v>1200</v>
      </c>
      <c r="M733">
        <v>3600</v>
      </c>
      <c r="N733" t="s">
        <v>3002</v>
      </c>
    </row>
    <row r="734" spans="1:14" x14ac:dyDescent="0.2">
      <c r="A734" t="s">
        <v>1135</v>
      </c>
      <c r="B734" t="s">
        <v>752</v>
      </c>
      <c r="C734">
        <v>2106</v>
      </c>
      <c r="D734" t="s">
        <v>42</v>
      </c>
      <c r="E734" s="1">
        <v>45590</v>
      </c>
      <c r="F734">
        <v>1</v>
      </c>
      <c r="G734" t="s">
        <v>71</v>
      </c>
      <c r="H734" t="s">
        <v>64</v>
      </c>
      <c r="I734" t="s">
        <v>3003</v>
      </c>
      <c r="J734" t="s">
        <v>1262</v>
      </c>
      <c r="K734">
        <v>7250</v>
      </c>
      <c r="L734">
        <v>300</v>
      </c>
      <c r="M734">
        <v>300</v>
      </c>
      <c r="N734" t="s">
        <v>3004</v>
      </c>
    </row>
    <row r="735" spans="1:14" x14ac:dyDescent="0.2">
      <c r="A735" t="s">
        <v>1149</v>
      </c>
      <c r="B735" t="s">
        <v>778</v>
      </c>
      <c r="C735">
        <v>2118</v>
      </c>
      <c r="D735" t="s">
        <v>92</v>
      </c>
      <c r="E735" s="1">
        <v>45398</v>
      </c>
      <c r="F735">
        <v>1</v>
      </c>
      <c r="G735" t="s">
        <v>38</v>
      </c>
      <c r="H735" t="s">
        <v>64</v>
      </c>
      <c r="I735" t="s">
        <v>3027</v>
      </c>
      <c r="J735" t="s">
        <v>1400</v>
      </c>
      <c r="K735">
        <v>7310</v>
      </c>
      <c r="L735">
        <v>600</v>
      </c>
      <c r="M735">
        <v>600</v>
      </c>
      <c r="N735" t="s">
        <v>3028</v>
      </c>
    </row>
    <row r="736" spans="1:14" x14ac:dyDescent="0.2">
      <c r="A736" t="s">
        <v>86</v>
      </c>
      <c r="B736" t="s">
        <v>702</v>
      </c>
      <c r="C736">
        <v>2121</v>
      </c>
      <c r="D736" t="s">
        <v>42</v>
      </c>
      <c r="E736" s="1">
        <v>45334</v>
      </c>
      <c r="F736">
        <v>2</v>
      </c>
      <c r="G736" t="s">
        <v>32</v>
      </c>
      <c r="H736" t="s">
        <v>64</v>
      </c>
      <c r="I736" t="s">
        <v>3033</v>
      </c>
      <c r="J736" t="s">
        <v>1262</v>
      </c>
      <c r="K736">
        <v>7250</v>
      </c>
      <c r="L736">
        <v>300</v>
      </c>
      <c r="M736">
        <v>600</v>
      </c>
      <c r="N736" t="s">
        <v>3034</v>
      </c>
    </row>
    <row r="737" spans="1:14" x14ac:dyDescent="0.2">
      <c r="A737" t="s">
        <v>215</v>
      </c>
      <c r="B737" t="s">
        <v>1083</v>
      </c>
      <c r="C737">
        <v>2155</v>
      </c>
      <c r="D737" t="s">
        <v>92</v>
      </c>
      <c r="E737" s="1">
        <v>45558</v>
      </c>
      <c r="F737">
        <v>2</v>
      </c>
      <c r="G737" t="s">
        <v>32</v>
      </c>
      <c r="H737" t="s">
        <v>64</v>
      </c>
      <c r="I737" t="s">
        <v>3101</v>
      </c>
      <c r="J737" t="s">
        <v>1400</v>
      </c>
      <c r="K737">
        <v>7310</v>
      </c>
      <c r="L737">
        <v>600</v>
      </c>
      <c r="M737">
        <v>1200</v>
      </c>
      <c r="N737" t="s">
        <v>3102</v>
      </c>
    </row>
    <row r="738" spans="1:14" x14ac:dyDescent="0.2">
      <c r="A738" t="s">
        <v>1203</v>
      </c>
      <c r="B738" t="s">
        <v>806</v>
      </c>
      <c r="C738">
        <v>2186</v>
      </c>
      <c r="D738" t="s">
        <v>76</v>
      </c>
      <c r="E738" s="1">
        <v>45605</v>
      </c>
      <c r="F738">
        <v>2</v>
      </c>
      <c r="G738" t="s">
        <v>71</v>
      </c>
      <c r="H738" t="s">
        <v>64</v>
      </c>
      <c r="I738" t="s">
        <v>3163</v>
      </c>
      <c r="J738" t="s">
        <v>1400</v>
      </c>
      <c r="K738">
        <v>7310</v>
      </c>
      <c r="L738">
        <v>1200</v>
      </c>
      <c r="M738">
        <v>2400</v>
      </c>
      <c r="N738" t="s">
        <v>3164</v>
      </c>
    </row>
    <row r="739" spans="1:14" x14ac:dyDescent="0.2">
      <c r="A739" t="s">
        <v>889</v>
      </c>
      <c r="B739" t="s">
        <v>672</v>
      </c>
      <c r="C739">
        <v>2187</v>
      </c>
      <c r="D739" t="s">
        <v>76</v>
      </c>
      <c r="E739" s="1">
        <v>45505</v>
      </c>
      <c r="F739">
        <v>1</v>
      </c>
      <c r="G739" t="s">
        <v>32</v>
      </c>
      <c r="H739" t="s">
        <v>64</v>
      </c>
      <c r="I739" t="s">
        <v>3165</v>
      </c>
      <c r="J739" t="s">
        <v>1400</v>
      </c>
      <c r="K739">
        <v>7310</v>
      </c>
      <c r="L739">
        <v>1200</v>
      </c>
      <c r="M739">
        <v>1200</v>
      </c>
      <c r="N739" t="s">
        <v>3166</v>
      </c>
    </row>
    <row r="740" spans="1:14" x14ac:dyDescent="0.2">
      <c r="A740" t="s">
        <v>850</v>
      </c>
      <c r="B740" t="s">
        <v>875</v>
      </c>
      <c r="C740">
        <v>2202</v>
      </c>
      <c r="D740" t="s">
        <v>76</v>
      </c>
      <c r="E740" s="1">
        <v>45295</v>
      </c>
      <c r="F740">
        <v>2</v>
      </c>
      <c r="G740" t="s">
        <v>32</v>
      </c>
      <c r="H740" t="s">
        <v>64</v>
      </c>
      <c r="I740" t="s">
        <v>3195</v>
      </c>
      <c r="J740" t="s">
        <v>1262</v>
      </c>
      <c r="K740">
        <v>7250</v>
      </c>
      <c r="L740">
        <v>1200</v>
      </c>
      <c r="M740">
        <v>2400</v>
      </c>
      <c r="N740" t="s">
        <v>3196</v>
      </c>
    </row>
    <row r="741" spans="1:14" x14ac:dyDescent="0.2">
      <c r="A741" t="s">
        <v>292</v>
      </c>
      <c r="B741" t="s">
        <v>120</v>
      </c>
      <c r="C741">
        <v>2211</v>
      </c>
      <c r="D741" t="s">
        <v>92</v>
      </c>
      <c r="E741" s="1">
        <v>45561</v>
      </c>
      <c r="F741">
        <v>1</v>
      </c>
      <c r="G741" t="s">
        <v>52</v>
      </c>
      <c r="H741" t="s">
        <v>64</v>
      </c>
      <c r="I741" t="s">
        <v>3213</v>
      </c>
      <c r="J741" t="s">
        <v>1265</v>
      </c>
      <c r="K741">
        <v>7000</v>
      </c>
      <c r="L741">
        <v>600</v>
      </c>
      <c r="M741">
        <v>600</v>
      </c>
      <c r="N741" t="s">
        <v>3214</v>
      </c>
    </row>
    <row r="742" spans="1:14" x14ac:dyDescent="0.2">
      <c r="A742" t="s">
        <v>686</v>
      </c>
      <c r="B742" t="s">
        <v>1009</v>
      </c>
      <c r="C742">
        <v>2212</v>
      </c>
      <c r="D742" t="s">
        <v>37</v>
      </c>
      <c r="E742" s="1">
        <v>45484</v>
      </c>
      <c r="F742">
        <v>2</v>
      </c>
      <c r="G742" t="s">
        <v>52</v>
      </c>
      <c r="H742" t="s">
        <v>64</v>
      </c>
      <c r="I742" t="s">
        <v>3215</v>
      </c>
      <c r="J742" t="s">
        <v>1400</v>
      </c>
      <c r="K742">
        <v>7310</v>
      </c>
      <c r="L742">
        <v>800</v>
      </c>
      <c r="M742">
        <v>1600</v>
      </c>
      <c r="N742" t="s">
        <v>3216</v>
      </c>
    </row>
    <row r="743" spans="1:14" x14ac:dyDescent="0.2">
      <c r="A743" t="s">
        <v>848</v>
      </c>
      <c r="B743" t="s">
        <v>811</v>
      </c>
      <c r="C743">
        <v>2224</v>
      </c>
      <c r="D743" t="s">
        <v>51</v>
      </c>
      <c r="E743" s="1">
        <v>45437</v>
      </c>
      <c r="F743">
        <v>2</v>
      </c>
      <c r="G743" t="s">
        <v>32</v>
      </c>
      <c r="H743" t="s">
        <v>64</v>
      </c>
      <c r="I743" t="s">
        <v>3239</v>
      </c>
      <c r="J743" t="s">
        <v>1400</v>
      </c>
      <c r="K743">
        <v>7310</v>
      </c>
      <c r="L743">
        <v>250</v>
      </c>
      <c r="M743">
        <v>500</v>
      </c>
      <c r="N743" t="s">
        <v>3240</v>
      </c>
    </row>
    <row r="744" spans="1:14" x14ac:dyDescent="0.2">
      <c r="A744" t="s">
        <v>45</v>
      </c>
      <c r="B744" t="s">
        <v>46</v>
      </c>
      <c r="C744">
        <v>1237</v>
      </c>
      <c r="D744" t="s">
        <v>42</v>
      </c>
      <c r="E744" s="1">
        <v>45469</v>
      </c>
      <c r="F744">
        <v>3</v>
      </c>
      <c r="G744" t="s">
        <v>32</v>
      </c>
      <c r="H744" t="s">
        <v>47</v>
      </c>
      <c r="I744" t="s">
        <v>1246</v>
      </c>
      <c r="J744" t="s">
        <v>1247</v>
      </c>
      <c r="K744">
        <v>3350</v>
      </c>
      <c r="L744">
        <v>300</v>
      </c>
      <c r="M744">
        <v>900</v>
      </c>
      <c r="N744" t="s">
        <v>1248</v>
      </c>
    </row>
    <row r="745" spans="1:14" x14ac:dyDescent="0.2">
      <c r="A745" t="s">
        <v>58</v>
      </c>
      <c r="B745" t="s">
        <v>59</v>
      </c>
      <c r="C745">
        <v>1240</v>
      </c>
      <c r="D745" t="s">
        <v>51</v>
      </c>
      <c r="E745" s="1">
        <v>45369</v>
      </c>
      <c r="F745">
        <v>1</v>
      </c>
      <c r="G745" t="s">
        <v>52</v>
      </c>
      <c r="H745" t="s">
        <v>47</v>
      </c>
      <c r="I745" t="s">
        <v>1255</v>
      </c>
      <c r="J745" t="s">
        <v>1256</v>
      </c>
      <c r="K745">
        <v>3220</v>
      </c>
      <c r="L745">
        <v>250</v>
      </c>
      <c r="M745">
        <v>250</v>
      </c>
      <c r="N745" t="s">
        <v>1257</v>
      </c>
    </row>
    <row r="746" spans="1:14" x14ac:dyDescent="0.2">
      <c r="A746" t="s">
        <v>74</v>
      </c>
      <c r="B746" t="s">
        <v>75</v>
      </c>
      <c r="C746">
        <v>1247</v>
      </c>
      <c r="D746" t="s">
        <v>76</v>
      </c>
      <c r="E746" s="1">
        <v>45317</v>
      </c>
      <c r="F746">
        <v>3</v>
      </c>
      <c r="G746" t="s">
        <v>32</v>
      </c>
      <c r="H746" t="s">
        <v>47</v>
      </c>
      <c r="I746" t="s">
        <v>1274</v>
      </c>
      <c r="J746" t="s">
        <v>1275</v>
      </c>
      <c r="K746">
        <v>3000</v>
      </c>
      <c r="L746">
        <v>1200</v>
      </c>
      <c r="M746">
        <v>3600</v>
      </c>
      <c r="N746" t="s">
        <v>1276</v>
      </c>
    </row>
    <row r="747" spans="1:14" x14ac:dyDescent="0.2">
      <c r="A747" t="s">
        <v>115</v>
      </c>
      <c r="B747" t="s">
        <v>116</v>
      </c>
      <c r="C747">
        <v>1266</v>
      </c>
      <c r="D747" t="s">
        <v>42</v>
      </c>
      <c r="E747" s="1">
        <v>45640</v>
      </c>
      <c r="F747">
        <v>2</v>
      </c>
      <c r="G747" t="s">
        <v>38</v>
      </c>
      <c r="H747" t="s">
        <v>47</v>
      </c>
      <c r="I747" t="s">
        <v>1317</v>
      </c>
      <c r="J747" t="s">
        <v>1256</v>
      </c>
      <c r="K747">
        <v>3220</v>
      </c>
      <c r="L747">
        <v>300</v>
      </c>
      <c r="M747">
        <v>600</v>
      </c>
      <c r="N747" t="s">
        <v>1318</v>
      </c>
    </row>
    <row r="748" spans="1:14" x14ac:dyDescent="0.2">
      <c r="A748" t="s">
        <v>121</v>
      </c>
      <c r="B748" t="s">
        <v>122</v>
      </c>
      <c r="C748">
        <v>1269</v>
      </c>
      <c r="D748" t="s">
        <v>92</v>
      </c>
      <c r="E748" s="1">
        <v>45633</v>
      </c>
      <c r="F748">
        <v>1</v>
      </c>
      <c r="G748" t="s">
        <v>32</v>
      </c>
      <c r="H748" t="s">
        <v>47</v>
      </c>
      <c r="I748" t="s">
        <v>1323</v>
      </c>
      <c r="J748" t="s">
        <v>1247</v>
      </c>
      <c r="K748">
        <v>3350</v>
      </c>
      <c r="L748">
        <v>600</v>
      </c>
      <c r="M748">
        <v>600</v>
      </c>
      <c r="N748" t="s">
        <v>1324</v>
      </c>
    </row>
    <row r="749" spans="1:14" x14ac:dyDescent="0.2">
      <c r="A749" t="s">
        <v>127</v>
      </c>
      <c r="B749" t="s">
        <v>128</v>
      </c>
      <c r="C749">
        <v>1272</v>
      </c>
      <c r="D749" t="s">
        <v>31</v>
      </c>
      <c r="E749" s="1">
        <v>45555</v>
      </c>
      <c r="F749">
        <v>3</v>
      </c>
      <c r="G749" t="s">
        <v>52</v>
      </c>
      <c r="H749" t="s">
        <v>47</v>
      </c>
      <c r="I749" t="s">
        <v>1329</v>
      </c>
      <c r="J749" t="s">
        <v>1256</v>
      </c>
      <c r="K749">
        <v>3220</v>
      </c>
      <c r="L749">
        <v>250</v>
      </c>
      <c r="M749">
        <v>750</v>
      </c>
      <c r="N749" t="s">
        <v>1330</v>
      </c>
    </row>
    <row r="750" spans="1:14" x14ac:dyDescent="0.2">
      <c r="A750" t="s">
        <v>129</v>
      </c>
      <c r="B750" t="s">
        <v>130</v>
      </c>
      <c r="C750">
        <v>1273</v>
      </c>
      <c r="D750" t="s">
        <v>37</v>
      </c>
      <c r="E750" s="1">
        <v>45431</v>
      </c>
      <c r="F750">
        <v>3</v>
      </c>
      <c r="G750" t="s">
        <v>52</v>
      </c>
      <c r="H750" t="s">
        <v>47</v>
      </c>
      <c r="I750" t="s">
        <v>1331</v>
      </c>
      <c r="J750" t="s">
        <v>1275</v>
      </c>
      <c r="K750">
        <v>3000</v>
      </c>
      <c r="L750">
        <v>800</v>
      </c>
      <c r="M750">
        <v>2400</v>
      </c>
      <c r="N750" t="s">
        <v>1332</v>
      </c>
    </row>
    <row r="751" spans="1:14" x14ac:dyDescent="0.2">
      <c r="A751" t="s">
        <v>141</v>
      </c>
      <c r="B751" t="s">
        <v>142</v>
      </c>
      <c r="C751">
        <v>1279</v>
      </c>
      <c r="D751" t="s">
        <v>31</v>
      </c>
      <c r="E751" s="1">
        <v>45331</v>
      </c>
      <c r="F751">
        <v>1</v>
      </c>
      <c r="G751" t="s">
        <v>32</v>
      </c>
      <c r="H751" t="s">
        <v>47</v>
      </c>
      <c r="I751" t="s">
        <v>1343</v>
      </c>
      <c r="J751" t="s">
        <v>1247</v>
      </c>
      <c r="K751">
        <v>3350</v>
      </c>
      <c r="L751">
        <v>250</v>
      </c>
      <c r="M751">
        <v>250</v>
      </c>
      <c r="N751" t="s">
        <v>1344</v>
      </c>
    </row>
    <row r="752" spans="1:14" x14ac:dyDescent="0.2">
      <c r="A752" t="s">
        <v>150</v>
      </c>
      <c r="B752" t="s">
        <v>151</v>
      </c>
      <c r="C752">
        <v>1284</v>
      </c>
      <c r="D752" t="s">
        <v>37</v>
      </c>
      <c r="E752" s="1">
        <v>45324</v>
      </c>
      <c r="F752">
        <v>2</v>
      </c>
      <c r="G752" t="s">
        <v>32</v>
      </c>
      <c r="H752" t="s">
        <v>47</v>
      </c>
      <c r="I752" t="s">
        <v>1354</v>
      </c>
      <c r="J752" t="s">
        <v>1247</v>
      </c>
      <c r="K752">
        <v>3350</v>
      </c>
      <c r="L752">
        <v>800</v>
      </c>
      <c r="M752">
        <v>1600</v>
      </c>
      <c r="N752" t="s">
        <v>1355</v>
      </c>
    </row>
    <row r="753" spans="1:14" x14ac:dyDescent="0.2">
      <c r="A753" t="s">
        <v>157</v>
      </c>
      <c r="B753" t="s">
        <v>158</v>
      </c>
      <c r="C753">
        <v>1288</v>
      </c>
      <c r="D753" t="s">
        <v>31</v>
      </c>
      <c r="E753" s="1">
        <v>45589</v>
      </c>
      <c r="F753">
        <v>2</v>
      </c>
      <c r="G753" t="s">
        <v>52</v>
      </c>
      <c r="H753" t="s">
        <v>47</v>
      </c>
      <c r="I753" t="s">
        <v>1363</v>
      </c>
      <c r="J753" t="s">
        <v>1247</v>
      </c>
      <c r="K753">
        <v>3350</v>
      </c>
      <c r="L753">
        <v>250</v>
      </c>
      <c r="M753">
        <v>500</v>
      </c>
      <c r="N753" t="s">
        <v>1364</v>
      </c>
    </row>
    <row r="754" spans="1:14" x14ac:dyDescent="0.2">
      <c r="A754" t="s">
        <v>187</v>
      </c>
      <c r="B754" t="s">
        <v>188</v>
      </c>
      <c r="C754">
        <v>1305</v>
      </c>
      <c r="D754" t="s">
        <v>42</v>
      </c>
      <c r="E754" s="1">
        <v>45485</v>
      </c>
      <c r="F754">
        <v>1</v>
      </c>
      <c r="G754" t="s">
        <v>32</v>
      </c>
      <c r="H754" t="s">
        <v>47</v>
      </c>
      <c r="I754" t="s">
        <v>1397</v>
      </c>
      <c r="J754" t="s">
        <v>1247</v>
      </c>
      <c r="K754">
        <v>3350</v>
      </c>
      <c r="L754">
        <v>300</v>
      </c>
      <c r="M754">
        <v>300</v>
      </c>
      <c r="N754" t="s">
        <v>1398</v>
      </c>
    </row>
    <row r="755" spans="1:14" x14ac:dyDescent="0.2">
      <c r="A755" t="s">
        <v>195</v>
      </c>
      <c r="B755" t="s">
        <v>196</v>
      </c>
      <c r="C755">
        <v>1309</v>
      </c>
      <c r="D755" t="s">
        <v>31</v>
      </c>
      <c r="E755" s="1">
        <v>45533</v>
      </c>
      <c r="F755">
        <v>2</v>
      </c>
      <c r="G755" t="s">
        <v>32</v>
      </c>
      <c r="H755" t="s">
        <v>47</v>
      </c>
      <c r="I755" t="s">
        <v>1406</v>
      </c>
      <c r="J755" t="s">
        <v>1256</v>
      </c>
      <c r="K755">
        <v>3220</v>
      </c>
      <c r="L755">
        <v>250</v>
      </c>
      <c r="M755">
        <v>500</v>
      </c>
      <c r="N755" t="s">
        <v>1407</v>
      </c>
    </row>
    <row r="756" spans="1:14" x14ac:dyDescent="0.2">
      <c r="A756" t="s">
        <v>200</v>
      </c>
      <c r="B756" t="s">
        <v>201</v>
      </c>
      <c r="C756">
        <v>1312</v>
      </c>
      <c r="D756" t="s">
        <v>51</v>
      </c>
      <c r="E756" s="1">
        <v>45642</v>
      </c>
      <c r="F756">
        <v>2</v>
      </c>
      <c r="G756" t="s">
        <v>52</v>
      </c>
      <c r="H756" t="s">
        <v>47</v>
      </c>
      <c r="I756" t="s">
        <v>1412</v>
      </c>
      <c r="J756" t="s">
        <v>1275</v>
      </c>
      <c r="K756">
        <v>3000</v>
      </c>
      <c r="L756">
        <v>250</v>
      </c>
      <c r="M756">
        <v>500</v>
      </c>
      <c r="N756" t="s">
        <v>1413</v>
      </c>
    </row>
    <row r="757" spans="1:14" x14ac:dyDescent="0.2">
      <c r="A757" t="s">
        <v>204</v>
      </c>
      <c r="B757" t="s">
        <v>205</v>
      </c>
      <c r="C757">
        <v>1314</v>
      </c>
      <c r="D757" t="s">
        <v>51</v>
      </c>
      <c r="E757" s="1">
        <v>45514</v>
      </c>
      <c r="F757">
        <v>3</v>
      </c>
      <c r="G757" t="s">
        <v>52</v>
      </c>
      <c r="H757" t="s">
        <v>47</v>
      </c>
      <c r="I757" t="s">
        <v>1416</v>
      </c>
      <c r="J757" t="s">
        <v>1275</v>
      </c>
      <c r="K757">
        <v>3000</v>
      </c>
      <c r="L757">
        <v>250</v>
      </c>
      <c r="M757">
        <v>750</v>
      </c>
      <c r="N757" t="s">
        <v>1417</v>
      </c>
    </row>
    <row r="758" spans="1:14" x14ac:dyDescent="0.2">
      <c r="A758" t="s">
        <v>207</v>
      </c>
      <c r="B758" t="s">
        <v>208</v>
      </c>
      <c r="C758">
        <v>1316</v>
      </c>
      <c r="D758" t="s">
        <v>31</v>
      </c>
      <c r="E758" s="1">
        <v>45626</v>
      </c>
      <c r="F758">
        <v>1</v>
      </c>
      <c r="G758" t="s">
        <v>52</v>
      </c>
      <c r="H758" t="s">
        <v>47</v>
      </c>
      <c r="I758" t="s">
        <v>1420</v>
      </c>
      <c r="J758" t="s">
        <v>1247</v>
      </c>
      <c r="K758">
        <v>3350</v>
      </c>
      <c r="L758">
        <v>250</v>
      </c>
      <c r="M758">
        <v>250</v>
      </c>
      <c r="N758" t="s">
        <v>1421</v>
      </c>
    </row>
    <row r="759" spans="1:14" x14ac:dyDescent="0.2">
      <c r="A759" t="s">
        <v>227</v>
      </c>
      <c r="B759" t="s">
        <v>228</v>
      </c>
      <c r="C759">
        <v>1327</v>
      </c>
      <c r="D759" t="s">
        <v>37</v>
      </c>
      <c r="E759" s="1">
        <v>45519</v>
      </c>
      <c r="F759">
        <v>2</v>
      </c>
      <c r="G759" t="s">
        <v>52</v>
      </c>
      <c r="H759" t="s">
        <v>47</v>
      </c>
      <c r="I759" t="s">
        <v>1442</v>
      </c>
      <c r="J759" t="s">
        <v>1256</v>
      </c>
      <c r="K759">
        <v>3220</v>
      </c>
      <c r="L759">
        <v>800</v>
      </c>
      <c r="M759">
        <v>1600</v>
      </c>
      <c r="N759" t="s">
        <v>1443</v>
      </c>
    </row>
    <row r="760" spans="1:14" x14ac:dyDescent="0.2">
      <c r="A760" t="s">
        <v>279</v>
      </c>
      <c r="B760" t="s">
        <v>280</v>
      </c>
      <c r="C760">
        <v>1358</v>
      </c>
      <c r="D760" t="s">
        <v>42</v>
      </c>
      <c r="E760" s="1">
        <v>45332</v>
      </c>
      <c r="F760">
        <v>3</v>
      </c>
      <c r="G760" t="s">
        <v>38</v>
      </c>
      <c r="H760" t="s">
        <v>47</v>
      </c>
      <c r="I760" t="s">
        <v>1504</v>
      </c>
      <c r="J760" t="s">
        <v>1247</v>
      </c>
      <c r="K760">
        <v>3350</v>
      </c>
      <c r="L760">
        <v>300</v>
      </c>
      <c r="M760">
        <v>900</v>
      </c>
      <c r="N760" t="s">
        <v>1505</v>
      </c>
    </row>
    <row r="761" spans="1:14" x14ac:dyDescent="0.2">
      <c r="A761" t="s">
        <v>68</v>
      </c>
      <c r="B761" t="s">
        <v>319</v>
      </c>
      <c r="C761">
        <v>1380</v>
      </c>
      <c r="D761" t="s">
        <v>31</v>
      </c>
      <c r="E761" s="1">
        <v>45309</v>
      </c>
      <c r="F761">
        <v>3</v>
      </c>
      <c r="G761" t="s">
        <v>52</v>
      </c>
      <c r="H761" t="s">
        <v>47</v>
      </c>
      <c r="I761" t="s">
        <v>1548</v>
      </c>
      <c r="J761" t="s">
        <v>1247</v>
      </c>
      <c r="K761">
        <v>3350</v>
      </c>
      <c r="L761">
        <v>250</v>
      </c>
      <c r="M761">
        <v>750</v>
      </c>
      <c r="N761" t="s">
        <v>1549</v>
      </c>
    </row>
    <row r="762" spans="1:14" x14ac:dyDescent="0.2">
      <c r="A762" t="s">
        <v>258</v>
      </c>
      <c r="B762" t="s">
        <v>329</v>
      </c>
      <c r="C762">
        <v>1387</v>
      </c>
      <c r="D762" t="s">
        <v>31</v>
      </c>
      <c r="E762" s="1">
        <v>45629</v>
      </c>
      <c r="F762">
        <v>2</v>
      </c>
      <c r="G762" t="s">
        <v>52</v>
      </c>
      <c r="H762" t="s">
        <v>47</v>
      </c>
      <c r="I762" t="s">
        <v>1562</v>
      </c>
      <c r="J762" t="s">
        <v>1256</v>
      </c>
      <c r="K762">
        <v>3220</v>
      </c>
      <c r="L762">
        <v>250</v>
      </c>
      <c r="M762">
        <v>500</v>
      </c>
      <c r="N762" t="s">
        <v>1563</v>
      </c>
    </row>
    <row r="763" spans="1:14" x14ac:dyDescent="0.2">
      <c r="A763" t="s">
        <v>336</v>
      </c>
      <c r="B763" t="s">
        <v>337</v>
      </c>
      <c r="C763">
        <v>1393</v>
      </c>
      <c r="D763" t="s">
        <v>42</v>
      </c>
      <c r="E763" s="1">
        <v>45620</v>
      </c>
      <c r="F763">
        <v>3</v>
      </c>
      <c r="G763" t="s">
        <v>52</v>
      </c>
      <c r="H763" t="s">
        <v>47</v>
      </c>
      <c r="I763" t="s">
        <v>1574</v>
      </c>
      <c r="J763" t="s">
        <v>1247</v>
      </c>
      <c r="K763">
        <v>3350</v>
      </c>
      <c r="L763">
        <v>300</v>
      </c>
      <c r="M763">
        <v>900</v>
      </c>
      <c r="N763" t="s">
        <v>1575</v>
      </c>
    </row>
    <row r="764" spans="1:14" x14ac:dyDescent="0.2">
      <c r="A764" t="s">
        <v>354</v>
      </c>
      <c r="B764" t="s">
        <v>183</v>
      </c>
      <c r="C764">
        <v>1404</v>
      </c>
      <c r="D764" t="s">
        <v>51</v>
      </c>
      <c r="E764" s="1">
        <v>45385</v>
      </c>
      <c r="F764">
        <v>3</v>
      </c>
      <c r="G764" t="s">
        <v>38</v>
      </c>
      <c r="H764" t="s">
        <v>47</v>
      </c>
      <c r="I764" t="s">
        <v>1596</v>
      </c>
      <c r="J764" t="s">
        <v>1256</v>
      </c>
      <c r="K764">
        <v>3220</v>
      </c>
      <c r="L764">
        <v>250</v>
      </c>
      <c r="M764">
        <v>750</v>
      </c>
      <c r="N764" t="s">
        <v>1597</v>
      </c>
    </row>
    <row r="765" spans="1:14" x14ac:dyDescent="0.2">
      <c r="A765" t="s">
        <v>361</v>
      </c>
      <c r="B765" t="s">
        <v>75</v>
      </c>
      <c r="C765">
        <v>1409</v>
      </c>
      <c r="D765" t="s">
        <v>37</v>
      </c>
      <c r="E765" s="1">
        <v>45324</v>
      </c>
      <c r="F765">
        <v>2</v>
      </c>
      <c r="G765" t="s">
        <v>52</v>
      </c>
      <c r="H765" t="s">
        <v>47</v>
      </c>
      <c r="I765" t="s">
        <v>1606</v>
      </c>
      <c r="J765" t="s">
        <v>1247</v>
      </c>
      <c r="K765">
        <v>3350</v>
      </c>
      <c r="L765">
        <v>800</v>
      </c>
      <c r="M765">
        <v>1600</v>
      </c>
      <c r="N765" t="s">
        <v>1607</v>
      </c>
    </row>
    <row r="766" spans="1:14" x14ac:dyDescent="0.2">
      <c r="A766" t="s">
        <v>377</v>
      </c>
      <c r="B766" t="s">
        <v>378</v>
      </c>
      <c r="C766">
        <v>1418</v>
      </c>
      <c r="D766" t="s">
        <v>31</v>
      </c>
      <c r="E766" s="1">
        <v>45337</v>
      </c>
      <c r="F766">
        <v>3</v>
      </c>
      <c r="G766" t="s">
        <v>32</v>
      </c>
      <c r="H766" t="s">
        <v>47</v>
      </c>
      <c r="I766" t="s">
        <v>1624</v>
      </c>
      <c r="J766" t="s">
        <v>1256</v>
      </c>
      <c r="K766">
        <v>3220</v>
      </c>
      <c r="L766">
        <v>250</v>
      </c>
      <c r="M766">
        <v>750</v>
      </c>
      <c r="N766" t="s">
        <v>1625</v>
      </c>
    </row>
    <row r="767" spans="1:14" x14ac:dyDescent="0.2">
      <c r="A767" t="s">
        <v>389</v>
      </c>
      <c r="B767" t="s">
        <v>390</v>
      </c>
      <c r="C767">
        <v>1425</v>
      </c>
      <c r="D767" t="s">
        <v>37</v>
      </c>
      <c r="E767" s="1">
        <v>45400</v>
      </c>
      <c r="F767">
        <v>2</v>
      </c>
      <c r="G767" t="s">
        <v>52</v>
      </c>
      <c r="H767" t="s">
        <v>47</v>
      </c>
      <c r="I767" t="s">
        <v>1638</v>
      </c>
      <c r="J767" t="s">
        <v>1247</v>
      </c>
      <c r="K767">
        <v>3350</v>
      </c>
      <c r="L767">
        <v>800</v>
      </c>
      <c r="M767">
        <v>1600</v>
      </c>
      <c r="N767" t="s">
        <v>1639</v>
      </c>
    </row>
    <row r="768" spans="1:14" x14ac:dyDescent="0.2">
      <c r="A768" t="s">
        <v>347</v>
      </c>
      <c r="B768" t="s">
        <v>392</v>
      </c>
      <c r="C768">
        <v>1427</v>
      </c>
      <c r="D768" t="s">
        <v>51</v>
      </c>
      <c r="E768" s="1">
        <v>45340</v>
      </c>
      <c r="F768">
        <v>3</v>
      </c>
      <c r="G768" t="s">
        <v>52</v>
      </c>
      <c r="H768" t="s">
        <v>47</v>
      </c>
      <c r="I768" t="s">
        <v>1642</v>
      </c>
      <c r="J768" t="s">
        <v>1275</v>
      </c>
      <c r="K768">
        <v>3000</v>
      </c>
      <c r="L768">
        <v>250</v>
      </c>
      <c r="M768">
        <v>750</v>
      </c>
      <c r="N768" t="s">
        <v>1643</v>
      </c>
    </row>
    <row r="769" spans="1:14" x14ac:dyDescent="0.2">
      <c r="A769" t="s">
        <v>403</v>
      </c>
      <c r="B769" t="s">
        <v>109</v>
      </c>
      <c r="C769">
        <v>1434</v>
      </c>
      <c r="D769" t="s">
        <v>31</v>
      </c>
      <c r="E769" s="1">
        <v>45425</v>
      </c>
      <c r="F769">
        <v>2</v>
      </c>
      <c r="G769" t="s">
        <v>71</v>
      </c>
      <c r="H769" t="s">
        <v>47</v>
      </c>
      <c r="I769" t="s">
        <v>1656</v>
      </c>
      <c r="J769" t="s">
        <v>1275</v>
      </c>
      <c r="K769">
        <v>3000</v>
      </c>
      <c r="L769">
        <v>250</v>
      </c>
      <c r="M769">
        <v>500</v>
      </c>
      <c r="N769" t="s">
        <v>1657</v>
      </c>
    </row>
    <row r="770" spans="1:14" x14ac:dyDescent="0.2">
      <c r="A770" t="s">
        <v>415</v>
      </c>
      <c r="B770" t="s">
        <v>416</v>
      </c>
      <c r="C770">
        <v>1442</v>
      </c>
      <c r="D770" t="s">
        <v>37</v>
      </c>
      <c r="E770" s="1">
        <v>45357</v>
      </c>
      <c r="F770">
        <v>2</v>
      </c>
      <c r="G770" t="s">
        <v>32</v>
      </c>
      <c r="H770" t="s">
        <v>47</v>
      </c>
      <c r="I770" t="s">
        <v>1672</v>
      </c>
      <c r="J770" t="s">
        <v>1275</v>
      </c>
      <c r="K770">
        <v>3000</v>
      </c>
      <c r="L770">
        <v>800</v>
      </c>
      <c r="M770">
        <v>1600</v>
      </c>
      <c r="N770" t="s">
        <v>1673</v>
      </c>
    </row>
    <row r="771" spans="1:14" x14ac:dyDescent="0.2">
      <c r="A771" t="s">
        <v>426</v>
      </c>
      <c r="B771" t="s">
        <v>427</v>
      </c>
      <c r="C771">
        <v>1448</v>
      </c>
      <c r="D771" t="s">
        <v>42</v>
      </c>
      <c r="E771" s="1">
        <v>45510</v>
      </c>
      <c r="F771">
        <v>2</v>
      </c>
      <c r="G771" t="s">
        <v>52</v>
      </c>
      <c r="H771" t="s">
        <v>47</v>
      </c>
      <c r="I771" t="s">
        <v>1684</v>
      </c>
      <c r="J771" t="s">
        <v>1247</v>
      </c>
      <c r="K771">
        <v>3350</v>
      </c>
      <c r="L771">
        <v>300</v>
      </c>
      <c r="M771">
        <v>600</v>
      </c>
      <c r="N771" t="s">
        <v>1685</v>
      </c>
    </row>
    <row r="772" spans="1:14" x14ac:dyDescent="0.2">
      <c r="A772" t="s">
        <v>432</v>
      </c>
      <c r="B772" t="s">
        <v>433</v>
      </c>
      <c r="C772">
        <v>1452</v>
      </c>
      <c r="D772" t="s">
        <v>42</v>
      </c>
      <c r="E772" s="1">
        <v>45631</v>
      </c>
      <c r="F772">
        <v>2</v>
      </c>
      <c r="G772" t="s">
        <v>32</v>
      </c>
      <c r="H772" t="s">
        <v>47</v>
      </c>
      <c r="I772" t="s">
        <v>1692</v>
      </c>
      <c r="J772" t="s">
        <v>1247</v>
      </c>
      <c r="K772">
        <v>3350</v>
      </c>
      <c r="L772">
        <v>300</v>
      </c>
      <c r="M772">
        <v>600</v>
      </c>
      <c r="N772" t="s">
        <v>1693</v>
      </c>
    </row>
    <row r="773" spans="1:14" x14ac:dyDescent="0.2">
      <c r="A773" t="s">
        <v>348</v>
      </c>
      <c r="B773" t="s">
        <v>442</v>
      </c>
      <c r="C773">
        <v>1458</v>
      </c>
      <c r="D773" t="s">
        <v>76</v>
      </c>
      <c r="E773" s="1">
        <v>45476</v>
      </c>
      <c r="F773">
        <v>2</v>
      </c>
      <c r="G773" t="s">
        <v>52</v>
      </c>
      <c r="H773" t="s">
        <v>47</v>
      </c>
      <c r="I773" t="s">
        <v>1704</v>
      </c>
      <c r="J773" t="s">
        <v>1247</v>
      </c>
      <c r="K773">
        <v>3350</v>
      </c>
      <c r="L773">
        <v>1200</v>
      </c>
      <c r="M773">
        <v>2400</v>
      </c>
      <c r="N773" t="s">
        <v>1705</v>
      </c>
    </row>
    <row r="774" spans="1:14" x14ac:dyDescent="0.2">
      <c r="A774" t="s">
        <v>450</v>
      </c>
      <c r="B774" t="s">
        <v>451</v>
      </c>
      <c r="C774">
        <v>1463</v>
      </c>
      <c r="D774" t="s">
        <v>37</v>
      </c>
      <c r="E774" s="1">
        <v>45481</v>
      </c>
      <c r="F774">
        <v>2</v>
      </c>
      <c r="G774" t="s">
        <v>32</v>
      </c>
      <c r="H774" t="s">
        <v>47</v>
      </c>
      <c r="I774" t="s">
        <v>1714</v>
      </c>
      <c r="J774" t="s">
        <v>1247</v>
      </c>
      <c r="K774">
        <v>3350</v>
      </c>
      <c r="L774">
        <v>800</v>
      </c>
      <c r="M774">
        <v>1600</v>
      </c>
      <c r="N774" t="s">
        <v>1715</v>
      </c>
    </row>
    <row r="775" spans="1:14" x14ac:dyDescent="0.2">
      <c r="A775" t="s">
        <v>479</v>
      </c>
      <c r="B775" t="s">
        <v>354</v>
      </c>
      <c r="C775">
        <v>1482</v>
      </c>
      <c r="D775" t="s">
        <v>51</v>
      </c>
      <c r="E775" s="1">
        <v>45619</v>
      </c>
      <c r="F775">
        <v>2</v>
      </c>
      <c r="G775" t="s">
        <v>32</v>
      </c>
      <c r="H775" t="s">
        <v>47</v>
      </c>
      <c r="I775" t="s">
        <v>1752</v>
      </c>
      <c r="J775" t="s">
        <v>1256</v>
      </c>
      <c r="K775">
        <v>3220</v>
      </c>
      <c r="L775">
        <v>250</v>
      </c>
      <c r="M775">
        <v>500</v>
      </c>
      <c r="N775" t="s">
        <v>1753</v>
      </c>
    </row>
    <row r="776" spans="1:14" x14ac:dyDescent="0.2">
      <c r="A776" t="s">
        <v>415</v>
      </c>
      <c r="B776" t="s">
        <v>486</v>
      </c>
      <c r="C776">
        <v>1487</v>
      </c>
      <c r="D776" t="s">
        <v>42</v>
      </c>
      <c r="E776" s="1">
        <v>45537</v>
      </c>
      <c r="F776">
        <v>3</v>
      </c>
      <c r="G776" t="s">
        <v>32</v>
      </c>
      <c r="H776" t="s">
        <v>47</v>
      </c>
      <c r="I776" t="s">
        <v>1762</v>
      </c>
      <c r="J776" t="s">
        <v>1247</v>
      </c>
      <c r="K776">
        <v>3350</v>
      </c>
      <c r="L776">
        <v>300</v>
      </c>
      <c r="M776">
        <v>900</v>
      </c>
      <c r="N776" t="s">
        <v>1763</v>
      </c>
    </row>
    <row r="777" spans="1:14" x14ac:dyDescent="0.2">
      <c r="A777" t="s">
        <v>487</v>
      </c>
      <c r="B777" t="s">
        <v>488</v>
      </c>
      <c r="C777">
        <v>1488</v>
      </c>
      <c r="D777" t="s">
        <v>31</v>
      </c>
      <c r="E777" s="1">
        <v>45554</v>
      </c>
      <c r="F777">
        <v>3</v>
      </c>
      <c r="G777" t="s">
        <v>52</v>
      </c>
      <c r="H777" t="s">
        <v>47</v>
      </c>
      <c r="I777" t="s">
        <v>1764</v>
      </c>
      <c r="J777" t="s">
        <v>1275</v>
      </c>
      <c r="K777">
        <v>3000</v>
      </c>
      <c r="L777">
        <v>250</v>
      </c>
      <c r="M777">
        <v>750</v>
      </c>
      <c r="N777" t="s">
        <v>1765</v>
      </c>
    </row>
    <row r="778" spans="1:14" x14ac:dyDescent="0.2">
      <c r="A778" t="s">
        <v>491</v>
      </c>
      <c r="B778" t="s">
        <v>208</v>
      </c>
      <c r="C778">
        <v>1490</v>
      </c>
      <c r="D778" t="s">
        <v>92</v>
      </c>
      <c r="E778" s="1">
        <v>45340</v>
      </c>
      <c r="F778">
        <v>2</v>
      </c>
      <c r="G778" t="s">
        <v>32</v>
      </c>
      <c r="H778" t="s">
        <v>47</v>
      </c>
      <c r="I778" t="s">
        <v>1768</v>
      </c>
      <c r="J778" t="s">
        <v>1247</v>
      </c>
      <c r="K778">
        <v>3350</v>
      </c>
      <c r="L778">
        <v>600</v>
      </c>
      <c r="M778">
        <v>1200</v>
      </c>
      <c r="N778" t="s">
        <v>1769</v>
      </c>
    </row>
    <row r="779" spans="1:14" x14ac:dyDescent="0.2">
      <c r="A779" t="s">
        <v>495</v>
      </c>
      <c r="B779" t="s">
        <v>210</v>
      </c>
      <c r="C779">
        <v>1493</v>
      </c>
      <c r="D779" t="s">
        <v>76</v>
      </c>
      <c r="E779" s="1">
        <v>45306</v>
      </c>
      <c r="F779">
        <v>3</v>
      </c>
      <c r="G779" t="s">
        <v>32</v>
      </c>
      <c r="H779" t="s">
        <v>47</v>
      </c>
      <c r="I779" t="s">
        <v>1774</v>
      </c>
      <c r="J779" t="s">
        <v>1256</v>
      </c>
      <c r="K779">
        <v>3220</v>
      </c>
      <c r="L779">
        <v>1200</v>
      </c>
      <c r="M779">
        <v>3600</v>
      </c>
      <c r="N779" t="s">
        <v>1775</v>
      </c>
    </row>
    <row r="780" spans="1:14" x14ac:dyDescent="0.2">
      <c r="A780" t="s">
        <v>144</v>
      </c>
      <c r="B780" t="s">
        <v>501</v>
      </c>
      <c r="C780">
        <v>1499</v>
      </c>
      <c r="D780" t="s">
        <v>76</v>
      </c>
      <c r="E780" s="1">
        <v>45596</v>
      </c>
      <c r="F780">
        <v>1</v>
      </c>
      <c r="G780" t="s">
        <v>52</v>
      </c>
      <c r="H780" t="s">
        <v>47</v>
      </c>
      <c r="I780" t="s">
        <v>1786</v>
      </c>
      <c r="J780" t="s">
        <v>1247</v>
      </c>
      <c r="K780">
        <v>3350</v>
      </c>
      <c r="L780">
        <v>1200</v>
      </c>
      <c r="M780">
        <v>1200</v>
      </c>
      <c r="N780" t="s">
        <v>1787</v>
      </c>
    </row>
    <row r="781" spans="1:14" x14ac:dyDescent="0.2">
      <c r="A781" t="s">
        <v>502</v>
      </c>
      <c r="B781" t="s">
        <v>503</v>
      </c>
      <c r="C781">
        <v>1500</v>
      </c>
      <c r="D781" t="s">
        <v>76</v>
      </c>
      <c r="E781" s="1">
        <v>45409</v>
      </c>
      <c r="F781">
        <v>1</v>
      </c>
      <c r="G781" t="s">
        <v>52</v>
      </c>
      <c r="H781" t="s">
        <v>47</v>
      </c>
      <c r="I781" t="s">
        <v>1788</v>
      </c>
      <c r="J781" t="s">
        <v>1275</v>
      </c>
      <c r="K781">
        <v>3000</v>
      </c>
      <c r="L781">
        <v>1200</v>
      </c>
      <c r="M781">
        <v>1200</v>
      </c>
      <c r="N781" t="s">
        <v>1789</v>
      </c>
    </row>
    <row r="782" spans="1:14" x14ac:dyDescent="0.2">
      <c r="A782" t="s">
        <v>514</v>
      </c>
      <c r="B782" t="s">
        <v>266</v>
      </c>
      <c r="C782">
        <v>1507</v>
      </c>
      <c r="D782" t="s">
        <v>76</v>
      </c>
      <c r="E782" s="1">
        <v>45550</v>
      </c>
      <c r="F782">
        <v>3</v>
      </c>
      <c r="G782" t="s">
        <v>32</v>
      </c>
      <c r="H782" t="s">
        <v>47</v>
      </c>
      <c r="I782" t="s">
        <v>1802</v>
      </c>
      <c r="J782" t="s">
        <v>1275</v>
      </c>
      <c r="K782">
        <v>3000</v>
      </c>
      <c r="L782">
        <v>1200</v>
      </c>
      <c r="M782">
        <v>3600</v>
      </c>
      <c r="N782" t="s">
        <v>1803</v>
      </c>
    </row>
    <row r="783" spans="1:14" x14ac:dyDescent="0.2">
      <c r="A783" t="s">
        <v>222</v>
      </c>
      <c r="B783" t="s">
        <v>531</v>
      </c>
      <c r="C783">
        <v>1521</v>
      </c>
      <c r="D783" t="s">
        <v>76</v>
      </c>
      <c r="E783" s="1">
        <v>45362</v>
      </c>
      <c r="F783">
        <v>2</v>
      </c>
      <c r="G783" t="s">
        <v>32</v>
      </c>
      <c r="H783" t="s">
        <v>47</v>
      </c>
      <c r="I783" t="s">
        <v>1830</v>
      </c>
      <c r="J783" t="s">
        <v>1247</v>
      </c>
      <c r="K783">
        <v>3350</v>
      </c>
      <c r="L783">
        <v>1200</v>
      </c>
      <c r="M783">
        <v>2400</v>
      </c>
      <c r="N783" t="s">
        <v>1831</v>
      </c>
    </row>
    <row r="784" spans="1:14" x14ac:dyDescent="0.2">
      <c r="A784" t="s">
        <v>88</v>
      </c>
      <c r="B784" t="s">
        <v>532</v>
      </c>
      <c r="C784">
        <v>1522</v>
      </c>
      <c r="D784" t="s">
        <v>76</v>
      </c>
      <c r="E784" s="1">
        <v>45372</v>
      </c>
      <c r="F784">
        <v>3</v>
      </c>
      <c r="G784" t="s">
        <v>52</v>
      </c>
      <c r="H784" t="s">
        <v>47</v>
      </c>
      <c r="I784" t="s">
        <v>1832</v>
      </c>
      <c r="J784" t="s">
        <v>1256</v>
      </c>
      <c r="K784">
        <v>3220</v>
      </c>
      <c r="L784">
        <v>1200</v>
      </c>
      <c r="M784">
        <v>3600</v>
      </c>
      <c r="N784" t="s">
        <v>1833</v>
      </c>
    </row>
    <row r="785" spans="1:14" x14ac:dyDescent="0.2">
      <c r="A785" t="s">
        <v>364</v>
      </c>
      <c r="B785" t="s">
        <v>533</v>
      </c>
      <c r="C785">
        <v>1523</v>
      </c>
      <c r="D785" t="s">
        <v>42</v>
      </c>
      <c r="E785" s="1">
        <v>45496</v>
      </c>
      <c r="F785">
        <v>1</v>
      </c>
      <c r="G785" t="s">
        <v>71</v>
      </c>
      <c r="H785" t="s">
        <v>47</v>
      </c>
      <c r="I785" t="s">
        <v>1834</v>
      </c>
      <c r="J785" t="s">
        <v>1247</v>
      </c>
      <c r="K785">
        <v>3350</v>
      </c>
      <c r="L785">
        <v>300</v>
      </c>
      <c r="M785">
        <v>300</v>
      </c>
      <c r="N785" t="s">
        <v>1835</v>
      </c>
    </row>
    <row r="786" spans="1:14" x14ac:dyDescent="0.2">
      <c r="A786" t="s">
        <v>542</v>
      </c>
      <c r="B786" t="s">
        <v>201</v>
      </c>
      <c r="C786">
        <v>1532</v>
      </c>
      <c r="D786" t="s">
        <v>42</v>
      </c>
      <c r="E786" s="1">
        <v>45459</v>
      </c>
      <c r="F786">
        <v>1</v>
      </c>
      <c r="G786" t="s">
        <v>32</v>
      </c>
      <c r="H786" t="s">
        <v>47</v>
      </c>
      <c r="I786" t="s">
        <v>1852</v>
      </c>
      <c r="J786" t="s">
        <v>1247</v>
      </c>
      <c r="K786">
        <v>3350</v>
      </c>
      <c r="L786">
        <v>300</v>
      </c>
      <c r="M786">
        <v>300</v>
      </c>
      <c r="N786" t="s">
        <v>1853</v>
      </c>
    </row>
    <row r="787" spans="1:14" x14ac:dyDescent="0.2">
      <c r="A787" t="s">
        <v>547</v>
      </c>
      <c r="B787" t="s">
        <v>56</v>
      </c>
      <c r="C787">
        <v>1535</v>
      </c>
      <c r="D787" t="s">
        <v>92</v>
      </c>
      <c r="E787" s="1">
        <v>45297</v>
      </c>
      <c r="F787">
        <v>1</v>
      </c>
      <c r="G787" t="s">
        <v>32</v>
      </c>
      <c r="H787" t="s">
        <v>47</v>
      </c>
      <c r="I787" t="s">
        <v>1858</v>
      </c>
      <c r="J787" t="s">
        <v>1256</v>
      </c>
      <c r="K787">
        <v>3220</v>
      </c>
      <c r="L787">
        <v>600</v>
      </c>
      <c r="M787">
        <v>600</v>
      </c>
      <c r="N787" t="s">
        <v>1859</v>
      </c>
    </row>
    <row r="788" spans="1:14" x14ac:dyDescent="0.2">
      <c r="A788" t="s">
        <v>344</v>
      </c>
      <c r="B788" t="s">
        <v>128</v>
      </c>
      <c r="C788">
        <v>1537</v>
      </c>
      <c r="D788" t="s">
        <v>31</v>
      </c>
      <c r="E788" s="1">
        <v>45400</v>
      </c>
      <c r="F788">
        <v>1</v>
      </c>
      <c r="G788" t="s">
        <v>32</v>
      </c>
      <c r="H788" t="s">
        <v>47</v>
      </c>
      <c r="I788" t="s">
        <v>1862</v>
      </c>
      <c r="J788" t="s">
        <v>1256</v>
      </c>
      <c r="K788">
        <v>3220</v>
      </c>
      <c r="L788">
        <v>250</v>
      </c>
      <c r="M788">
        <v>250</v>
      </c>
      <c r="N788" t="s">
        <v>1863</v>
      </c>
    </row>
    <row r="789" spans="1:14" x14ac:dyDescent="0.2">
      <c r="A789" t="s">
        <v>556</v>
      </c>
      <c r="B789" t="s">
        <v>66</v>
      </c>
      <c r="C789">
        <v>1543</v>
      </c>
      <c r="D789" t="s">
        <v>51</v>
      </c>
      <c r="E789" s="1">
        <v>45428</v>
      </c>
      <c r="F789">
        <v>2</v>
      </c>
      <c r="G789" t="s">
        <v>71</v>
      </c>
      <c r="H789" t="s">
        <v>47</v>
      </c>
      <c r="I789" t="s">
        <v>1874</v>
      </c>
      <c r="J789" t="s">
        <v>1275</v>
      </c>
      <c r="K789">
        <v>3000</v>
      </c>
      <c r="L789">
        <v>250</v>
      </c>
      <c r="M789">
        <v>500</v>
      </c>
      <c r="N789" t="s">
        <v>1875</v>
      </c>
    </row>
    <row r="790" spans="1:14" x14ac:dyDescent="0.2">
      <c r="A790" t="s">
        <v>560</v>
      </c>
      <c r="B790" t="s">
        <v>561</v>
      </c>
      <c r="C790">
        <v>1547</v>
      </c>
      <c r="D790" t="s">
        <v>76</v>
      </c>
      <c r="E790" s="1">
        <v>45423</v>
      </c>
      <c r="F790">
        <v>3</v>
      </c>
      <c r="G790" t="s">
        <v>38</v>
      </c>
      <c r="H790" t="s">
        <v>47</v>
      </c>
      <c r="I790" t="s">
        <v>1882</v>
      </c>
      <c r="J790" t="s">
        <v>1247</v>
      </c>
      <c r="K790">
        <v>3350</v>
      </c>
      <c r="L790">
        <v>1200</v>
      </c>
      <c r="M790">
        <v>3600</v>
      </c>
      <c r="N790" t="s">
        <v>1883</v>
      </c>
    </row>
    <row r="791" spans="1:14" x14ac:dyDescent="0.2">
      <c r="A791" t="s">
        <v>355</v>
      </c>
      <c r="B791" t="s">
        <v>563</v>
      </c>
      <c r="C791">
        <v>1549</v>
      </c>
      <c r="D791" t="s">
        <v>51</v>
      </c>
      <c r="E791" s="1">
        <v>45614</v>
      </c>
      <c r="F791">
        <v>1</v>
      </c>
      <c r="G791" t="s">
        <v>71</v>
      </c>
      <c r="H791" t="s">
        <v>47</v>
      </c>
      <c r="I791" t="s">
        <v>1886</v>
      </c>
      <c r="J791" t="s">
        <v>1275</v>
      </c>
      <c r="K791">
        <v>3000</v>
      </c>
      <c r="L791">
        <v>250</v>
      </c>
      <c r="M791">
        <v>250</v>
      </c>
      <c r="N791" t="s">
        <v>1887</v>
      </c>
    </row>
    <row r="792" spans="1:14" x14ac:dyDescent="0.2">
      <c r="A792" t="s">
        <v>568</v>
      </c>
      <c r="B792" t="s">
        <v>569</v>
      </c>
      <c r="C792">
        <v>1552</v>
      </c>
      <c r="D792" t="s">
        <v>51</v>
      </c>
      <c r="E792" s="1">
        <v>45324</v>
      </c>
      <c r="F792">
        <v>2</v>
      </c>
      <c r="G792" t="s">
        <v>52</v>
      </c>
      <c r="H792" t="s">
        <v>47</v>
      </c>
      <c r="I792" t="s">
        <v>1892</v>
      </c>
      <c r="J792" t="s">
        <v>1256</v>
      </c>
      <c r="K792">
        <v>3220</v>
      </c>
      <c r="L792">
        <v>250</v>
      </c>
      <c r="M792">
        <v>500</v>
      </c>
      <c r="N792" t="s">
        <v>1893</v>
      </c>
    </row>
    <row r="793" spans="1:14" x14ac:dyDescent="0.2">
      <c r="A793" t="s">
        <v>589</v>
      </c>
      <c r="B793" t="s">
        <v>590</v>
      </c>
      <c r="C793">
        <v>1566</v>
      </c>
      <c r="D793" t="s">
        <v>42</v>
      </c>
      <c r="E793" s="1">
        <v>45611</v>
      </c>
      <c r="F793">
        <v>3</v>
      </c>
      <c r="G793" t="s">
        <v>32</v>
      </c>
      <c r="H793" t="s">
        <v>47</v>
      </c>
      <c r="I793" t="s">
        <v>1920</v>
      </c>
      <c r="J793" t="s">
        <v>1247</v>
      </c>
      <c r="K793">
        <v>3350</v>
      </c>
      <c r="L793">
        <v>300</v>
      </c>
      <c r="M793">
        <v>900</v>
      </c>
      <c r="N793" t="s">
        <v>1921</v>
      </c>
    </row>
    <row r="794" spans="1:14" x14ac:dyDescent="0.2">
      <c r="A794" t="s">
        <v>603</v>
      </c>
      <c r="B794" t="s">
        <v>604</v>
      </c>
      <c r="C794">
        <v>1577</v>
      </c>
      <c r="D794" t="s">
        <v>76</v>
      </c>
      <c r="E794" s="1">
        <v>45535</v>
      </c>
      <c r="F794">
        <v>1</v>
      </c>
      <c r="G794" t="s">
        <v>52</v>
      </c>
      <c r="H794" t="s">
        <v>47</v>
      </c>
      <c r="I794" t="s">
        <v>1942</v>
      </c>
      <c r="J794" t="s">
        <v>1247</v>
      </c>
      <c r="K794">
        <v>3350</v>
      </c>
      <c r="L794">
        <v>1200</v>
      </c>
      <c r="M794">
        <v>1200</v>
      </c>
      <c r="N794" t="s">
        <v>1943</v>
      </c>
    </row>
    <row r="795" spans="1:14" x14ac:dyDescent="0.2">
      <c r="A795" t="s">
        <v>634</v>
      </c>
      <c r="B795" t="s">
        <v>635</v>
      </c>
      <c r="C795">
        <v>1605</v>
      </c>
      <c r="D795" t="s">
        <v>76</v>
      </c>
      <c r="E795" s="1">
        <v>45353</v>
      </c>
      <c r="F795">
        <v>3</v>
      </c>
      <c r="G795" t="s">
        <v>52</v>
      </c>
      <c r="H795" t="s">
        <v>47</v>
      </c>
      <c r="I795" t="s">
        <v>1998</v>
      </c>
      <c r="J795" t="s">
        <v>1256</v>
      </c>
      <c r="K795">
        <v>3220</v>
      </c>
      <c r="L795">
        <v>1200</v>
      </c>
      <c r="M795">
        <v>3600</v>
      </c>
      <c r="N795" t="s">
        <v>1999</v>
      </c>
    </row>
    <row r="796" spans="1:14" x14ac:dyDescent="0.2">
      <c r="A796" t="s">
        <v>648</v>
      </c>
      <c r="B796" t="s">
        <v>123</v>
      </c>
      <c r="C796">
        <v>1625</v>
      </c>
      <c r="D796" t="s">
        <v>51</v>
      </c>
      <c r="E796" s="1">
        <v>45443</v>
      </c>
      <c r="F796">
        <v>3</v>
      </c>
      <c r="G796" t="s">
        <v>71</v>
      </c>
      <c r="H796" t="s">
        <v>47</v>
      </c>
      <c r="I796" t="s">
        <v>2040</v>
      </c>
      <c r="J796" t="s">
        <v>1247</v>
      </c>
      <c r="K796">
        <v>3350</v>
      </c>
      <c r="L796">
        <v>250</v>
      </c>
      <c r="M796">
        <v>750</v>
      </c>
      <c r="N796" t="s">
        <v>2041</v>
      </c>
    </row>
    <row r="797" spans="1:14" x14ac:dyDescent="0.2">
      <c r="A797" t="s">
        <v>662</v>
      </c>
      <c r="B797" t="s">
        <v>663</v>
      </c>
      <c r="C797">
        <v>1628</v>
      </c>
      <c r="D797" t="s">
        <v>37</v>
      </c>
      <c r="E797" s="1">
        <v>45591</v>
      </c>
      <c r="F797">
        <v>3</v>
      </c>
      <c r="G797" t="s">
        <v>52</v>
      </c>
      <c r="H797" t="s">
        <v>47</v>
      </c>
      <c r="I797" t="s">
        <v>2046</v>
      </c>
      <c r="J797" t="s">
        <v>1247</v>
      </c>
      <c r="K797">
        <v>3350</v>
      </c>
      <c r="L797">
        <v>800</v>
      </c>
      <c r="M797">
        <v>2400</v>
      </c>
      <c r="N797" t="s">
        <v>2047</v>
      </c>
    </row>
    <row r="798" spans="1:14" x14ac:dyDescent="0.2">
      <c r="A798" t="s">
        <v>665</v>
      </c>
      <c r="B798" t="s">
        <v>459</v>
      </c>
      <c r="C798">
        <v>1632</v>
      </c>
      <c r="D798" t="s">
        <v>92</v>
      </c>
      <c r="E798" s="1">
        <v>45352</v>
      </c>
      <c r="F798">
        <v>3</v>
      </c>
      <c r="G798" t="s">
        <v>32</v>
      </c>
      <c r="H798" t="s">
        <v>47</v>
      </c>
      <c r="I798" t="s">
        <v>2054</v>
      </c>
      <c r="J798" t="s">
        <v>1275</v>
      </c>
      <c r="K798">
        <v>3000</v>
      </c>
      <c r="L798">
        <v>600</v>
      </c>
      <c r="M798">
        <v>1800</v>
      </c>
      <c r="N798" t="s">
        <v>2055</v>
      </c>
    </row>
    <row r="799" spans="1:14" x14ac:dyDescent="0.2">
      <c r="A799" t="s">
        <v>669</v>
      </c>
      <c r="B799" t="s">
        <v>270</v>
      </c>
      <c r="C799">
        <v>1635</v>
      </c>
      <c r="D799" t="s">
        <v>76</v>
      </c>
      <c r="E799" s="1">
        <v>45529</v>
      </c>
      <c r="F799">
        <v>2</v>
      </c>
      <c r="G799" t="s">
        <v>32</v>
      </c>
      <c r="H799" t="s">
        <v>47</v>
      </c>
      <c r="I799" t="s">
        <v>2060</v>
      </c>
      <c r="J799" t="s">
        <v>1275</v>
      </c>
      <c r="K799">
        <v>3000</v>
      </c>
      <c r="L799">
        <v>1200</v>
      </c>
      <c r="M799">
        <v>2400</v>
      </c>
      <c r="N799" t="s">
        <v>2061</v>
      </c>
    </row>
    <row r="800" spans="1:14" x14ac:dyDescent="0.2">
      <c r="A800" t="s">
        <v>65</v>
      </c>
      <c r="B800" t="s">
        <v>670</v>
      </c>
      <c r="C800">
        <v>1636</v>
      </c>
      <c r="D800" t="s">
        <v>31</v>
      </c>
      <c r="E800" s="1">
        <v>45503</v>
      </c>
      <c r="F800">
        <v>2</v>
      </c>
      <c r="G800" t="s">
        <v>71</v>
      </c>
      <c r="H800" t="s">
        <v>47</v>
      </c>
      <c r="I800" t="s">
        <v>2062</v>
      </c>
      <c r="J800" t="s">
        <v>1275</v>
      </c>
      <c r="K800">
        <v>3000</v>
      </c>
      <c r="L800">
        <v>250</v>
      </c>
      <c r="M800">
        <v>500</v>
      </c>
      <c r="N800" t="s">
        <v>2063</v>
      </c>
    </row>
    <row r="801" spans="1:14" x14ac:dyDescent="0.2">
      <c r="A801" t="s">
        <v>674</v>
      </c>
      <c r="B801" t="s">
        <v>451</v>
      </c>
      <c r="C801">
        <v>1639</v>
      </c>
      <c r="D801" t="s">
        <v>51</v>
      </c>
      <c r="E801" s="1">
        <v>45337</v>
      </c>
      <c r="F801">
        <v>3</v>
      </c>
      <c r="G801" t="s">
        <v>71</v>
      </c>
      <c r="H801" t="s">
        <v>47</v>
      </c>
      <c r="I801" t="s">
        <v>2068</v>
      </c>
      <c r="J801" t="s">
        <v>1275</v>
      </c>
      <c r="K801">
        <v>3000</v>
      </c>
      <c r="L801">
        <v>250</v>
      </c>
      <c r="M801">
        <v>750</v>
      </c>
      <c r="N801" t="s">
        <v>2069</v>
      </c>
    </row>
    <row r="802" spans="1:14" x14ac:dyDescent="0.2">
      <c r="A802" t="s">
        <v>665</v>
      </c>
      <c r="B802" t="s">
        <v>681</v>
      </c>
      <c r="C802">
        <v>1643</v>
      </c>
      <c r="D802" t="s">
        <v>31</v>
      </c>
      <c r="E802" s="1">
        <v>45511</v>
      </c>
      <c r="F802">
        <v>1</v>
      </c>
      <c r="G802" t="s">
        <v>38</v>
      </c>
      <c r="H802" t="s">
        <v>47</v>
      </c>
      <c r="I802" t="s">
        <v>2076</v>
      </c>
      <c r="J802" t="s">
        <v>1256</v>
      </c>
      <c r="K802">
        <v>3220</v>
      </c>
      <c r="L802">
        <v>250</v>
      </c>
      <c r="M802">
        <v>250</v>
      </c>
      <c r="N802" t="s">
        <v>2077</v>
      </c>
    </row>
    <row r="803" spans="1:14" x14ac:dyDescent="0.2">
      <c r="A803" t="s">
        <v>686</v>
      </c>
      <c r="B803" t="s">
        <v>687</v>
      </c>
      <c r="C803">
        <v>1648</v>
      </c>
      <c r="D803" t="s">
        <v>51</v>
      </c>
      <c r="E803" s="1">
        <v>45447</v>
      </c>
      <c r="F803">
        <v>1</v>
      </c>
      <c r="G803" t="s">
        <v>32</v>
      </c>
      <c r="H803" t="s">
        <v>47</v>
      </c>
      <c r="I803" t="s">
        <v>2086</v>
      </c>
      <c r="J803" t="s">
        <v>1256</v>
      </c>
      <c r="K803">
        <v>3220</v>
      </c>
      <c r="L803">
        <v>250</v>
      </c>
      <c r="M803">
        <v>250</v>
      </c>
      <c r="N803" t="s">
        <v>2087</v>
      </c>
    </row>
    <row r="804" spans="1:14" x14ac:dyDescent="0.2">
      <c r="A804" t="s">
        <v>718</v>
      </c>
      <c r="B804" t="s">
        <v>719</v>
      </c>
      <c r="C804">
        <v>1674</v>
      </c>
      <c r="D804" t="s">
        <v>31</v>
      </c>
      <c r="E804" s="1">
        <v>45468</v>
      </c>
      <c r="F804">
        <v>1</v>
      </c>
      <c r="G804" t="s">
        <v>52</v>
      </c>
      <c r="H804" t="s">
        <v>47</v>
      </c>
      <c r="I804" t="s">
        <v>2138</v>
      </c>
      <c r="J804" t="s">
        <v>1247</v>
      </c>
      <c r="K804">
        <v>3350</v>
      </c>
      <c r="L804">
        <v>250</v>
      </c>
      <c r="M804">
        <v>250</v>
      </c>
      <c r="N804" t="s">
        <v>2139</v>
      </c>
    </row>
    <row r="805" spans="1:14" x14ac:dyDescent="0.2">
      <c r="A805" t="s">
        <v>720</v>
      </c>
      <c r="B805" t="s">
        <v>721</v>
      </c>
      <c r="C805">
        <v>1675</v>
      </c>
      <c r="D805" t="s">
        <v>76</v>
      </c>
      <c r="E805" s="1">
        <v>45611</v>
      </c>
      <c r="F805">
        <v>2</v>
      </c>
      <c r="G805" t="s">
        <v>32</v>
      </c>
      <c r="H805" t="s">
        <v>47</v>
      </c>
      <c r="I805" t="s">
        <v>2140</v>
      </c>
      <c r="J805" t="s">
        <v>1247</v>
      </c>
      <c r="K805">
        <v>3350</v>
      </c>
      <c r="L805">
        <v>1200</v>
      </c>
      <c r="M805">
        <v>2400</v>
      </c>
      <c r="N805" t="s">
        <v>2141</v>
      </c>
    </row>
    <row r="806" spans="1:14" x14ac:dyDescent="0.2">
      <c r="A806" t="s">
        <v>722</v>
      </c>
      <c r="B806" t="s">
        <v>723</v>
      </c>
      <c r="C806">
        <v>1676</v>
      </c>
      <c r="D806" t="s">
        <v>37</v>
      </c>
      <c r="E806" s="1">
        <v>45469</v>
      </c>
      <c r="F806">
        <v>2</v>
      </c>
      <c r="G806" t="s">
        <v>52</v>
      </c>
      <c r="H806" t="s">
        <v>47</v>
      </c>
      <c r="I806" t="s">
        <v>2142</v>
      </c>
      <c r="J806" t="s">
        <v>1247</v>
      </c>
      <c r="K806">
        <v>3350</v>
      </c>
      <c r="L806">
        <v>800</v>
      </c>
      <c r="M806">
        <v>1600</v>
      </c>
      <c r="N806" t="s">
        <v>2143</v>
      </c>
    </row>
    <row r="807" spans="1:14" x14ac:dyDescent="0.2">
      <c r="A807" t="s">
        <v>733</v>
      </c>
      <c r="B807" t="s">
        <v>599</v>
      </c>
      <c r="C807">
        <v>1684</v>
      </c>
      <c r="D807" t="s">
        <v>31</v>
      </c>
      <c r="E807" s="1">
        <v>45322</v>
      </c>
      <c r="F807">
        <v>3</v>
      </c>
      <c r="G807" t="s">
        <v>38</v>
      </c>
      <c r="H807" t="s">
        <v>47</v>
      </c>
      <c r="I807" t="s">
        <v>2158</v>
      </c>
      <c r="J807" t="s">
        <v>1256</v>
      </c>
      <c r="K807">
        <v>3220</v>
      </c>
      <c r="L807">
        <v>250</v>
      </c>
      <c r="M807">
        <v>750</v>
      </c>
      <c r="N807" t="s">
        <v>2159</v>
      </c>
    </row>
    <row r="808" spans="1:14" x14ac:dyDescent="0.2">
      <c r="A808" t="s">
        <v>751</v>
      </c>
      <c r="B808" t="s">
        <v>752</v>
      </c>
      <c r="C808">
        <v>1698</v>
      </c>
      <c r="D808" t="s">
        <v>51</v>
      </c>
      <c r="E808" s="1">
        <v>45369</v>
      </c>
      <c r="F808">
        <v>3</v>
      </c>
      <c r="G808" t="s">
        <v>52</v>
      </c>
      <c r="H808" t="s">
        <v>47</v>
      </c>
      <c r="I808" t="s">
        <v>2186</v>
      </c>
      <c r="J808" t="s">
        <v>1256</v>
      </c>
      <c r="K808">
        <v>3220</v>
      </c>
      <c r="L808">
        <v>250</v>
      </c>
      <c r="M808">
        <v>750</v>
      </c>
      <c r="N808" t="s">
        <v>2187</v>
      </c>
    </row>
    <row r="809" spans="1:14" x14ac:dyDescent="0.2">
      <c r="A809" t="s">
        <v>407</v>
      </c>
      <c r="B809" t="s">
        <v>729</v>
      </c>
      <c r="C809">
        <v>1710</v>
      </c>
      <c r="D809" t="s">
        <v>51</v>
      </c>
      <c r="E809" s="1">
        <v>45424</v>
      </c>
      <c r="F809">
        <v>2</v>
      </c>
      <c r="G809" t="s">
        <v>32</v>
      </c>
      <c r="H809" t="s">
        <v>47</v>
      </c>
      <c r="I809" t="s">
        <v>2210</v>
      </c>
      <c r="J809" t="s">
        <v>1275</v>
      </c>
      <c r="K809">
        <v>3000</v>
      </c>
      <c r="L809">
        <v>250</v>
      </c>
      <c r="M809">
        <v>500</v>
      </c>
      <c r="N809" t="s">
        <v>2211</v>
      </c>
    </row>
    <row r="810" spans="1:14" x14ac:dyDescent="0.2">
      <c r="A810" t="s">
        <v>782</v>
      </c>
      <c r="B810" t="s">
        <v>783</v>
      </c>
      <c r="C810">
        <v>1727</v>
      </c>
      <c r="D810" t="s">
        <v>92</v>
      </c>
      <c r="E810" s="1">
        <v>45612</v>
      </c>
      <c r="F810">
        <v>2</v>
      </c>
      <c r="G810" t="s">
        <v>52</v>
      </c>
      <c r="H810" t="s">
        <v>47</v>
      </c>
      <c r="I810" t="s">
        <v>2244</v>
      </c>
      <c r="J810" t="s">
        <v>1256</v>
      </c>
      <c r="K810">
        <v>3220</v>
      </c>
      <c r="L810">
        <v>600</v>
      </c>
      <c r="M810">
        <v>1200</v>
      </c>
      <c r="N810" t="s">
        <v>2245</v>
      </c>
    </row>
    <row r="811" spans="1:14" x14ac:dyDescent="0.2">
      <c r="A811" t="s">
        <v>784</v>
      </c>
      <c r="B811" t="s">
        <v>785</v>
      </c>
      <c r="C811">
        <v>1728</v>
      </c>
      <c r="D811" t="s">
        <v>92</v>
      </c>
      <c r="E811" s="1">
        <v>45585</v>
      </c>
      <c r="F811">
        <v>2</v>
      </c>
      <c r="G811" t="s">
        <v>32</v>
      </c>
      <c r="H811" t="s">
        <v>47</v>
      </c>
      <c r="I811" t="s">
        <v>2246</v>
      </c>
      <c r="J811" t="s">
        <v>1247</v>
      </c>
      <c r="K811">
        <v>3350</v>
      </c>
      <c r="L811">
        <v>600</v>
      </c>
      <c r="M811">
        <v>1200</v>
      </c>
      <c r="N811" t="s">
        <v>2247</v>
      </c>
    </row>
    <row r="812" spans="1:14" x14ac:dyDescent="0.2">
      <c r="A812" t="s">
        <v>233</v>
      </c>
      <c r="B812" t="s">
        <v>786</v>
      </c>
      <c r="C812">
        <v>1730</v>
      </c>
      <c r="D812" t="s">
        <v>76</v>
      </c>
      <c r="E812" s="1">
        <v>45409</v>
      </c>
      <c r="F812">
        <v>2</v>
      </c>
      <c r="G812" t="s">
        <v>52</v>
      </c>
      <c r="H812" t="s">
        <v>47</v>
      </c>
      <c r="I812" t="s">
        <v>2250</v>
      </c>
      <c r="J812" t="s">
        <v>1275</v>
      </c>
      <c r="K812">
        <v>3000</v>
      </c>
      <c r="L812">
        <v>1200</v>
      </c>
      <c r="M812">
        <v>2400</v>
      </c>
      <c r="N812" t="s">
        <v>2251</v>
      </c>
    </row>
    <row r="813" spans="1:14" x14ac:dyDescent="0.2">
      <c r="A813" t="s">
        <v>790</v>
      </c>
      <c r="B813" t="s">
        <v>791</v>
      </c>
      <c r="C813">
        <v>1734</v>
      </c>
      <c r="D813" t="s">
        <v>37</v>
      </c>
      <c r="E813" s="1">
        <v>45633</v>
      </c>
      <c r="F813">
        <v>3</v>
      </c>
      <c r="G813" t="s">
        <v>38</v>
      </c>
      <c r="H813" t="s">
        <v>47</v>
      </c>
      <c r="I813" t="s">
        <v>2258</v>
      </c>
      <c r="J813" t="s">
        <v>1275</v>
      </c>
      <c r="K813">
        <v>3000</v>
      </c>
      <c r="L813">
        <v>800</v>
      </c>
      <c r="M813">
        <v>2400</v>
      </c>
      <c r="N813" t="s">
        <v>2259</v>
      </c>
    </row>
    <row r="814" spans="1:14" x14ac:dyDescent="0.2">
      <c r="A814" t="s">
        <v>302</v>
      </c>
      <c r="B814" t="s">
        <v>718</v>
      </c>
      <c r="C814">
        <v>1761</v>
      </c>
      <c r="D814" t="s">
        <v>31</v>
      </c>
      <c r="E814" s="1">
        <v>45297</v>
      </c>
      <c r="F814">
        <v>3</v>
      </c>
      <c r="G814" t="s">
        <v>32</v>
      </c>
      <c r="H814" t="s">
        <v>47</v>
      </c>
      <c r="I814" t="s">
        <v>2312</v>
      </c>
      <c r="J814" t="s">
        <v>1256</v>
      </c>
      <c r="K814">
        <v>3220</v>
      </c>
      <c r="L814">
        <v>250</v>
      </c>
      <c r="M814">
        <v>750</v>
      </c>
      <c r="N814" t="s">
        <v>2313</v>
      </c>
    </row>
    <row r="815" spans="1:14" x14ac:dyDescent="0.2">
      <c r="A815" t="s">
        <v>508</v>
      </c>
      <c r="B815" t="s">
        <v>826</v>
      </c>
      <c r="C815">
        <v>1771</v>
      </c>
      <c r="D815" t="s">
        <v>37</v>
      </c>
      <c r="E815" s="1">
        <v>45297</v>
      </c>
      <c r="F815">
        <v>1</v>
      </c>
      <c r="G815" t="s">
        <v>52</v>
      </c>
      <c r="H815" t="s">
        <v>47</v>
      </c>
      <c r="I815" t="s">
        <v>2332</v>
      </c>
      <c r="J815" t="s">
        <v>1256</v>
      </c>
      <c r="K815">
        <v>3220</v>
      </c>
      <c r="L815">
        <v>800</v>
      </c>
      <c r="M815">
        <v>800</v>
      </c>
      <c r="N815" t="s">
        <v>2333</v>
      </c>
    </row>
    <row r="816" spans="1:14" x14ac:dyDescent="0.2">
      <c r="A816" t="s">
        <v>638</v>
      </c>
      <c r="B816" t="s">
        <v>846</v>
      </c>
      <c r="C816">
        <v>1790</v>
      </c>
      <c r="D816" t="s">
        <v>42</v>
      </c>
      <c r="E816" s="1">
        <v>45428</v>
      </c>
      <c r="F816">
        <v>3</v>
      </c>
      <c r="G816" t="s">
        <v>52</v>
      </c>
      <c r="H816" t="s">
        <v>47</v>
      </c>
      <c r="I816" t="s">
        <v>2370</v>
      </c>
      <c r="J816" t="s">
        <v>1247</v>
      </c>
      <c r="K816">
        <v>3350</v>
      </c>
      <c r="L816">
        <v>300</v>
      </c>
      <c r="M816">
        <v>900</v>
      </c>
      <c r="N816" t="s">
        <v>2371</v>
      </c>
    </row>
    <row r="817" spans="1:14" x14ac:dyDescent="0.2">
      <c r="A817" t="s">
        <v>851</v>
      </c>
      <c r="B817" t="s">
        <v>442</v>
      </c>
      <c r="C817">
        <v>1794</v>
      </c>
      <c r="D817" t="s">
        <v>31</v>
      </c>
      <c r="E817" s="1">
        <v>45401</v>
      </c>
      <c r="F817">
        <v>3</v>
      </c>
      <c r="G817" t="s">
        <v>32</v>
      </c>
      <c r="H817" t="s">
        <v>47</v>
      </c>
      <c r="I817" t="s">
        <v>2378</v>
      </c>
      <c r="J817" t="s">
        <v>1247</v>
      </c>
      <c r="K817">
        <v>3350</v>
      </c>
      <c r="L817">
        <v>250</v>
      </c>
      <c r="M817">
        <v>750</v>
      </c>
      <c r="N817" t="s">
        <v>2379</v>
      </c>
    </row>
    <row r="818" spans="1:14" x14ac:dyDescent="0.2">
      <c r="A818" t="s">
        <v>855</v>
      </c>
      <c r="B818" t="s">
        <v>218</v>
      </c>
      <c r="C818">
        <v>1797</v>
      </c>
      <c r="D818" t="s">
        <v>37</v>
      </c>
      <c r="E818" s="1">
        <v>45606</v>
      </c>
      <c r="F818">
        <v>2</v>
      </c>
      <c r="G818" t="s">
        <v>71</v>
      </c>
      <c r="H818" t="s">
        <v>47</v>
      </c>
      <c r="I818" t="s">
        <v>2384</v>
      </c>
      <c r="J818" t="s">
        <v>1275</v>
      </c>
      <c r="K818">
        <v>3000</v>
      </c>
      <c r="L818">
        <v>800</v>
      </c>
      <c r="M818">
        <v>1600</v>
      </c>
      <c r="N818" t="s">
        <v>2385</v>
      </c>
    </row>
    <row r="819" spans="1:14" x14ac:dyDescent="0.2">
      <c r="A819" t="s">
        <v>187</v>
      </c>
      <c r="B819" t="s">
        <v>555</v>
      </c>
      <c r="C819">
        <v>1799</v>
      </c>
      <c r="D819" t="s">
        <v>51</v>
      </c>
      <c r="E819" s="1">
        <v>45323</v>
      </c>
      <c r="F819">
        <v>1</v>
      </c>
      <c r="G819" t="s">
        <v>52</v>
      </c>
      <c r="H819" t="s">
        <v>47</v>
      </c>
      <c r="I819" t="s">
        <v>2388</v>
      </c>
      <c r="J819" t="s">
        <v>1275</v>
      </c>
      <c r="K819">
        <v>3000</v>
      </c>
      <c r="L819">
        <v>250</v>
      </c>
      <c r="M819">
        <v>250</v>
      </c>
      <c r="N819" t="s">
        <v>2389</v>
      </c>
    </row>
    <row r="820" spans="1:14" x14ac:dyDescent="0.2">
      <c r="A820" t="s">
        <v>857</v>
      </c>
      <c r="B820" t="s">
        <v>500</v>
      </c>
      <c r="C820">
        <v>1801</v>
      </c>
      <c r="D820" t="s">
        <v>42</v>
      </c>
      <c r="E820" s="1">
        <v>45552</v>
      </c>
      <c r="F820">
        <v>3</v>
      </c>
      <c r="G820" t="s">
        <v>32</v>
      </c>
      <c r="H820" t="s">
        <v>47</v>
      </c>
      <c r="I820" t="s">
        <v>2392</v>
      </c>
      <c r="J820" t="s">
        <v>1256</v>
      </c>
      <c r="K820">
        <v>3220</v>
      </c>
      <c r="L820">
        <v>300</v>
      </c>
      <c r="M820">
        <v>900</v>
      </c>
      <c r="N820" t="s">
        <v>2393</v>
      </c>
    </row>
    <row r="821" spans="1:14" x14ac:dyDescent="0.2">
      <c r="A821" t="s">
        <v>469</v>
      </c>
      <c r="B821" t="s">
        <v>863</v>
      </c>
      <c r="C821">
        <v>1807</v>
      </c>
      <c r="D821" t="s">
        <v>51</v>
      </c>
      <c r="E821" s="1">
        <v>45592</v>
      </c>
      <c r="F821">
        <v>3</v>
      </c>
      <c r="G821" t="s">
        <v>38</v>
      </c>
      <c r="H821" t="s">
        <v>47</v>
      </c>
      <c r="I821" t="s">
        <v>2404</v>
      </c>
      <c r="J821" t="s">
        <v>1247</v>
      </c>
      <c r="K821">
        <v>3350</v>
      </c>
      <c r="L821">
        <v>250</v>
      </c>
      <c r="M821">
        <v>750</v>
      </c>
      <c r="N821" t="s">
        <v>2405</v>
      </c>
    </row>
    <row r="822" spans="1:14" x14ac:dyDescent="0.2">
      <c r="A822" t="s">
        <v>877</v>
      </c>
      <c r="B822" t="s">
        <v>87</v>
      </c>
      <c r="C822">
        <v>1820</v>
      </c>
      <c r="D822" t="s">
        <v>76</v>
      </c>
      <c r="E822" s="1">
        <v>45571</v>
      </c>
      <c r="F822">
        <v>3</v>
      </c>
      <c r="G822" t="s">
        <v>32</v>
      </c>
      <c r="H822" t="s">
        <v>47</v>
      </c>
      <c r="I822" t="s">
        <v>2430</v>
      </c>
      <c r="J822" t="s">
        <v>1275</v>
      </c>
      <c r="K822">
        <v>3000</v>
      </c>
      <c r="L822">
        <v>1200</v>
      </c>
      <c r="M822">
        <v>3600</v>
      </c>
      <c r="N822" t="s">
        <v>2431</v>
      </c>
    </row>
    <row r="823" spans="1:14" x14ac:dyDescent="0.2">
      <c r="A823" t="s">
        <v>886</v>
      </c>
      <c r="B823" t="s">
        <v>887</v>
      </c>
      <c r="C823">
        <v>1828</v>
      </c>
      <c r="D823" t="s">
        <v>76</v>
      </c>
      <c r="E823" s="1">
        <v>45601</v>
      </c>
      <c r="F823">
        <v>3</v>
      </c>
      <c r="G823" t="s">
        <v>71</v>
      </c>
      <c r="H823" t="s">
        <v>47</v>
      </c>
      <c r="I823" t="s">
        <v>2446</v>
      </c>
      <c r="J823" t="s">
        <v>1247</v>
      </c>
      <c r="K823">
        <v>3350</v>
      </c>
      <c r="L823">
        <v>1200</v>
      </c>
      <c r="M823">
        <v>3600</v>
      </c>
      <c r="N823" t="s">
        <v>2447</v>
      </c>
    </row>
    <row r="824" spans="1:14" x14ac:dyDescent="0.2">
      <c r="A824" t="s">
        <v>889</v>
      </c>
      <c r="B824" t="s">
        <v>171</v>
      </c>
      <c r="C824">
        <v>1831</v>
      </c>
      <c r="D824" t="s">
        <v>31</v>
      </c>
      <c r="E824" s="1">
        <v>45497</v>
      </c>
      <c r="F824">
        <v>1</v>
      </c>
      <c r="G824" t="s">
        <v>32</v>
      </c>
      <c r="H824" t="s">
        <v>47</v>
      </c>
      <c r="I824" t="s">
        <v>2452</v>
      </c>
      <c r="J824" t="s">
        <v>1247</v>
      </c>
      <c r="K824">
        <v>3350</v>
      </c>
      <c r="L824">
        <v>250</v>
      </c>
      <c r="M824">
        <v>250</v>
      </c>
      <c r="N824" t="s">
        <v>2453</v>
      </c>
    </row>
    <row r="825" spans="1:14" x14ac:dyDescent="0.2">
      <c r="A825" t="s">
        <v>545</v>
      </c>
      <c r="B825" t="s">
        <v>900</v>
      </c>
      <c r="C825">
        <v>1842</v>
      </c>
      <c r="D825" t="s">
        <v>42</v>
      </c>
      <c r="E825" s="1">
        <v>45647</v>
      </c>
      <c r="F825">
        <v>3</v>
      </c>
      <c r="G825" t="s">
        <v>32</v>
      </c>
      <c r="H825" t="s">
        <v>47</v>
      </c>
      <c r="I825" t="s">
        <v>2474</v>
      </c>
      <c r="J825" t="s">
        <v>1275</v>
      </c>
      <c r="K825">
        <v>3000</v>
      </c>
      <c r="L825">
        <v>300</v>
      </c>
      <c r="M825">
        <v>900</v>
      </c>
      <c r="N825" t="s">
        <v>2475</v>
      </c>
    </row>
    <row r="826" spans="1:14" x14ac:dyDescent="0.2">
      <c r="A826" t="s">
        <v>717</v>
      </c>
      <c r="B826" t="s">
        <v>443</v>
      </c>
      <c r="C826">
        <v>1851</v>
      </c>
      <c r="D826" t="s">
        <v>37</v>
      </c>
      <c r="E826" s="1">
        <v>45342</v>
      </c>
      <c r="F826">
        <v>3</v>
      </c>
      <c r="G826" t="s">
        <v>71</v>
      </c>
      <c r="H826" t="s">
        <v>47</v>
      </c>
      <c r="I826" t="s">
        <v>2491</v>
      </c>
      <c r="J826" t="s">
        <v>1247</v>
      </c>
      <c r="K826">
        <v>3350</v>
      </c>
      <c r="L826">
        <v>800</v>
      </c>
      <c r="M826">
        <v>2400</v>
      </c>
      <c r="N826" t="s">
        <v>2492</v>
      </c>
    </row>
    <row r="827" spans="1:14" x14ac:dyDescent="0.2">
      <c r="A827" t="s">
        <v>917</v>
      </c>
      <c r="B827" t="s">
        <v>918</v>
      </c>
      <c r="C827">
        <v>1859</v>
      </c>
      <c r="D827" t="s">
        <v>92</v>
      </c>
      <c r="E827" s="1">
        <v>45350</v>
      </c>
      <c r="F827">
        <v>2</v>
      </c>
      <c r="G827" t="s">
        <v>52</v>
      </c>
      <c r="H827" t="s">
        <v>47</v>
      </c>
      <c r="I827" t="s">
        <v>2507</v>
      </c>
      <c r="J827" t="s">
        <v>1247</v>
      </c>
      <c r="K827">
        <v>3350</v>
      </c>
      <c r="L827">
        <v>600</v>
      </c>
      <c r="M827">
        <v>1200</v>
      </c>
      <c r="N827" t="s">
        <v>2508</v>
      </c>
    </row>
    <row r="828" spans="1:14" x14ac:dyDescent="0.2">
      <c r="A828" t="s">
        <v>171</v>
      </c>
      <c r="B828" t="s">
        <v>932</v>
      </c>
      <c r="C828">
        <v>1871</v>
      </c>
      <c r="D828" t="s">
        <v>51</v>
      </c>
      <c r="E828" s="1">
        <v>45437</v>
      </c>
      <c r="F828">
        <v>3</v>
      </c>
      <c r="G828" t="s">
        <v>52</v>
      </c>
      <c r="H828" t="s">
        <v>47</v>
      </c>
      <c r="I828" t="s">
        <v>2531</v>
      </c>
      <c r="J828" t="s">
        <v>1275</v>
      </c>
      <c r="K828">
        <v>3000</v>
      </c>
      <c r="L828">
        <v>250</v>
      </c>
      <c r="M828">
        <v>750</v>
      </c>
      <c r="N828" t="s">
        <v>2532</v>
      </c>
    </row>
    <row r="829" spans="1:14" x14ac:dyDescent="0.2">
      <c r="A829" t="s">
        <v>933</v>
      </c>
      <c r="B829" t="s">
        <v>934</v>
      </c>
      <c r="C829">
        <v>1872</v>
      </c>
      <c r="D829" t="s">
        <v>42</v>
      </c>
      <c r="E829" s="1">
        <v>45551</v>
      </c>
      <c r="F829">
        <v>1</v>
      </c>
      <c r="G829" t="s">
        <v>52</v>
      </c>
      <c r="H829" t="s">
        <v>47</v>
      </c>
      <c r="I829" t="s">
        <v>2533</v>
      </c>
      <c r="J829" t="s">
        <v>1256</v>
      </c>
      <c r="K829">
        <v>3220</v>
      </c>
      <c r="L829">
        <v>300</v>
      </c>
      <c r="M829">
        <v>300</v>
      </c>
      <c r="N829" t="s">
        <v>2534</v>
      </c>
    </row>
    <row r="830" spans="1:14" x14ac:dyDescent="0.2">
      <c r="A830" t="s">
        <v>241</v>
      </c>
      <c r="B830" t="s">
        <v>221</v>
      </c>
      <c r="C830">
        <v>1873</v>
      </c>
      <c r="D830" t="s">
        <v>51</v>
      </c>
      <c r="E830" s="1">
        <v>45556</v>
      </c>
      <c r="F830">
        <v>1</v>
      </c>
      <c r="G830" t="s">
        <v>38</v>
      </c>
      <c r="H830" t="s">
        <v>47</v>
      </c>
      <c r="I830" t="s">
        <v>2535</v>
      </c>
      <c r="J830" t="s">
        <v>1275</v>
      </c>
      <c r="K830">
        <v>3000</v>
      </c>
      <c r="L830">
        <v>250</v>
      </c>
      <c r="M830">
        <v>250</v>
      </c>
      <c r="N830" t="s">
        <v>2536</v>
      </c>
    </row>
    <row r="831" spans="1:14" x14ac:dyDescent="0.2">
      <c r="A831" t="s">
        <v>362</v>
      </c>
      <c r="B831" t="s">
        <v>475</v>
      </c>
      <c r="C831">
        <v>1874</v>
      </c>
      <c r="D831" t="s">
        <v>76</v>
      </c>
      <c r="E831" s="1">
        <v>45486</v>
      </c>
      <c r="F831">
        <v>3</v>
      </c>
      <c r="G831" t="s">
        <v>32</v>
      </c>
      <c r="H831" t="s">
        <v>47</v>
      </c>
      <c r="I831" t="s">
        <v>2537</v>
      </c>
      <c r="J831" t="s">
        <v>1247</v>
      </c>
      <c r="K831">
        <v>3350</v>
      </c>
      <c r="L831">
        <v>1200</v>
      </c>
      <c r="M831">
        <v>3600</v>
      </c>
      <c r="N831" t="s">
        <v>2538</v>
      </c>
    </row>
    <row r="832" spans="1:14" x14ac:dyDescent="0.2">
      <c r="A832" t="s">
        <v>936</v>
      </c>
      <c r="B832" t="s">
        <v>937</v>
      </c>
      <c r="C832">
        <v>1877</v>
      </c>
      <c r="D832" t="s">
        <v>37</v>
      </c>
      <c r="E832" s="1">
        <v>45402</v>
      </c>
      <c r="F832">
        <v>3</v>
      </c>
      <c r="G832" t="s">
        <v>32</v>
      </c>
      <c r="H832" t="s">
        <v>47</v>
      </c>
      <c r="I832" t="s">
        <v>2543</v>
      </c>
      <c r="J832" t="s">
        <v>1275</v>
      </c>
      <c r="K832">
        <v>3000</v>
      </c>
      <c r="L832">
        <v>800</v>
      </c>
      <c r="M832">
        <v>2400</v>
      </c>
      <c r="N832" t="s">
        <v>2544</v>
      </c>
    </row>
    <row r="833" spans="1:14" x14ac:dyDescent="0.2">
      <c r="A833" t="s">
        <v>325</v>
      </c>
      <c r="B833" t="s">
        <v>879</v>
      </c>
      <c r="C833">
        <v>1884</v>
      </c>
      <c r="D833" t="s">
        <v>37</v>
      </c>
      <c r="E833" s="1">
        <v>45470</v>
      </c>
      <c r="F833">
        <v>2</v>
      </c>
      <c r="G833" t="s">
        <v>52</v>
      </c>
      <c r="H833" t="s">
        <v>47</v>
      </c>
      <c r="I833" t="s">
        <v>2557</v>
      </c>
      <c r="J833" t="s">
        <v>1275</v>
      </c>
      <c r="K833">
        <v>3000</v>
      </c>
      <c r="L833">
        <v>800</v>
      </c>
      <c r="M833">
        <v>1600</v>
      </c>
      <c r="N833" t="s">
        <v>2558</v>
      </c>
    </row>
    <row r="834" spans="1:14" x14ac:dyDescent="0.2">
      <c r="A834" t="s">
        <v>958</v>
      </c>
      <c r="B834" t="s">
        <v>959</v>
      </c>
      <c r="C834">
        <v>1896</v>
      </c>
      <c r="D834" t="s">
        <v>51</v>
      </c>
      <c r="E834" s="1">
        <v>45311</v>
      </c>
      <c r="F834">
        <v>2</v>
      </c>
      <c r="G834" t="s">
        <v>52</v>
      </c>
      <c r="H834" t="s">
        <v>47</v>
      </c>
      <c r="I834" t="s">
        <v>2581</v>
      </c>
      <c r="J834" t="s">
        <v>1275</v>
      </c>
      <c r="K834">
        <v>3000</v>
      </c>
      <c r="L834">
        <v>250</v>
      </c>
      <c r="M834">
        <v>500</v>
      </c>
      <c r="N834" t="s">
        <v>2582</v>
      </c>
    </row>
    <row r="835" spans="1:14" x14ac:dyDescent="0.2">
      <c r="A835" t="s">
        <v>284</v>
      </c>
      <c r="B835" t="s">
        <v>965</v>
      </c>
      <c r="C835">
        <v>1904</v>
      </c>
      <c r="D835" t="s">
        <v>76</v>
      </c>
      <c r="E835" s="1">
        <v>45471</v>
      </c>
      <c r="F835">
        <v>3</v>
      </c>
      <c r="G835" t="s">
        <v>52</v>
      </c>
      <c r="H835" t="s">
        <v>47</v>
      </c>
      <c r="I835" t="s">
        <v>2597</v>
      </c>
      <c r="J835" t="s">
        <v>1247</v>
      </c>
      <c r="K835">
        <v>3350</v>
      </c>
      <c r="L835">
        <v>1200</v>
      </c>
      <c r="M835">
        <v>3600</v>
      </c>
      <c r="N835" t="s">
        <v>2598</v>
      </c>
    </row>
    <row r="836" spans="1:14" x14ac:dyDescent="0.2">
      <c r="A836" t="s">
        <v>767</v>
      </c>
      <c r="B836" t="s">
        <v>116</v>
      </c>
      <c r="C836">
        <v>1906</v>
      </c>
      <c r="D836" t="s">
        <v>76</v>
      </c>
      <c r="E836" s="1">
        <v>45503</v>
      </c>
      <c r="F836">
        <v>1</v>
      </c>
      <c r="G836" t="s">
        <v>38</v>
      </c>
      <c r="H836" t="s">
        <v>47</v>
      </c>
      <c r="I836" t="s">
        <v>2601</v>
      </c>
      <c r="J836" t="s">
        <v>1256</v>
      </c>
      <c r="K836">
        <v>3220</v>
      </c>
      <c r="L836">
        <v>1200</v>
      </c>
      <c r="M836">
        <v>1200</v>
      </c>
      <c r="N836" t="s">
        <v>2602</v>
      </c>
    </row>
    <row r="837" spans="1:14" x14ac:dyDescent="0.2">
      <c r="A837" t="s">
        <v>72</v>
      </c>
      <c r="B837" t="s">
        <v>621</v>
      </c>
      <c r="C837">
        <v>1924</v>
      </c>
      <c r="D837" t="s">
        <v>76</v>
      </c>
      <c r="E837" s="1">
        <v>45326</v>
      </c>
      <c r="F837">
        <v>2</v>
      </c>
      <c r="G837" t="s">
        <v>52</v>
      </c>
      <c r="H837" t="s">
        <v>47</v>
      </c>
      <c r="I837" t="s">
        <v>2637</v>
      </c>
      <c r="J837" t="s">
        <v>1275</v>
      </c>
      <c r="K837">
        <v>3000</v>
      </c>
      <c r="L837">
        <v>1200</v>
      </c>
      <c r="M837">
        <v>2400</v>
      </c>
      <c r="N837" t="s">
        <v>2638</v>
      </c>
    </row>
    <row r="838" spans="1:14" x14ac:dyDescent="0.2">
      <c r="A838" t="s">
        <v>547</v>
      </c>
      <c r="B838" t="s">
        <v>993</v>
      </c>
      <c r="C838">
        <v>1931</v>
      </c>
      <c r="D838" t="s">
        <v>37</v>
      </c>
      <c r="E838" s="1">
        <v>45545</v>
      </c>
      <c r="F838">
        <v>2</v>
      </c>
      <c r="G838" t="s">
        <v>52</v>
      </c>
      <c r="H838" t="s">
        <v>47</v>
      </c>
      <c r="I838" t="s">
        <v>2651</v>
      </c>
      <c r="J838" t="s">
        <v>1256</v>
      </c>
      <c r="K838">
        <v>3220</v>
      </c>
      <c r="L838">
        <v>800</v>
      </c>
      <c r="M838">
        <v>1600</v>
      </c>
      <c r="N838" t="s">
        <v>2652</v>
      </c>
    </row>
    <row r="839" spans="1:14" x14ac:dyDescent="0.2">
      <c r="A839" t="s">
        <v>558</v>
      </c>
      <c r="B839" t="s">
        <v>380</v>
      </c>
      <c r="C839">
        <v>1940</v>
      </c>
      <c r="D839" t="s">
        <v>31</v>
      </c>
      <c r="E839" s="1">
        <v>45322</v>
      </c>
      <c r="F839">
        <v>1</v>
      </c>
      <c r="G839" t="s">
        <v>32</v>
      </c>
      <c r="H839" t="s">
        <v>47</v>
      </c>
      <c r="I839" t="s">
        <v>2669</v>
      </c>
      <c r="J839" t="s">
        <v>1256</v>
      </c>
      <c r="K839">
        <v>3220</v>
      </c>
      <c r="L839">
        <v>250</v>
      </c>
      <c r="M839">
        <v>250</v>
      </c>
      <c r="N839" t="s">
        <v>2670</v>
      </c>
    </row>
    <row r="840" spans="1:14" x14ac:dyDescent="0.2">
      <c r="A840" t="s">
        <v>1003</v>
      </c>
      <c r="B840" t="s">
        <v>68</v>
      </c>
      <c r="C840">
        <v>1942</v>
      </c>
      <c r="D840" t="s">
        <v>76</v>
      </c>
      <c r="E840" s="1">
        <v>45466</v>
      </c>
      <c r="F840">
        <v>1</v>
      </c>
      <c r="G840" t="s">
        <v>32</v>
      </c>
      <c r="H840" t="s">
        <v>47</v>
      </c>
      <c r="I840" t="s">
        <v>2673</v>
      </c>
      <c r="J840" t="s">
        <v>1275</v>
      </c>
      <c r="K840">
        <v>3000</v>
      </c>
      <c r="L840">
        <v>1200</v>
      </c>
      <c r="M840">
        <v>1200</v>
      </c>
      <c r="N840" t="s">
        <v>2674</v>
      </c>
    </row>
    <row r="841" spans="1:14" x14ac:dyDescent="0.2">
      <c r="A841" t="s">
        <v>686</v>
      </c>
      <c r="B841" t="s">
        <v>934</v>
      </c>
      <c r="C841">
        <v>1945</v>
      </c>
      <c r="D841" t="s">
        <v>37</v>
      </c>
      <c r="E841" s="1">
        <v>45294</v>
      </c>
      <c r="F841">
        <v>2</v>
      </c>
      <c r="G841" t="s">
        <v>38</v>
      </c>
      <c r="H841" t="s">
        <v>47</v>
      </c>
      <c r="I841" t="s">
        <v>2679</v>
      </c>
      <c r="J841" t="s">
        <v>1247</v>
      </c>
      <c r="K841">
        <v>3350</v>
      </c>
      <c r="L841">
        <v>800</v>
      </c>
      <c r="M841">
        <v>1600</v>
      </c>
      <c r="N841" t="s">
        <v>2680</v>
      </c>
    </row>
    <row r="842" spans="1:14" x14ac:dyDescent="0.2">
      <c r="A842" t="s">
        <v>1016</v>
      </c>
      <c r="B842" t="s">
        <v>649</v>
      </c>
      <c r="C842">
        <v>1961</v>
      </c>
      <c r="D842" t="s">
        <v>31</v>
      </c>
      <c r="E842" s="1">
        <v>45547</v>
      </c>
      <c r="F842">
        <v>3</v>
      </c>
      <c r="G842" t="s">
        <v>52</v>
      </c>
      <c r="H842" t="s">
        <v>47</v>
      </c>
      <c r="I842" t="s">
        <v>2711</v>
      </c>
      <c r="J842" t="s">
        <v>1247</v>
      </c>
      <c r="K842">
        <v>3350</v>
      </c>
      <c r="L842">
        <v>250</v>
      </c>
      <c r="M842">
        <v>750</v>
      </c>
      <c r="N842" t="s">
        <v>2712</v>
      </c>
    </row>
    <row r="843" spans="1:14" x14ac:dyDescent="0.2">
      <c r="A843" t="s">
        <v>269</v>
      </c>
      <c r="B843" t="s">
        <v>883</v>
      </c>
      <c r="C843">
        <v>1962</v>
      </c>
      <c r="D843" t="s">
        <v>92</v>
      </c>
      <c r="E843" s="1">
        <v>45395</v>
      </c>
      <c r="F843">
        <v>3</v>
      </c>
      <c r="G843" t="s">
        <v>71</v>
      </c>
      <c r="H843" t="s">
        <v>47</v>
      </c>
      <c r="I843" t="s">
        <v>2713</v>
      </c>
      <c r="J843" t="s">
        <v>1275</v>
      </c>
      <c r="K843">
        <v>3000</v>
      </c>
      <c r="L843">
        <v>600</v>
      </c>
      <c r="M843">
        <v>1800</v>
      </c>
      <c r="N843" t="s">
        <v>2714</v>
      </c>
    </row>
    <row r="844" spans="1:14" x14ac:dyDescent="0.2">
      <c r="A844" t="s">
        <v>34</v>
      </c>
      <c r="B844" t="s">
        <v>1031</v>
      </c>
      <c r="C844">
        <v>1983</v>
      </c>
      <c r="D844" t="s">
        <v>37</v>
      </c>
      <c r="E844" s="1">
        <v>45359</v>
      </c>
      <c r="F844">
        <v>3</v>
      </c>
      <c r="G844" t="s">
        <v>38</v>
      </c>
      <c r="H844" t="s">
        <v>47</v>
      </c>
      <c r="I844" t="s">
        <v>2755</v>
      </c>
      <c r="J844" t="s">
        <v>1247</v>
      </c>
      <c r="K844">
        <v>3350</v>
      </c>
      <c r="L844">
        <v>800</v>
      </c>
      <c r="M844">
        <v>2400</v>
      </c>
      <c r="N844" t="s">
        <v>2756</v>
      </c>
    </row>
    <row r="845" spans="1:14" x14ac:dyDescent="0.2">
      <c r="A845" t="s">
        <v>396</v>
      </c>
      <c r="B845" t="s">
        <v>778</v>
      </c>
      <c r="C845">
        <v>2002</v>
      </c>
      <c r="D845" t="s">
        <v>76</v>
      </c>
      <c r="E845" s="1">
        <v>45552</v>
      </c>
      <c r="F845">
        <v>2</v>
      </c>
      <c r="G845" t="s">
        <v>52</v>
      </c>
      <c r="H845" t="s">
        <v>47</v>
      </c>
      <c r="I845" t="s">
        <v>2793</v>
      </c>
      <c r="J845" t="s">
        <v>1247</v>
      </c>
      <c r="K845">
        <v>3350</v>
      </c>
      <c r="L845">
        <v>1200</v>
      </c>
      <c r="M845">
        <v>2400</v>
      </c>
      <c r="N845" t="s">
        <v>2794</v>
      </c>
    </row>
    <row r="846" spans="1:14" x14ac:dyDescent="0.2">
      <c r="A846" t="s">
        <v>992</v>
      </c>
      <c r="B846" t="s">
        <v>1051</v>
      </c>
      <c r="C846">
        <v>2011</v>
      </c>
      <c r="D846" t="s">
        <v>92</v>
      </c>
      <c r="E846" s="1">
        <v>45557</v>
      </c>
      <c r="F846">
        <v>3</v>
      </c>
      <c r="G846" t="s">
        <v>32</v>
      </c>
      <c r="H846" t="s">
        <v>47</v>
      </c>
      <c r="I846" t="s">
        <v>2811</v>
      </c>
      <c r="J846" t="s">
        <v>1275</v>
      </c>
      <c r="K846">
        <v>3000</v>
      </c>
      <c r="L846">
        <v>600</v>
      </c>
      <c r="M846">
        <v>1800</v>
      </c>
      <c r="N846" t="s">
        <v>2812</v>
      </c>
    </row>
    <row r="847" spans="1:14" x14ac:dyDescent="0.2">
      <c r="A847" t="s">
        <v>696</v>
      </c>
      <c r="B847" t="s">
        <v>1052</v>
      </c>
      <c r="C847">
        <v>2013</v>
      </c>
      <c r="D847" t="s">
        <v>76</v>
      </c>
      <c r="E847" s="1">
        <v>45585</v>
      </c>
      <c r="F847">
        <v>1</v>
      </c>
      <c r="G847" t="s">
        <v>32</v>
      </c>
      <c r="H847" t="s">
        <v>47</v>
      </c>
      <c r="I847" t="s">
        <v>2815</v>
      </c>
      <c r="J847" t="s">
        <v>1256</v>
      </c>
      <c r="K847">
        <v>3220</v>
      </c>
      <c r="L847">
        <v>1200</v>
      </c>
      <c r="M847">
        <v>1200</v>
      </c>
      <c r="N847" t="s">
        <v>2816</v>
      </c>
    </row>
    <row r="848" spans="1:14" x14ac:dyDescent="0.2">
      <c r="A848" t="s">
        <v>1054</v>
      </c>
      <c r="B848" t="s">
        <v>126</v>
      </c>
      <c r="C848">
        <v>2015</v>
      </c>
      <c r="D848" t="s">
        <v>42</v>
      </c>
      <c r="E848" s="1">
        <v>45456</v>
      </c>
      <c r="F848">
        <v>3</v>
      </c>
      <c r="G848" t="s">
        <v>32</v>
      </c>
      <c r="H848" t="s">
        <v>47</v>
      </c>
      <c r="I848" t="s">
        <v>2819</v>
      </c>
      <c r="J848" t="s">
        <v>1275</v>
      </c>
      <c r="K848">
        <v>3000</v>
      </c>
      <c r="L848">
        <v>300</v>
      </c>
      <c r="M848">
        <v>900</v>
      </c>
      <c r="N848" t="s">
        <v>2820</v>
      </c>
    </row>
    <row r="849" spans="1:14" x14ac:dyDescent="0.2">
      <c r="A849" t="s">
        <v>1057</v>
      </c>
      <c r="B849" t="s">
        <v>1058</v>
      </c>
      <c r="C849">
        <v>2017</v>
      </c>
      <c r="D849" t="s">
        <v>92</v>
      </c>
      <c r="E849" s="1">
        <v>45642</v>
      </c>
      <c r="F849">
        <v>2</v>
      </c>
      <c r="G849" t="s">
        <v>32</v>
      </c>
      <c r="H849" t="s">
        <v>47</v>
      </c>
      <c r="I849" t="s">
        <v>2823</v>
      </c>
      <c r="J849" t="s">
        <v>1275</v>
      </c>
      <c r="K849">
        <v>3000</v>
      </c>
      <c r="L849">
        <v>600</v>
      </c>
      <c r="M849">
        <v>1200</v>
      </c>
      <c r="N849" t="s">
        <v>2824</v>
      </c>
    </row>
    <row r="850" spans="1:14" x14ac:dyDescent="0.2">
      <c r="A850" t="s">
        <v>1063</v>
      </c>
      <c r="B850" t="s">
        <v>602</v>
      </c>
      <c r="C850">
        <v>2025</v>
      </c>
      <c r="D850" t="s">
        <v>76</v>
      </c>
      <c r="E850" s="1">
        <v>45612</v>
      </c>
      <c r="F850">
        <v>3</v>
      </c>
      <c r="G850" t="s">
        <v>32</v>
      </c>
      <c r="H850" t="s">
        <v>47</v>
      </c>
      <c r="I850" t="s">
        <v>2839</v>
      </c>
      <c r="J850" t="s">
        <v>1247</v>
      </c>
      <c r="K850">
        <v>3350</v>
      </c>
      <c r="L850">
        <v>1200</v>
      </c>
      <c r="M850">
        <v>3600</v>
      </c>
      <c r="N850" t="s">
        <v>2840</v>
      </c>
    </row>
    <row r="851" spans="1:14" x14ac:dyDescent="0.2">
      <c r="A851" t="s">
        <v>708</v>
      </c>
      <c r="B851" t="s">
        <v>725</v>
      </c>
      <c r="C851">
        <v>2030</v>
      </c>
      <c r="D851" t="s">
        <v>76</v>
      </c>
      <c r="E851" s="1">
        <v>45546</v>
      </c>
      <c r="F851">
        <v>2</v>
      </c>
      <c r="G851" t="s">
        <v>52</v>
      </c>
      <c r="H851" t="s">
        <v>47</v>
      </c>
      <c r="I851" t="s">
        <v>2849</v>
      </c>
      <c r="J851" t="s">
        <v>1275</v>
      </c>
      <c r="K851">
        <v>3000</v>
      </c>
      <c r="L851">
        <v>1200</v>
      </c>
      <c r="M851">
        <v>2400</v>
      </c>
      <c r="N851" t="s">
        <v>2850</v>
      </c>
    </row>
    <row r="852" spans="1:14" x14ac:dyDescent="0.2">
      <c r="A852" t="s">
        <v>675</v>
      </c>
      <c r="B852" t="s">
        <v>1069</v>
      </c>
      <c r="C852">
        <v>2031</v>
      </c>
      <c r="D852" t="s">
        <v>31</v>
      </c>
      <c r="E852" s="1">
        <v>45492</v>
      </c>
      <c r="F852">
        <v>1</v>
      </c>
      <c r="G852" t="s">
        <v>32</v>
      </c>
      <c r="H852" t="s">
        <v>47</v>
      </c>
      <c r="I852" t="s">
        <v>2851</v>
      </c>
      <c r="J852" t="s">
        <v>1256</v>
      </c>
      <c r="K852">
        <v>3220</v>
      </c>
      <c r="L852">
        <v>250</v>
      </c>
      <c r="M852">
        <v>250</v>
      </c>
      <c r="N852" t="s">
        <v>2852</v>
      </c>
    </row>
    <row r="853" spans="1:14" x14ac:dyDescent="0.2">
      <c r="A853" t="s">
        <v>1046</v>
      </c>
      <c r="B853" t="s">
        <v>845</v>
      </c>
      <c r="C853">
        <v>2033</v>
      </c>
      <c r="D853" t="s">
        <v>42</v>
      </c>
      <c r="E853" s="1">
        <v>45618</v>
      </c>
      <c r="F853">
        <v>2</v>
      </c>
      <c r="G853" t="s">
        <v>52</v>
      </c>
      <c r="H853" t="s">
        <v>47</v>
      </c>
      <c r="I853" t="s">
        <v>2855</v>
      </c>
      <c r="J853" t="s">
        <v>1275</v>
      </c>
      <c r="K853">
        <v>3000</v>
      </c>
      <c r="L853">
        <v>300</v>
      </c>
      <c r="M853">
        <v>600</v>
      </c>
      <c r="N853" t="s">
        <v>2856</v>
      </c>
    </row>
    <row r="854" spans="1:14" x14ac:dyDescent="0.2">
      <c r="A854" t="s">
        <v>203</v>
      </c>
      <c r="B854" t="s">
        <v>1079</v>
      </c>
      <c r="C854">
        <v>2044</v>
      </c>
      <c r="D854" t="s">
        <v>31</v>
      </c>
      <c r="E854" s="1">
        <v>45597</v>
      </c>
      <c r="F854">
        <v>2</v>
      </c>
      <c r="G854" t="s">
        <v>32</v>
      </c>
      <c r="H854" t="s">
        <v>47</v>
      </c>
      <c r="I854" t="s">
        <v>2877</v>
      </c>
      <c r="J854" t="s">
        <v>1256</v>
      </c>
      <c r="K854">
        <v>3220</v>
      </c>
      <c r="L854">
        <v>250</v>
      </c>
      <c r="M854">
        <v>500</v>
      </c>
      <c r="N854" t="s">
        <v>2878</v>
      </c>
    </row>
    <row r="855" spans="1:14" x14ac:dyDescent="0.2">
      <c r="A855" t="s">
        <v>818</v>
      </c>
      <c r="B855" t="s">
        <v>1081</v>
      </c>
      <c r="C855">
        <v>2046</v>
      </c>
      <c r="D855" t="s">
        <v>92</v>
      </c>
      <c r="E855" s="1">
        <v>45512</v>
      </c>
      <c r="F855">
        <v>1</v>
      </c>
      <c r="G855" t="s">
        <v>71</v>
      </c>
      <c r="H855" t="s">
        <v>47</v>
      </c>
      <c r="I855" t="s">
        <v>2881</v>
      </c>
      <c r="J855" t="s">
        <v>1275</v>
      </c>
      <c r="K855">
        <v>3000</v>
      </c>
      <c r="L855">
        <v>600</v>
      </c>
      <c r="M855">
        <v>600</v>
      </c>
      <c r="N855" t="s">
        <v>2882</v>
      </c>
    </row>
    <row r="856" spans="1:14" x14ac:dyDescent="0.2">
      <c r="A856" t="s">
        <v>1092</v>
      </c>
      <c r="B856" t="s">
        <v>664</v>
      </c>
      <c r="C856">
        <v>2055</v>
      </c>
      <c r="D856" t="s">
        <v>42</v>
      </c>
      <c r="E856" s="1">
        <v>45452</v>
      </c>
      <c r="F856">
        <v>1</v>
      </c>
      <c r="G856" t="s">
        <v>32</v>
      </c>
      <c r="H856" t="s">
        <v>47</v>
      </c>
      <c r="I856" t="s">
        <v>2899</v>
      </c>
      <c r="J856" t="s">
        <v>1247</v>
      </c>
      <c r="K856">
        <v>3350</v>
      </c>
      <c r="L856">
        <v>300</v>
      </c>
      <c r="M856">
        <v>300</v>
      </c>
      <c r="N856" t="s">
        <v>2900</v>
      </c>
    </row>
    <row r="857" spans="1:14" x14ac:dyDescent="0.2">
      <c r="A857" t="s">
        <v>547</v>
      </c>
      <c r="B857" t="s">
        <v>395</v>
      </c>
      <c r="C857">
        <v>2060</v>
      </c>
      <c r="D857" t="s">
        <v>51</v>
      </c>
      <c r="E857" s="1">
        <v>45631</v>
      </c>
      <c r="F857">
        <v>1</v>
      </c>
      <c r="G857" t="s">
        <v>71</v>
      </c>
      <c r="H857" t="s">
        <v>47</v>
      </c>
      <c r="I857" t="s">
        <v>2909</v>
      </c>
      <c r="J857" t="s">
        <v>1247</v>
      </c>
      <c r="K857">
        <v>3350</v>
      </c>
      <c r="L857">
        <v>250</v>
      </c>
      <c r="M857">
        <v>250</v>
      </c>
      <c r="N857" t="s">
        <v>2910</v>
      </c>
    </row>
    <row r="858" spans="1:14" x14ac:dyDescent="0.2">
      <c r="A858" t="s">
        <v>589</v>
      </c>
      <c r="B858" t="s">
        <v>721</v>
      </c>
      <c r="C858">
        <v>2074</v>
      </c>
      <c r="D858" t="s">
        <v>31</v>
      </c>
      <c r="E858" s="1">
        <v>45648</v>
      </c>
      <c r="F858">
        <v>2</v>
      </c>
      <c r="G858" t="s">
        <v>38</v>
      </c>
      <c r="H858" t="s">
        <v>47</v>
      </c>
      <c r="I858" t="s">
        <v>2937</v>
      </c>
      <c r="J858" t="s">
        <v>1247</v>
      </c>
      <c r="K858">
        <v>3350</v>
      </c>
      <c r="L858">
        <v>250</v>
      </c>
      <c r="M858">
        <v>500</v>
      </c>
      <c r="N858" t="s">
        <v>2938</v>
      </c>
    </row>
    <row r="859" spans="1:14" x14ac:dyDescent="0.2">
      <c r="A859" t="s">
        <v>485</v>
      </c>
      <c r="B859" t="s">
        <v>1114</v>
      </c>
      <c r="C859">
        <v>2080</v>
      </c>
      <c r="D859" t="s">
        <v>42</v>
      </c>
      <c r="E859" s="1">
        <v>45308</v>
      </c>
      <c r="F859">
        <v>3</v>
      </c>
      <c r="G859" t="s">
        <v>52</v>
      </c>
      <c r="H859" t="s">
        <v>47</v>
      </c>
      <c r="I859" t="s">
        <v>2949</v>
      </c>
      <c r="J859" t="s">
        <v>1256</v>
      </c>
      <c r="K859">
        <v>3220</v>
      </c>
      <c r="L859">
        <v>300</v>
      </c>
      <c r="M859">
        <v>900</v>
      </c>
      <c r="N859" t="s">
        <v>2950</v>
      </c>
    </row>
    <row r="860" spans="1:14" x14ac:dyDescent="0.2">
      <c r="A860" t="s">
        <v>406</v>
      </c>
      <c r="B860" t="s">
        <v>1062</v>
      </c>
      <c r="C860">
        <v>2086</v>
      </c>
      <c r="D860" t="s">
        <v>92</v>
      </c>
      <c r="E860" s="1">
        <v>45413</v>
      </c>
      <c r="F860">
        <v>3</v>
      </c>
      <c r="G860" t="s">
        <v>52</v>
      </c>
      <c r="H860" t="s">
        <v>47</v>
      </c>
      <c r="I860" t="s">
        <v>2961</v>
      </c>
      <c r="J860" t="s">
        <v>1256</v>
      </c>
      <c r="K860">
        <v>3220</v>
      </c>
      <c r="L860">
        <v>600</v>
      </c>
      <c r="M860">
        <v>1800</v>
      </c>
      <c r="N860" t="s">
        <v>2962</v>
      </c>
    </row>
    <row r="861" spans="1:14" x14ac:dyDescent="0.2">
      <c r="A861" t="s">
        <v>1121</v>
      </c>
      <c r="B861" t="s">
        <v>1122</v>
      </c>
      <c r="C861">
        <v>2088</v>
      </c>
      <c r="D861" t="s">
        <v>31</v>
      </c>
      <c r="E861" s="1">
        <v>45518</v>
      </c>
      <c r="F861">
        <v>2</v>
      </c>
      <c r="G861" t="s">
        <v>32</v>
      </c>
      <c r="H861" t="s">
        <v>47</v>
      </c>
      <c r="I861" t="s">
        <v>2965</v>
      </c>
      <c r="J861" t="s">
        <v>1247</v>
      </c>
      <c r="K861">
        <v>3350</v>
      </c>
      <c r="L861">
        <v>250</v>
      </c>
      <c r="M861">
        <v>500</v>
      </c>
      <c r="N861" t="s">
        <v>2966</v>
      </c>
    </row>
    <row r="862" spans="1:14" x14ac:dyDescent="0.2">
      <c r="A862" t="s">
        <v>679</v>
      </c>
      <c r="B862" t="s">
        <v>1123</v>
      </c>
      <c r="C862">
        <v>2089</v>
      </c>
      <c r="D862" t="s">
        <v>31</v>
      </c>
      <c r="E862" s="1">
        <v>45421</v>
      </c>
      <c r="F862">
        <v>1</v>
      </c>
      <c r="G862" t="s">
        <v>71</v>
      </c>
      <c r="H862" t="s">
        <v>47</v>
      </c>
      <c r="I862" t="s">
        <v>2967</v>
      </c>
      <c r="J862" t="s">
        <v>1275</v>
      </c>
      <c r="K862">
        <v>3000</v>
      </c>
      <c r="L862">
        <v>250</v>
      </c>
      <c r="M862">
        <v>250</v>
      </c>
      <c r="N862" t="s">
        <v>2968</v>
      </c>
    </row>
    <row r="863" spans="1:14" x14ac:dyDescent="0.2">
      <c r="A863" t="s">
        <v>1132</v>
      </c>
      <c r="B863" t="s">
        <v>171</v>
      </c>
      <c r="C863">
        <v>2102</v>
      </c>
      <c r="D863" t="s">
        <v>42</v>
      </c>
      <c r="E863" s="1">
        <v>45387</v>
      </c>
      <c r="F863">
        <v>3</v>
      </c>
      <c r="G863" t="s">
        <v>32</v>
      </c>
      <c r="H863" t="s">
        <v>47</v>
      </c>
      <c r="I863" t="s">
        <v>2995</v>
      </c>
      <c r="J863" t="s">
        <v>1247</v>
      </c>
      <c r="K863">
        <v>3350</v>
      </c>
      <c r="L863">
        <v>300</v>
      </c>
      <c r="M863">
        <v>900</v>
      </c>
      <c r="N863" t="s">
        <v>2996</v>
      </c>
    </row>
    <row r="864" spans="1:14" x14ac:dyDescent="0.2">
      <c r="A864" t="s">
        <v>1144</v>
      </c>
      <c r="B864" t="s">
        <v>1145</v>
      </c>
      <c r="C864">
        <v>2113</v>
      </c>
      <c r="D864" t="s">
        <v>76</v>
      </c>
      <c r="E864" s="1">
        <v>45599</v>
      </c>
      <c r="F864">
        <v>1</v>
      </c>
      <c r="G864" t="s">
        <v>52</v>
      </c>
      <c r="H864" t="s">
        <v>47</v>
      </c>
      <c r="I864" t="s">
        <v>3017</v>
      </c>
      <c r="J864" t="s">
        <v>1275</v>
      </c>
      <c r="K864">
        <v>3000</v>
      </c>
      <c r="L864">
        <v>1200</v>
      </c>
      <c r="M864">
        <v>1200</v>
      </c>
      <c r="N864" t="s">
        <v>3018</v>
      </c>
    </row>
    <row r="865" spans="1:14" x14ac:dyDescent="0.2">
      <c r="A865" t="s">
        <v>1148</v>
      </c>
      <c r="B865" t="s">
        <v>1052</v>
      </c>
      <c r="C865">
        <v>2117</v>
      </c>
      <c r="D865" t="s">
        <v>31</v>
      </c>
      <c r="E865" s="1">
        <v>45640</v>
      </c>
      <c r="F865">
        <v>2</v>
      </c>
      <c r="G865" t="s">
        <v>71</v>
      </c>
      <c r="H865" t="s">
        <v>47</v>
      </c>
      <c r="I865" t="s">
        <v>3025</v>
      </c>
      <c r="J865" t="s">
        <v>1275</v>
      </c>
      <c r="K865">
        <v>3000</v>
      </c>
      <c r="L865">
        <v>250</v>
      </c>
      <c r="M865">
        <v>500</v>
      </c>
      <c r="N865" t="s">
        <v>3026</v>
      </c>
    </row>
    <row r="866" spans="1:14" x14ac:dyDescent="0.2">
      <c r="A866" t="s">
        <v>1151</v>
      </c>
      <c r="B866" t="s">
        <v>1152</v>
      </c>
      <c r="C866">
        <v>2122</v>
      </c>
      <c r="D866" t="s">
        <v>42</v>
      </c>
      <c r="E866" s="1">
        <v>45506</v>
      </c>
      <c r="F866">
        <v>3</v>
      </c>
      <c r="G866" t="s">
        <v>32</v>
      </c>
      <c r="H866" t="s">
        <v>47</v>
      </c>
      <c r="I866" t="s">
        <v>3035</v>
      </c>
      <c r="J866" t="s">
        <v>1275</v>
      </c>
      <c r="K866">
        <v>3000</v>
      </c>
      <c r="L866">
        <v>300</v>
      </c>
      <c r="M866">
        <v>900</v>
      </c>
      <c r="N866" t="s">
        <v>3036</v>
      </c>
    </row>
    <row r="867" spans="1:14" x14ac:dyDescent="0.2">
      <c r="A867" t="s">
        <v>1167</v>
      </c>
      <c r="B867" t="s">
        <v>1168</v>
      </c>
      <c r="C867">
        <v>2136</v>
      </c>
      <c r="D867" t="s">
        <v>76</v>
      </c>
      <c r="E867" s="1">
        <v>45523</v>
      </c>
      <c r="F867">
        <v>2</v>
      </c>
      <c r="G867" t="s">
        <v>32</v>
      </c>
      <c r="H867" t="s">
        <v>47</v>
      </c>
      <c r="I867" t="s">
        <v>3063</v>
      </c>
      <c r="J867" t="s">
        <v>1247</v>
      </c>
      <c r="K867">
        <v>3350</v>
      </c>
      <c r="L867">
        <v>1200</v>
      </c>
      <c r="M867">
        <v>2400</v>
      </c>
      <c r="N867" t="s">
        <v>3064</v>
      </c>
    </row>
    <row r="868" spans="1:14" x14ac:dyDescent="0.2">
      <c r="A868" t="s">
        <v>813</v>
      </c>
      <c r="B868" t="s">
        <v>475</v>
      </c>
      <c r="C868">
        <v>2154</v>
      </c>
      <c r="D868" t="s">
        <v>42</v>
      </c>
      <c r="E868" s="1">
        <v>45439</v>
      </c>
      <c r="F868">
        <v>2</v>
      </c>
      <c r="G868" t="s">
        <v>71</v>
      </c>
      <c r="H868" t="s">
        <v>47</v>
      </c>
      <c r="I868" t="s">
        <v>3099</v>
      </c>
      <c r="J868" t="s">
        <v>1275</v>
      </c>
      <c r="K868">
        <v>3000</v>
      </c>
      <c r="L868">
        <v>300</v>
      </c>
      <c r="M868">
        <v>600</v>
      </c>
      <c r="N868" t="s">
        <v>3100</v>
      </c>
    </row>
    <row r="869" spans="1:14" x14ac:dyDescent="0.2">
      <c r="A869" t="s">
        <v>1064</v>
      </c>
      <c r="B869" t="s">
        <v>616</v>
      </c>
      <c r="C869">
        <v>2173</v>
      </c>
      <c r="D869" t="s">
        <v>51</v>
      </c>
      <c r="E869" s="1">
        <v>45657</v>
      </c>
      <c r="F869">
        <v>3</v>
      </c>
      <c r="G869" t="s">
        <v>32</v>
      </c>
      <c r="H869" t="s">
        <v>47</v>
      </c>
      <c r="I869" t="s">
        <v>3137</v>
      </c>
      <c r="J869" t="s">
        <v>1275</v>
      </c>
      <c r="K869">
        <v>3000</v>
      </c>
      <c r="L869">
        <v>250</v>
      </c>
      <c r="M869">
        <v>750</v>
      </c>
      <c r="N869" t="s">
        <v>3138</v>
      </c>
    </row>
    <row r="870" spans="1:14" x14ac:dyDescent="0.2">
      <c r="A870" t="s">
        <v>776</v>
      </c>
      <c r="B870" t="s">
        <v>312</v>
      </c>
      <c r="C870">
        <v>2188</v>
      </c>
      <c r="D870" t="s">
        <v>92</v>
      </c>
      <c r="E870" s="1">
        <v>45387</v>
      </c>
      <c r="F870">
        <v>3</v>
      </c>
      <c r="G870" t="s">
        <v>71</v>
      </c>
      <c r="H870" t="s">
        <v>47</v>
      </c>
      <c r="I870" t="s">
        <v>3167</v>
      </c>
      <c r="J870" t="s">
        <v>1275</v>
      </c>
      <c r="K870">
        <v>3000</v>
      </c>
      <c r="L870">
        <v>600</v>
      </c>
      <c r="M870">
        <v>1800</v>
      </c>
      <c r="N870" t="s">
        <v>3168</v>
      </c>
    </row>
    <row r="871" spans="1:14" x14ac:dyDescent="0.2">
      <c r="A871" t="s">
        <v>1207</v>
      </c>
      <c r="B871" t="s">
        <v>323</v>
      </c>
      <c r="C871">
        <v>2196</v>
      </c>
      <c r="D871" t="s">
        <v>51</v>
      </c>
      <c r="E871" s="1">
        <v>45427</v>
      </c>
      <c r="F871">
        <v>3</v>
      </c>
      <c r="G871" t="s">
        <v>52</v>
      </c>
      <c r="H871" t="s">
        <v>47</v>
      </c>
      <c r="I871" t="s">
        <v>3183</v>
      </c>
      <c r="J871" t="s">
        <v>1256</v>
      </c>
      <c r="K871">
        <v>3220</v>
      </c>
      <c r="L871">
        <v>250</v>
      </c>
      <c r="M871">
        <v>750</v>
      </c>
      <c r="N871" t="s">
        <v>3184</v>
      </c>
    </row>
    <row r="872" spans="1:14" x14ac:dyDescent="0.2">
      <c r="A872" t="s">
        <v>1214</v>
      </c>
      <c r="B872" t="s">
        <v>1215</v>
      </c>
      <c r="C872">
        <v>2205</v>
      </c>
      <c r="D872" t="s">
        <v>51</v>
      </c>
      <c r="E872" s="1">
        <v>45432</v>
      </c>
      <c r="F872">
        <v>2</v>
      </c>
      <c r="G872" t="s">
        <v>38</v>
      </c>
      <c r="H872" t="s">
        <v>47</v>
      </c>
      <c r="I872" t="s">
        <v>3201</v>
      </c>
      <c r="J872" t="s">
        <v>1256</v>
      </c>
      <c r="K872">
        <v>3220</v>
      </c>
      <c r="L872">
        <v>250</v>
      </c>
      <c r="M872">
        <v>500</v>
      </c>
      <c r="N872" t="s">
        <v>3202</v>
      </c>
    </row>
    <row r="873" spans="1:14" x14ac:dyDescent="0.2">
      <c r="A873" t="s">
        <v>979</v>
      </c>
      <c r="B873" t="s">
        <v>1219</v>
      </c>
      <c r="C873">
        <v>2215</v>
      </c>
      <c r="D873" t="s">
        <v>31</v>
      </c>
      <c r="E873" s="1">
        <v>45351</v>
      </c>
      <c r="F873">
        <v>2</v>
      </c>
      <c r="G873" t="s">
        <v>52</v>
      </c>
      <c r="H873" t="s">
        <v>47</v>
      </c>
      <c r="I873" t="s">
        <v>3221</v>
      </c>
      <c r="J873" t="s">
        <v>1275</v>
      </c>
      <c r="K873">
        <v>3000</v>
      </c>
      <c r="L873">
        <v>250</v>
      </c>
      <c r="M873">
        <v>500</v>
      </c>
      <c r="N873" t="s">
        <v>3222</v>
      </c>
    </row>
    <row r="874" spans="1:14" x14ac:dyDescent="0.2">
      <c r="A874" t="s">
        <v>1221</v>
      </c>
      <c r="B874" t="s">
        <v>1222</v>
      </c>
      <c r="C874">
        <v>2219</v>
      </c>
      <c r="D874" t="s">
        <v>76</v>
      </c>
      <c r="E874" s="1">
        <v>45476</v>
      </c>
      <c r="F874">
        <v>3</v>
      </c>
      <c r="G874" t="s">
        <v>52</v>
      </c>
      <c r="H874" t="s">
        <v>47</v>
      </c>
      <c r="I874" t="s">
        <v>3229</v>
      </c>
      <c r="J874" t="s">
        <v>1275</v>
      </c>
      <c r="K874">
        <v>3000</v>
      </c>
      <c r="L874">
        <v>1200</v>
      </c>
      <c r="M874">
        <v>3600</v>
      </c>
      <c r="N874" t="s">
        <v>3230</v>
      </c>
    </row>
    <row r="875" spans="1:14" x14ac:dyDescent="0.2">
      <c r="A875" t="s">
        <v>1229</v>
      </c>
      <c r="B875" t="s">
        <v>1152</v>
      </c>
      <c r="C875">
        <v>2228</v>
      </c>
      <c r="D875" t="s">
        <v>92</v>
      </c>
      <c r="E875" s="1">
        <v>45386</v>
      </c>
      <c r="F875">
        <v>1</v>
      </c>
      <c r="G875" t="s">
        <v>71</v>
      </c>
      <c r="H875" t="s">
        <v>47</v>
      </c>
      <c r="I875" t="s">
        <v>3247</v>
      </c>
      <c r="J875" t="s">
        <v>1275</v>
      </c>
      <c r="K875">
        <v>3000</v>
      </c>
      <c r="L875">
        <v>600</v>
      </c>
      <c r="M875">
        <v>600</v>
      </c>
      <c r="N875" t="s">
        <v>3248</v>
      </c>
    </row>
    <row r="876" spans="1:14" x14ac:dyDescent="0.2">
      <c r="A876" t="s">
        <v>29</v>
      </c>
      <c r="B876" t="s">
        <v>30</v>
      </c>
      <c r="C876">
        <v>1234</v>
      </c>
      <c r="D876" t="s">
        <v>31</v>
      </c>
      <c r="E876" s="1">
        <v>45418</v>
      </c>
      <c r="F876">
        <v>1</v>
      </c>
      <c r="G876" t="s">
        <v>32</v>
      </c>
      <c r="H876" t="s">
        <v>33</v>
      </c>
      <c r="I876" t="s">
        <v>1237</v>
      </c>
      <c r="J876" t="s">
        <v>1238</v>
      </c>
      <c r="K876">
        <v>6725</v>
      </c>
      <c r="L876">
        <v>250</v>
      </c>
      <c r="M876">
        <v>250</v>
      </c>
      <c r="N876" t="s">
        <v>1239</v>
      </c>
    </row>
    <row r="877" spans="1:14" x14ac:dyDescent="0.2">
      <c r="A877" t="s">
        <v>60</v>
      </c>
      <c r="B877" t="s">
        <v>61</v>
      </c>
      <c r="C877">
        <v>1241</v>
      </c>
      <c r="D877" t="s">
        <v>37</v>
      </c>
      <c r="E877" s="1">
        <v>45591</v>
      </c>
      <c r="F877">
        <v>2</v>
      </c>
      <c r="G877" t="s">
        <v>32</v>
      </c>
      <c r="H877" t="s">
        <v>33</v>
      </c>
      <c r="I877" t="s">
        <v>1258</v>
      </c>
      <c r="J877" t="s">
        <v>1259</v>
      </c>
      <c r="K877">
        <v>6160</v>
      </c>
      <c r="L877">
        <v>800</v>
      </c>
      <c r="M877">
        <v>1600</v>
      </c>
      <c r="N877" t="s">
        <v>1260</v>
      </c>
    </row>
    <row r="878" spans="1:14" x14ac:dyDescent="0.2">
      <c r="A878" t="s">
        <v>95</v>
      </c>
      <c r="B878" t="s">
        <v>96</v>
      </c>
      <c r="C878">
        <v>1256</v>
      </c>
      <c r="D878" t="s">
        <v>76</v>
      </c>
      <c r="E878" s="1">
        <v>45400</v>
      </c>
      <c r="F878">
        <v>1</v>
      </c>
      <c r="G878" t="s">
        <v>52</v>
      </c>
      <c r="H878" t="s">
        <v>33</v>
      </c>
      <c r="I878" t="s">
        <v>1294</v>
      </c>
      <c r="J878" t="s">
        <v>1238</v>
      </c>
      <c r="K878">
        <v>6725</v>
      </c>
      <c r="L878">
        <v>1200</v>
      </c>
      <c r="M878">
        <v>1200</v>
      </c>
      <c r="N878" t="s">
        <v>1295</v>
      </c>
    </row>
    <row r="879" spans="1:14" x14ac:dyDescent="0.2">
      <c r="A879" t="s">
        <v>101</v>
      </c>
      <c r="B879" t="s">
        <v>102</v>
      </c>
      <c r="C879">
        <v>1259</v>
      </c>
      <c r="D879" t="s">
        <v>51</v>
      </c>
      <c r="E879" s="1">
        <v>45516</v>
      </c>
      <c r="F879">
        <v>2</v>
      </c>
      <c r="G879" t="s">
        <v>71</v>
      </c>
      <c r="H879" t="s">
        <v>33</v>
      </c>
      <c r="I879" t="s">
        <v>1301</v>
      </c>
      <c r="J879" t="s">
        <v>1302</v>
      </c>
      <c r="K879">
        <v>6000</v>
      </c>
      <c r="L879">
        <v>250</v>
      </c>
      <c r="M879">
        <v>500</v>
      </c>
      <c r="N879" t="s">
        <v>1303</v>
      </c>
    </row>
    <row r="880" spans="1:14" x14ac:dyDescent="0.2">
      <c r="A880" t="s">
        <v>125</v>
      </c>
      <c r="B880" t="s">
        <v>126</v>
      </c>
      <c r="C880">
        <v>1271</v>
      </c>
      <c r="D880" t="s">
        <v>51</v>
      </c>
      <c r="E880" s="1">
        <v>45450</v>
      </c>
      <c r="F880">
        <v>1</v>
      </c>
      <c r="G880" t="s">
        <v>71</v>
      </c>
      <c r="H880" t="s">
        <v>33</v>
      </c>
      <c r="I880" t="s">
        <v>1327</v>
      </c>
      <c r="J880" t="s">
        <v>1238</v>
      </c>
      <c r="K880">
        <v>6725</v>
      </c>
      <c r="L880">
        <v>250</v>
      </c>
      <c r="M880">
        <v>250</v>
      </c>
      <c r="N880" t="s">
        <v>1328</v>
      </c>
    </row>
    <row r="881" spans="1:14" x14ac:dyDescent="0.2">
      <c r="A881" t="s">
        <v>168</v>
      </c>
      <c r="B881" t="s">
        <v>49</v>
      </c>
      <c r="C881">
        <v>1294</v>
      </c>
      <c r="D881" t="s">
        <v>76</v>
      </c>
      <c r="E881" s="1">
        <v>45556</v>
      </c>
      <c r="F881">
        <v>3</v>
      </c>
      <c r="G881" t="s">
        <v>52</v>
      </c>
      <c r="H881" t="s">
        <v>33</v>
      </c>
      <c r="I881" t="s">
        <v>1375</v>
      </c>
      <c r="J881" t="s">
        <v>1302</v>
      </c>
      <c r="K881">
        <v>6000</v>
      </c>
      <c r="L881">
        <v>1200</v>
      </c>
      <c r="M881">
        <v>3600</v>
      </c>
      <c r="N881" t="s">
        <v>1376</v>
      </c>
    </row>
    <row r="882" spans="1:14" x14ac:dyDescent="0.2">
      <c r="A882" t="s">
        <v>180</v>
      </c>
      <c r="B882" t="s">
        <v>181</v>
      </c>
      <c r="C882">
        <v>1301</v>
      </c>
      <c r="D882" t="s">
        <v>92</v>
      </c>
      <c r="E882" s="1">
        <v>45354</v>
      </c>
      <c r="F882">
        <v>2</v>
      </c>
      <c r="G882" t="s">
        <v>32</v>
      </c>
      <c r="H882" t="s">
        <v>33</v>
      </c>
      <c r="I882" t="s">
        <v>1389</v>
      </c>
      <c r="J882" t="s">
        <v>1238</v>
      </c>
      <c r="K882">
        <v>6725</v>
      </c>
      <c r="L882">
        <v>600</v>
      </c>
      <c r="M882">
        <v>1200</v>
      </c>
      <c r="N882" t="s">
        <v>1390</v>
      </c>
    </row>
    <row r="883" spans="1:14" x14ac:dyDescent="0.2">
      <c r="A883" t="s">
        <v>137</v>
      </c>
      <c r="B883" t="s">
        <v>243</v>
      </c>
      <c r="C883">
        <v>1335</v>
      </c>
      <c r="D883" t="s">
        <v>51</v>
      </c>
      <c r="E883" s="1">
        <v>45431</v>
      </c>
      <c r="F883">
        <v>3</v>
      </c>
      <c r="G883" t="s">
        <v>32</v>
      </c>
      <c r="H883" t="s">
        <v>33</v>
      </c>
      <c r="I883" t="s">
        <v>1458</v>
      </c>
      <c r="J883" t="s">
        <v>1302</v>
      </c>
      <c r="K883">
        <v>6000</v>
      </c>
      <c r="L883">
        <v>250</v>
      </c>
      <c r="M883">
        <v>750</v>
      </c>
      <c r="N883" t="s">
        <v>1459</v>
      </c>
    </row>
    <row r="884" spans="1:14" x14ac:dyDescent="0.2">
      <c r="A884" t="s">
        <v>249</v>
      </c>
      <c r="B884" t="s">
        <v>250</v>
      </c>
      <c r="C884">
        <v>1339</v>
      </c>
      <c r="D884" t="s">
        <v>51</v>
      </c>
      <c r="E884" s="1">
        <v>45490</v>
      </c>
      <c r="F884">
        <v>2</v>
      </c>
      <c r="G884" t="s">
        <v>32</v>
      </c>
      <c r="H884" t="s">
        <v>33</v>
      </c>
      <c r="I884" t="s">
        <v>1466</v>
      </c>
      <c r="J884" t="s">
        <v>1238</v>
      </c>
      <c r="K884">
        <v>6725</v>
      </c>
      <c r="L884">
        <v>250</v>
      </c>
      <c r="M884">
        <v>500</v>
      </c>
      <c r="N884" t="s">
        <v>1467</v>
      </c>
    </row>
    <row r="885" spans="1:14" x14ac:dyDescent="0.2">
      <c r="A885" t="s">
        <v>251</v>
      </c>
      <c r="B885" t="s">
        <v>252</v>
      </c>
      <c r="C885">
        <v>1340</v>
      </c>
      <c r="D885" t="s">
        <v>51</v>
      </c>
      <c r="E885" s="1">
        <v>45400</v>
      </c>
      <c r="F885">
        <v>3</v>
      </c>
      <c r="G885" t="s">
        <v>32</v>
      </c>
      <c r="H885" t="s">
        <v>33</v>
      </c>
      <c r="I885" t="s">
        <v>1468</v>
      </c>
      <c r="J885" t="s">
        <v>1238</v>
      </c>
      <c r="K885">
        <v>6725</v>
      </c>
      <c r="L885">
        <v>250</v>
      </c>
      <c r="M885">
        <v>750</v>
      </c>
      <c r="N885" t="s">
        <v>1469</v>
      </c>
    </row>
    <row r="886" spans="1:14" x14ac:dyDescent="0.2">
      <c r="A886" t="s">
        <v>277</v>
      </c>
      <c r="B886" t="s">
        <v>278</v>
      </c>
      <c r="C886">
        <v>1357</v>
      </c>
      <c r="D886" t="s">
        <v>31</v>
      </c>
      <c r="E886" s="1">
        <v>45532</v>
      </c>
      <c r="F886">
        <v>1</v>
      </c>
      <c r="G886" t="s">
        <v>32</v>
      </c>
      <c r="H886" t="s">
        <v>33</v>
      </c>
      <c r="I886" t="s">
        <v>1502</v>
      </c>
      <c r="J886" t="s">
        <v>1259</v>
      </c>
      <c r="K886">
        <v>6160</v>
      </c>
      <c r="L886">
        <v>250</v>
      </c>
      <c r="M886">
        <v>250</v>
      </c>
      <c r="N886" t="s">
        <v>1503</v>
      </c>
    </row>
    <row r="887" spans="1:14" x14ac:dyDescent="0.2">
      <c r="A887" t="s">
        <v>286</v>
      </c>
      <c r="B887" t="s">
        <v>287</v>
      </c>
      <c r="C887">
        <v>1362</v>
      </c>
      <c r="D887" t="s">
        <v>76</v>
      </c>
      <c r="E887" s="1">
        <v>45639</v>
      </c>
      <c r="F887">
        <v>2</v>
      </c>
      <c r="G887" t="s">
        <v>52</v>
      </c>
      <c r="H887" t="s">
        <v>33</v>
      </c>
      <c r="I887" t="s">
        <v>1512</v>
      </c>
      <c r="J887" t="s">
        <v>1259</v>
      </c>
      <c r="K887">
        <v>6160</v>
      </c>
      <c r="L887">
        <v>1200</v>
      </c>
      <c r="M887">
        <v>2400</v>
      </c>
      <c r="N887" t="s">
        <v>1513</v>
      </c>
    </row>
    <row r="888" spans="1:14" x14ac:dyDescent="0.2">
      <c r="A888" t="s">
        <v>55</v>
      </c>
      <c r="B888" t="s">
        <v>327</v>
      </c>
      <c r="C888">
        <v>1385</v>
      </c>
      <c r="D888" t="s">
        <v>92</v>
      </c>
      <c r="E888" s="1">
        <v>45390</v>
      </c>
      <c r="F888">
        <v>2</v>
      </c>
      <c r="G888" t="s">
        <v>52</v>
      </c>
      <c r="H888" t="s">
        <v>33</v>
      </c>
      <c r="I888" t="s">
        <v>1558</v>
      </c>
      <c r="J888" t="s">
        <v>1238</v>
      </c>
      <c r="K888">
        <v>6725</v>
      </c>
      <c r="L888">
        <v>600</v>
      </c>
      <c r="M888">
        <v>1200</v>
      </c>
      <c r="N888" t="s">
        <v>1559</v>
      </c>
    </row>
    <row r="889" spans="1:14" x14ac:dyDescent="0.2">
      <c r="A889" t="s">
        <v>332</v>
      </c>
      <c r="B889" t="s">
        <v>333</v>
      </c>
      <c r="C889">
        <v>1389</v>
      </c>
      <c r="D889" t="s">
        <v>92</v>
      </c>
      <c r="E889" s="1">
        <v>45310</v>
      </c>
      <c r="F889">
        <v>2</v>
      </c>
      <c r="G889" t="s">
        <v>52</v>
      </c>
      <c r="H889" t="s">
        <v>33</v>
      </c>
      <c r="I889" t="s">
        <v>1566</v>
      </c>
      <c r="J889" t="s">
        <v>1302</v>
      </c>
      <c r="K889">
        <v>6000</v>
      </c>
      <c r="L889">
        <v>600</v>
      </c>
      <c r="M889">
        <v>1200</v>
      </c>
      <c r="N889" t="s">
        <v>1567</v>
      </c>
    </row>
    <row r="890" spans="1:14" x14ac:dyDescent="0.2">
      <c r="A890" t="s">
        <v>341</v>
      </c>
      <c r="B890" t="s">
        <v>116</v>
      </c>
      <c r="C890">
        <v>1396</v>
      </c>
      <c r="D890" t="s">
        <v>37</v>
      </c>
      <c r="E890" s="1">
        <v>45403</v>
      </c>
      <c r="F890">
        <v>2</v>
      </c>
      <c r="G890" t="s">
        <v>32</v>
      </c>
      <c r="H890" t="s">
        <v>33</v>
      </c>
      <c r="I890" t="s">
        <v>1580</v>
      </c>
      <c r="J890" t="s">
        <v>1259</v>
      </c>
      <c r="K890">
        <v>6160</v>
      </c>
      <c r="L890">
        <v>800</v>
      </c>
      <c r="M890">
        <v>1600</v>
      </c>
      <c r="N890" t="s">
        <v>1581</v>
      </c>
    </row>
    <row r="891" spans="1:14" x14ac:dyDescent="0.2">
      <c r="A891" t="s">
        <v>345</v>
      </c>
      <c r="B891" t="s">
        <v>346</v>
      </c>
      <c r="C891">
        <v>1399</v>
      </c>
      <c r="D891" t="s">
        <v>31</v>
      </c>
      <c r="E891" s="1">
        <v>45462</v>
      </c>
      <c r="F891">
        <v>2</v>
      </c>
      <c r="G891" t="s">
        <v>32</v>
      </c>
      <c r="H891" t="s">
        <v>33</v>
      </c>
      <c r="I891" t="s">
        <v>1586</v>
      </c>
      <c r="J891" t="s">
        <v>1238</v>
      </c>
      <c r="K891">
        <v>6725</v>
      </c>
      <c r="L891">
        <v>250</v>
      </c>
      <c r="M891">
        <v>500</v>
      </c>
      <c r="N891" t="s">
        <v>1587</v>
      </c>
    </row>
    <row r="892" spans="1:14" x14ac:dyDescent="0.2">
      <c r="A892" t="s">
        <v>288</v>
      </c>
      <c r="B892" t="s">
        <v>366</v>
      </c>
      <c r="C892">
        <v>1412</v>
      </c>
      <c r="D892" t="s">
        <v>51</v>
      </c>
      <c r="E892" s="1">
        <v>45607</v>
      </c>
      <c r="F892">
        <v>3</v>
      </c>
      <c r="G892" t="s">
        <v>52</v>
      </c>
      <c r="H892" t="s">
        <v>33</v>
      </c>
      <c r="I892" t="s">
        <v>1612</v>
      </c>
      <c r="J892" t="s">
        <v>1238</v>
      </c>
      <c r="K892">
        <v>6725</v>
      </c>
      <c r="L892">
        <v>250</v>
      </c>
      <c r="M892">
        <v>750</v>
      </c>
      <c r="N892" t="s">
        <v>1613</v>
      </c>
    </row>
    <row r="893" spans="1:14" x14ac:dyDescent="0.2">
      <c r="A893" t="s">
        <v>393</v>
      </c>
      <c r="B893" t="s">
        <v>394</v>
      </c>
      <c r="C893">
        <v>1428</v>
      </c>
      <c r="D893" t="s">
        <v>31</v>
      </c>
      <c r="E893" s="1">
        <v>45427</v>
      </c>
      <c r="F893">
        <v>3</v>
      </c>
      <c r="G893" t="s">
        <v>32</v>
      </c>
      <c r="H893" t="s">
        <v>33</v>
      </c>
      <c r="I893" t="s">
        <v>1644</v>
      </c>
      <c r="J893" t="s">
        <v>1259</v>
      </c>
      <c r="K893">
        <v>6160</v>
      </c>
      <c r="L893">
        <v>250</v>
      </c>
      <c r="M893">
        <v>750</v>
      </c>
      <c r="N893" t="s">
        <v>1645</v>
      </c>
    </row>
    <row r="894" spans="1:14" x14ac:dyDescent="0.2">
      <c r="A894" t="s">
        <v>311</v>
      </c>
      <c r="B894" t="s">
        <v>400</v>
      </c>
      <c r="C894">
        <v>1432</v>
      </c>
      <c r="D894" t="s">
        <v>76</v>
      </c>
      <c r="E894" s="1">
        <v>45462</v>
      </c>
      <c r="F894">
        <v>2</v>
      </c>
      <c r="G894" t="s">
        <v>52</v>
      </c>
      <c r="H894" t="s">
        <v>33</v>
      </c>
      <c r="I894" t="s">
        <v>1652</v>
      </c>
      <c r="J894" t="s">
        <v>1238</v>
      </c>
      <c r="K894">
        <v>6725</v>
      </c>
      <c r="L894">
        <v>1200</v>
      </c>
      <c r="M894">
        <v>2400</v>
      </c>
      <c r="N894" t="s">
        <v>1653</v>
      </c>
    </row>
    <row r="895" spans="1:14" x14ac:dyDescent="0.2">
      <c r="A895" t="s">
        <v>412</v>
      </c>
      <c r="B895" t="s">
        <v>245</v>
      </c>
      <c r="C895">
        <v>1440</v>
      </c>
      <c r="D895" t="s">
        <v>76</v>
      </c>
      <c r="E895" s="1">
        <v>45535</v>
      </c>
      <c r="F895">
        <v>3</v>
      </c>
      <c r="G895" t="s">
        <v>71</v>
      </c>
      <c r="H895" t="s">
        <v>33</v>
      </c>
      <c r="I895" t="s">
        <v>1668</v>
      </c>
      <c r="J895" t="s">
        <v>1302</v>
      </c>
      <c r="K895">
        <v>6000</v>
      </c>
      <c r="L895">
        <v>1200</v>
      </c>
      <c r="M895">
        <v>3600</v>
      </c>
      <c r="N895" t="s">
        <v>1669</v>
      </c>
    </row>
    <row r="896" spans="1:14" x14ac:dyDescent="0.2">
      <c r="A896" t="s">
        <v>417</v>
      </c>
      <c r="B896" t="s">
        <v>418</v>
      </c>
      <c r="C896">
        <v>1443</v>
      </c>
      <c r="D896" t="s">
        <v>76</v>
      </c>
      <c r="E896" s="1">
        <v>45356</v>
      </c>
      <c r="F896">
        <v>3</v>
      </c>
      <c r="G896" t="s">
        <v>32</v>
      </c>
      <c r="H896" t="s">
        <v>33</v>
      </c>
      <c r="I896" t="s">
        <v>1674</v>
      </c>
      <c r="J896" t="s">
        <v>1238</v>
      </c>
      <c r="K896">
        <v>6725</v>
      </c>
      <c r="L896">
        <v>1200</v>
      </c>
      <c r="M896">
        <v>3600</v>
      </c>
      <c r="N896" t="s">
        <v>1675</v>
      </c>
    </row>
    <row r="897" spans="1:14" x14ac:dyDescent="0.2">
      <c r="A897" t="s">
        <v>419</v>
      </c>
      <c r="B897" t="s">
        <v>210</v>
      </c>
      <c r="C897">
        <v>1444</v>
      </c>
      <c r="D897" t="s">
        <v>42</v>
      </c>
      <c r="E897" s="1">
        <v>45553</v>
      </c>
      <c r="F897">
        <v>2</v>
      </c>
      <c r="G897" t="s">
        <v>32</v>
      </c>
      <c r="H897" t="s">
        <v>33</v>
      </c>
      <c r="I897" t="s">
        <v>1676</v>
      </c>
      <c r="J897" t="s">
        <v>1238</v>
      </c>
      <c r="K897">
        <v>6725</v>
      </c>
      <c r="L897">
        <v>300</v>
      </c>
      <c r="M897">
        <v>600</v>
      </c>
      <c r="N897" t="s">
        <v>1677</v>
      </c>
    </row>
    <row r="898" spans="1:14" x14ac:dyDescent="0.2">
      <c r="A898" t="s">
        <v>446</v>
      </c>
      <c r="B898" t="s">
        <v>447</v>
      </c>
      <c r="C898">
        <v>1461</v>
      </c>
      <c r="D898" t="s">
        <v>51</v>
      </c>
      <c r="E898" s="1">
        <v>45391</v>
      </c>
      <c r="F898">
        <v>3</v>
      </c>
      <c r="G898" t="s">
        <v>52</v>
      </c>
      <c r="H898" t="s">
        <v>33</v>
      </c>
      <c r="I898" t="s">
        <v>1710</v>
      </c>
      <c r="J898" t="s">
        <v>1302</v>
      </c>
      <c r="K898">
        <v>6000</v>
      </c>
      <c r="L898">
        <v>250</v>
      </c>
      <c r="M898">
        <v>750</v>
      </c>
      <c r="N898" t="s">
        <v>1711</v>
      </c>
    </row>
    <row r="899" spans="1:14" x14ac:dyDescent="0.2">
      <c r="A899" t="s">
        <v>463</v>
      </c>
      <c r="B899" t="s">
        <v>464</v>
      </c>
      <c r="C899">
        <v>1473</v>
      </c>
      <c r="D899" t="s">
        <v>51</v>
      </c>
      <c r="E899" s="1">
        <v>45519</v>
      </c>
      <c r="F899">
        <v>2</v>
      </c>
      <c r="G899" t="s">
        <v>32</v>
      </c>
      <c r="H899" t="s">
        <v>33</v>
      </c>
      <c r="I899" t="s">
        <v>1734</v>
      </c>
      <c r="J899" t="s">
        <v>1259</v>
      </c>
      <c r="K899">
        <v>6160</v>
      </c>
      <c r="L899">
        <v>250</v>
      </c>
      <c r="M899">
        <v>500</v>
      </c>
      <c r="N899" t="s">
        <v>1735</v>
      </c>
    </row>
    <row r="900" spans="1:14" x14ac:dyDescent="0.2">
      <c r="A900" t="s">
        <v>473</v>
      </c>
      <c r="B900" t="s">
        <v>474</v>
      </c>
      <c r="C900">
        <v>1478</v>
      </c>
      <c r="D900" t="s">
        <v>76</v>
      </c>
      <c r="E900" s="1">
        <v>45550</v>
      </c>
      <c r="F900">
        <v>2</v>
      </c>
      <c r="G900" t="s">
        <v>38</v>
      </c>
      <c r="H900" t="s">
        <v>33</v>
      </c>
      <c r="I900" t="s">
        <v>1744</v>
      </c>
      <c r="J900" t="s">
        <v>1238</v>
      </c>
      <c r="K900">
        <v>6725</v>
      </c>
      <c r="L900">
        <v>1200</v>
      </c>
      <c r="M900">
        <v>2400</v>
      </c>
      <c r="N900" t="s">
        <v>1745</v>
      </c>
    </row>
    <row r="901" spans="1:14" x14ac:dyDescent="0.2">
      <c r="A901" t="s">
        <v>484</v>
      </c>
      <c r="B901" t="s">
        <v>485</v>
      </c>
      <c r="C901">
        <v>1486</v>
      </c>
      <c r="D901" t="s">
        <v>92</v>
      </c>
      <c r="E901" s="1">
        <v>45612</v>
      </c>
      <c r="F901">
        <v>1</v>
      </c>
      <c r="G901" t="s">
        <v>52</v>
      </c>
      <c r="H901" t="s">
        <v>33</v>
      </c>
      <c r="I901" t="s">
        <v>1760</v>
      </c>
      <c r="J901" t="s">
        <v>1302</v>
      </c>
      <c r="K901">
        <v>6000</v>
      </c>
      <c r="L901">
        <v>600</v>
      </c>
      <c r="M901">
        <v>600</v>
      </c>
      <c r="N901" t="s">
        <v>1761</v>
      </c>
    </row>
    <row r="902" spans="1:14" x14ac:dyDescent="0.2">
      <c r="A902" t="s">
        <v>489</v>
      </c>
      <c r="B902" t="s">
        <v>490</v>
      </c>
      <c r="C902">
        <v>1489</v>
      </c>
      <c r="D902" t="s">
        <v>51</v>
      </c>
      <c r="E902" s="1">
        <v>45615</v>
      </c>
      <c r="F902">
        <v>2</v>
      </c>
      <c r="G902" t="s">
        <v>32</v>
      </c>
      <c r="H902" t="s">
        <v>33</v>
      </c>
      <c r="I902" t="s">
        <v>1766</v>
      </c>
      <c r="J902" t="s">
        <v>1259</v>
      </c>
      <c r="K902">
        <v>6160</v>
      </c>
      <c r="L902">
        <v>250</v>
      </c>
      <c r="M902">
        <v>500</v>
      </c>
      <c r="N902" t="s">
        <v>1767</v>
      </c>
    </row>
    <row r="903" spans="1:14" x14ac:dyDescent="0.2">
      <c r="A903" t="s">
        <v>484</v>
      </c>
      <c r="B903" t="s">
        <v>500</v>
      </c>
      <c r="C903">
        <v>1498</v>
      </c>
      <c r="D903" t="s">
        <v>37</v>
      </c>
      <c r="E903" s="1">
        <v>45395</v>
      </c>
      <c r="F903">
        <v>3</v>
      </c>
      <c r="G903" t="s">
        <v>32</v>
      </c>
      <c r="H903" t="s">
        <v>33</v>
      </c>
      <c r="I903" t="s">
        <v>1784</v>
      </c>
      <c r="J903" t="s">
        <v>1238</v>
      </c>
      <c r="K903">
        <v>6725</v>
      </c>
      <c r="L903">
        <v>800</v>
      </c>
      <c r="M903">
        <v>2400</v>
      </c>
      <c r="N903" t="s">
        <v>1785</v>
      </c>
    </row>
    <row r="904" spans="1:14" x14ac:dyDescent="0.2">
      <c r="A904" t="s">
        <v>515</v>
      </c>
      <c r="B904" t="s">
        <v>68</v>
      </c>
      <c r="C904">
        <v>1509</v>
      </c>
      <c r="D904" t="s">
        <v>37</v>
      </c>
      <c r="E904" s="1">
        <v>45307</v>
      </c>
      <c r="F904">
        <v>3</v>
      </c>
      <c r="G904" t="s">
        <v>32</v>
      </c>
      <c r="H904" t="s">
        <v>33</v>
      </c>
      <c r="I904" t="s">
        <v>1806</v>
      </c>
      <c r="J904" t="s">
        <v>1259</v>
      </c>
      <c r="K904">
        <v>6160</v>
      </c>
      <c r="L904">
        <v>800</v>
      </c>
      <c r="M904">
        <v>2400</v>
      </c>
      <c r="N904" t="s">
        <v>1807</v>
      </c>
    </row>
    <row r="905" spans="1:14" x14ac:dyDescent="0.2">
      <c r="A905" t="s">
        <v>549</v>
      </c>
      <c r="B905" t="s">
        <v>546</v>
      </c>
      <c r="C905">
        <v>1538</v>
      </c>
      <c r="D905" t="s">
        <v>37</v>
      </c>
      <c r="E905" s="1">
        <v>45405</v>
      </c>
      <c r="F905">
        <v>1</v>
      </c>
      <c r="G905" t="s">
        <v>52</v>
      </c>
      <c r="H905" t="s">
        <v>33</v>
      </c>
      <c r="I905" t="s">
        <v>1864</v>
      </c>
      <c r="J905" t="s">
        <v>1302</v>
      </c>
      <c r="K905">
        <v>6000</v>
      </c>
      <c r="L905">
        <v>800</v>
      </c>
      <c r="M905">
        <v>800</v>
      </c>
      <c r="N905" t="s">
        <v>1865</v>
      </c>
    </row>
    <row r="906" spans="1:14" x14ac:dyDescent="0.2">
      <c r="A906" t="s">
        <v>562</v>
      </c>
      <c r="B906" t="s">
        <v>56</v>
      </c>
      <c r="C906">
        <v>1548</v>
      </c>
      <c r="D906" t="s">
        <v>92</v>
      </c>
      <c r="E906" s="1">
        <v>45421</v>
      </c>
      <c r="F906">
        <v>3</v>
      </c>
      <c r="G906" t="s">
        <v>52</v>
      </c>
      <c r="H906" t="s">
        <v>33</v>
      </c>
      <c r="I906" t="s">
        <v>1884</v>
      </c>
      <c r="J906" t="s">
        <v>1238</v>
      </c>
      <c r="K906">
        <v>6725</v>
      </c>
      <c r="L906">
        <v>600</v>
      </c>
      <c r="M906">
        <v>1800</v>
      </c>
      <c r="N906" t="s">
        <v>1885</v>
      </c>
    </row>
    <row r="907" spans="1:14" x14ac:dyDescent="0.2">
      <c r="A907" t="s">
        <v>573</v>
      </c>
      <c r="B907" t="s">
        <v>574</v>
      </c>
      <c r="C907">
        <v>1556</v>
      </c>
      <c r="D907" t="s">
        <v>37</v>
      </c>
      <c r="E907" s="1">
        <v>45331</v>
      </c>
      <c r="F907">
        <v>2</v>
      </c>
      <c r="G907" t="s">
        <v>52</v>
      </c>
      <c r="H907" t="s">
        <v>33</v>
      </c>
      <c r="I907" t="s">
        <v>1900</v>
      </c>
      <c r="J907" t="s">
        <v>1302</v>
      </c>
      <c r="K907">
        <v>6000</v>
      </c>
      <c r="L907">
        <v>800</v>
      </c>
      <c r="M907">
        <v>1600</v>
      </c>
      <c r="N907" t="s">
        <v>1901</v>
      </c>
    </row>
    <row r="908" spans="1:14" x14ac:dyDescent="0.2">
      <c r="A908" t="s">
        <v>372</v>
      </c>
      <c r="B908" t="s">
        <v>580</v>
      </c>
      <c r="C908">
        <v>1560</v>
      </c>
      <c r="D908" t="s">
        <v>31</v>
      </c>
      <c r="E908" s="1">
        <v>45442</v>
      </c>
      <c r="F908">
        <v>1</v>
      </c>
      <c r="G908" t="s">
        <v>71</v>
      </c>
      <c r="H908" t="s">
        <v>33</v>
      </c>
      <c r="I908" t="s">
        <v>1908</v>
      </c>
      <c r="J908" t="s">
        <v>1238</v>
      </c>
      <c r="K908">
        <v>6725</v>
      </c>
      <c r="L908">
        <v>250</v>
      </c>
      <c r="M908">
        <v>250</v>
      </c>
      <c r="N908" t="s">
        <v>1909</v>
      </c>
    </row>
    <row r="909" spans="1:14" x14ac:dyDescent="0.2">
      <c r="A909" t="s">
        <v>586</v>
      </c>
      <c r="B909" t="s">
        <v>271</v>
      </c>
      <c r="C909">
        <v>1564</v>
      </c>
      <c r="D909" t="s">
        <v>92</v>
      </c>
      <c r="E909" s="1">
        <v>45628</v>
      </c>
      <c r="F909">
        <v>2</v>
      </c>
      <c r="G909" t="s">
        <v>32</v>
      </c>
      <c r="H909" t="s">
        <v>33</v>
      </c>
      <c r="I909" t="s">
        <v>1916</v>
      </c>
      <c r="J909" t="s">
        <v>1259</v>
      </c>
      <c r="K909">
        <v>6160</v>
      </c>
      <c r="L909">
        <v>600</v>
      </c>
      <c r="M909">
        <v>1200</v>
      </c>
      <c r="N909" t="s">
        <v>1917</v>
      </c>
    </row>
    <row r="910" spans="1:14" x14ac:dyDescent="0.2">
      <c r="A910" t="s">
        <v>596</v>
      </c>
      <c r="B910" t="s">
        <v>390</v>
      </c>
      <c r="C910">
        <v>1570</v>
      </c>
      <c r="D910" t="s">
        <v>92</v>
      </c>
      <c r="E910" s="1">
        <v>45649</v>
      </c>
      <c r="F910">
        <v>2</v>
      </c>
      <c r="G910" t="s">
        <v>52</v>
      </c>
      <c r="H910" t="s">
        <v>33</v>
      </c>
      <c r="I910" t="s">
        <v>1928</v>
      </c>
      <c r="J910" t="s">
        <v>1259</v>
      </c>
      <c r="K910">
        <v>6160</v>
      </c>
      <c r="L910">
        <v>600</v>
      </c>
      <c r="M910">
        <v>1200</v>
      </c>
      <c r="N910" t="s">
        <v>1929</v>
      </c>
    </row>
    <row r="911" spans="1:14" x14ac:dyDescent="0.2">
      <c r="A911" t="s">
        <v>613</v>
      </c>
      <c r="B911" t="s">
        <v>374</v>
      </c>
      <c r="C911">
        <v>1585</v>
      </c>
      <c r="D911" t="s">
        <v>76</v>
      </c>
      <c r="E911" s="1">
        <v>45411</v>
      </c>
      <c r="F911">
        <v>1</v>
      </c>
      <c r="G911" t="s">
        <v>71</v>
      </c>
      <c r="H911" t="s">
        <v>33</v>
      </c>
      <c r="I911" t="s">
        <v>1958</v>
      </c>
      <c r="J911" t="s">
        <v>1259</v>
      </c>
      <c r="K911">
        <v>6160</v>
      </c>
      <c r="L911">
        <v>1200</v>
      </c>
      <c r="M911">
        <v>1200</v>
      </c>
      <c r="N911" t="s">
        <v>1959</v>
      </c>
    </row>
    <row r="912" spans="1:14" x14ac:dyDescent="0.2">
      <c r="A912" t="s">
        <v>622</v>
      </c>
      <c r="B912" t="s">
        <v>242</v>
      </c>
      <c r="C912">
        <v>1594</v>
      </c>
      <c r="D912" t="s">
        <v>76</v>
      </c>
      <c r="E912" s="1">
        <v>45576</v>
      </c>
      <c r="F912">
        <v>1</v>
      </c>
      <c r="G912" t="s">
        <v>52</v>
      </c>
      <c r="H912" t="s">
        <v>33</v>
      </c>
      <c r="I912" t="s">
        <v>1976</v>
      </c>
      <c r="J912" t="s">
        <v>1259</v>
      </c>
      <c r="K912">
        <v>6160</v>
      </c>
      <c r="L912">
        <v>1200</v>
      </c>
      <c r="M912">
        <v>1200</v>
      </c>
      <c r="N912" t="s">
        <v>1977</v>
      </c>
    </row>
    <row r="913" spans="1:14" x14ac:dyDescent="0.2">
      <c r="A913" t="s">
        <v>411</v>
      </c>
      <c r="B913" t="s">
        <v>625</v>
      </c>
      <c r="C913">
        <v>1597</v>
      </c>
      <c r="D913" t="s">
        <v>31</v>
      </c>
      <c r="E913" s="1">
        <v>45348</v>
      </c>
      <c r="F913">
        <v>1</v>
      </c>
      <c r="G913" t="s">
        <v>52</v>
      </c>
      <c r="H913" t="s">
        <v>33</v>
      </c>
      <c r="I913" t="s">
        <v>1982</v>
      </c>
      <c r="J913" t="s">
        <v>1302</v>
      </c>
      <c r="K913">
        <v>6000</v>
      </c>
      <c r="L913">
        <v>250</v>
      </c>
      <c r="M913">
        <v>250</v>
      </c>
      <c r="N913" t="s">
        <v>1983</v>
      </c>
    </row>
    <row r="914" spans="1:14" x14ac:dyDescent="0.2">
      <c r="A914" t="s">
        <v>627</v>
      </c>
      <c r="B914" t="s">
        <v>206</v>
      </c>
      <c r="C914">
        <v>1599</v>
      </c>
      <c r="D914" t="s">
        <v>31</v>
      </c>
      <c r="E914" s="1">
        <v>45563</v>
      </c>
      <c r="F914">
        <v>2</v>
      </c>
      <c r="G914" t="s">
        <v>32</v>
      </c>
      <c r="H914" t="s">
        <v>33</v>
      </c>
      <c r="I914" t="s">
        <v>1986</v>
      </c>
      <c r="J914" t="s">
        <v>1238</v>
      </c>
      <c r="K914">
        <v>6725</v>
      </c>
      <c r="L914">
        <v>250</v>
      </c>
      <c r="M914">
        <v>500</v>
      </c>
      <c r="N914" t="s">
        <v>1987</v>
      </c>
    </row>
    <row r="915" spans="1:14" x14ac:dyDescent="0.2">
      <c r="A915" t="s">
        <v>209</v>
      </c>
      <c r="B915" t="s">
        <v>630</v>
      </c>
      <c r="C915">
        <v>1602</v>
      </c>
      <c r="D915" t="s">
        <v>42</v>
      </c>
      <c r="E915" s="1">
        <v>45337</v>
      </c>
      <c r="F915">
        <v>2</v>
      </c>
      <c r="G915" t="s">
        <v>32</v>
      </c>
      <c r="H915" t="s">
        <v>33</v>
      </c>
      <c r="I915" t="s">
        <v>1992</v>
      </c>
      <c r="J915" t="s">
        <v>1238</v>
      </c>
      <c r="K915">
        <v>6725</v>
      </c>
      <c r="L915">
        <v>300</v>
      </c>
      <c r="M915">
        <v>600</v>
      </c>
      <c r="N915" t="s">
        <v>1993</v>
      </c>
    </row>
    <row r="916" spans="1:14" x14ac:dyDescent="0.2">
      <c r="A916" t="s">
        <v>633</v>
      </c>
      <c r="B916" t="s">
        <v>607</v>
      </c>
      <c r="C916">
        <v>1604</v>
      </c>
      <c r="D916" t="s">
        <v>76</v>
      </c>
      <c r="E916" s="1">
        <v>45628</v>
      </c>
      <c r="F916">
        <v>3</v>
      </c>
      <c r="G916" t="s">
        <v>52</v>
      </c>
      <c r="H916" t="s">
        <v>33</v>
      </c>
      <c r="I916" t="s">
        <v>1996</v>
      </c>
      <c r="J916" t="s">
        <v>1259</v>
      </c>
      <c r="K916">
        <v>6160</v>
      </c>
      <c r="L916">
        <v>1200</v>
      </c>
      <c r="M916">
        <v>3600</v>
      </c>
      <c r="N916" t="s">
        <v>1997</v>
      </c>
    </row>
    <row r="917" spans="1:14" x14ac:dyDescent="0.2">
      <c r="A917" t="s">
        <v>568</v>
      </c>
      <c r="B917" t="s">
        <v>396</v>
      </c>
      <c r="C917">
        <v>1608</v>
      </c>
      <c r="D917" t="s">
        <v>31</v>
      </c>
      <c r="E917" s="1">
        <v>45377</v>
      </c>
      <c r="F917">
        <v>3</v>
      </c>
      <c r="G917" t="s">
        <v>52</v>
      </c>
      <c r="H917" t="s">
        <v>33</v>
      </c>
      <c r="I917" t="s">
        <v>2004</v>
      </c>
      <c r="J917" t="s">
        <v>1302</v>
      </c>
      <c r="K917">
        <v>6000</v>
      </c>
      <c r="L917">
        <v>250</v>
      </c>
      <c r="M917">
        <v>750</v>
      </c>
      <c r="N917" t="s">
        <v>2005</v>
      </c>
    </row>
    <row r="918" spans="1:14" x14ac:dyDescent="0.2">
      <c r="A918" t="s">
        <v>658</v>
      </c>
      <c r="B918" t="s">
        <v>659</v>
      </c>
      <c r="C918">
        <v>1626</v>
      </c>
      <c r="D918" t="s">
        <v>92</v>
      </c>
      <c r="E918" s="1">
        <v>45611</v>
      </c>
      <c r="F918">
        <v>1</v>
      </c>
      <c r="G918" t="s">
        <v>52</v>
      </c>
      <c r="H918" t="s">
        <v>33</v>
      </c>
      <c r="I918" t="s">
        <v>2042</v>
      </c>
      <c r="J918" t="s">
        <v>1259</v>
      </c>
      <c r="K918">
        <v>6160</v>
      </c>
      <c r="L918">
        <v>600</v>
      </c>
      <c r="M918">
        <v>600</v>
      </c>
      <c r="N918" t="s">
        <v>2043</v>
      </c>
    </row>
    <row r="919" spans="1:14" x14ac:dyDescent="0.2">
      <c r="A919" t="s">
        <v>543</v>
      </c>
      <c r="B919" t="s">
        <v>664</v>
      </c>
      <c r="C919">
        <v>1630</v>
      </c>
      <c r="D919" t="s">
        <v>92</v>
      </c>
      <c r="E919" s="1">
        <v>45538</v>
      </c>
      <c r="F919">
        <v>3</v>
      </c>
      <c r="G919" t="s">
        <v>52</v>
      </c>
      <c r="H919" t="s">
        <v>33</v>
      </c>
      <c r="I919" t="s">
        <v>2050</v>
      </c>
      <c r="J919" t="s">
        <v>1238</v>
      </c>
      <c r="K919">
        <v>6725</v>
      </c>
      <c r="L919">
        <v>600</v>
      </c>
      <c r="M919">
        <v>1800</v>
      </c>
      <c r="N919" t="s">
        <v>2051</v>
      </c>
    </row>
    <row r="920" spans="1:14" x14ac:dyDescent="0.2">
      <c r="A920" t="s">
        <v>671</v>
      </c>
      <c r="B920" t="s">
        <v>672</v>
      </c>
      <c r="C920">
        <v>1637</v>
      </c>
      <c r="D920" t="s">
        <v>42</v>
      </c>
      <c r="E920" s="1">
        <v>45656</v>
      </c>
      <c r="F920">
        <v>3</v>
      </c>
      <c r="G920" t="s">
        <v>52</v>
      </c>
      <c r="H920" t="s">
        <v>33</v>
      </c>
      <c r="I920" t="s">
        <v>2064</v>
      </c>
      <c r="J920" t="s">
        <v>1259</v>
      </c>
      <c r="K920">
        <v>6160</v>
      </c>
      <c r="L920">
        <v>300</v>
      </c>
      <c r="M920">
        <v>900</v>
      </c>
      <c r="N920" t="s">
        <v>2065</v>
      </c>
    </row>
    <row r="921" spans="1:14" x14ac:dyDescent="0.2">
      <c r="A921" t="s">
        <v>306</v>
      </c>
      <c r="B921" t="s">
        <v>56</v>
      </c>
      <c r="C921">
        <v>1653</v>
      </c>
      <c r="D921" t="s">
        <v>37</v>
      </c>
      <c r="E921" s="1">
        <v>45591</v>
      </c>
      <c r="F921">
        <v>3</v>
      </c>
      <c r="G921" t="s">
        <v>38</v>
      </c>
      <c r="H921" t="s">
        <v>33</v>
      </c>
      <c r="I921" t="s">
        <v>2096</v>
      </c>
      <c r="J921" t="s">
        <v>1238</v>
      </c>
      <c r="K921">
        <v>6725</v>
      </c>
      <c r="L921">
        <v>800</v>
      </c>
      <c r="M921">
        <v>2400</v>
      </c>
      <c r="N921" t="s">
        <v>2097</v>
      </c>
    </row>
    <row r="922" spans="1:14" x14ac:dyDescent="0.2">
      <c r="A922" t="s">
        <v>694</v>
      </c>
      <c r="B922" t="s">
        <v>695</v>
      </c>
      <c r="C922">
        <v>1654</v>
      </c>
      <c r="D922" t="s">
        <v>76</v>
      </c>
      <c r="E922" s="1">
        <v>45422</v>
      </c>
      <c r="F922">
        <v>1</v>
      </c>
      <c r="G922" t="s">
        <v>32</v>
      </c>
      <c r="H922" t="s">
        <v>33</v>
      </c>
      <c r="I922" t="s">
        <v>2098</v>
      </c>
      <c r="J922" t="s">
        <v>1238</v>
      </c>
      <c r="K922">
        <v>6725</v>
      </c>
      <c r="L922">
        <v>1200</v>
      </c>
      <c r="M922">
        <v>1200</v>
      </c>
      <c r="N922" t="s">
        <v>2099</v>
      </c>
    </row>
    <row r="923" spans="1:14" x14ac:dyDescent="0.2">
      <c r="A923" t="s">
        <v>697</v>
      </c>
      <c r="B923" t="s">
        <v>698</v>
      </c>
      <c r="C923">
        <v>1657</v>
      </c>
      <c r="D923" t="s">
        <v>42</v>
      </c>
      <c r="E923" s="1">
        <v>45335</v>
      </c>
      <c r="F923">
        <v>2</v>
      </c>
      <c r="G923" t="s">
        <v>32</v>
      </c>
      <c r="H923" t="s">
        <v>33</v>
      </c>
      <c r="I923" t="s">
        <v>2104</v>
      </c>
      <c r="J923" t="s">
        <v>1302</v>
      </c>
      <c r="K923">
        <v>6000</v>
      </c>
      <c r="L923">
        <v>300</v>
      </c>
      <c r="M923">
        <v>600</v>
      </c>
      <c r="N923" t="s">
        <v>2105</v>
      </c>
    </row>
    <row r="924" spans="1:14" x14ac:dyDescent="0.2">
      <c r="A924" t="s">
        <v>528</v>
      </c>
      <c r="B924" t="s">
        <v>705</v>
      </c>
      <c r="C924">
        <v>1664</v>
      </c>
      <c r="D924" t="s">
        <v>42</v>
      </c>
      <c r="E924" s="1">
        <v>45626</v>
      </c>
      <c r="F924">
        <v>1</v>
      </c>
      <c r="G924" t="s">
        <v>32</v>
      </c>
      <c r="H924" t="s">
        <v>33</v>
      </c>
      <c r="I924" t="s">
        <v>2118</v>
      </c>
      <c r="J924" t="s">
        <v>1259</v>
      </c>
      <c r="K924">
        <v>6160</v>
      </c>
      <c r="L924">
        <v>300</v>
      </c>
      <c r="M924">
        <v>300</v>
      </c>
      <c r="N924" t="s">
        <v>2119</v>
      </c>
    </row>
    <row r="925" spans="1:14" x14ac:dyDescent="0.2">
      <c r="A925" t="s">
        <v>712</v>
      </c>
      <c r="B925" t="s">
        <v>492</v>
      </c>
      <c r="C925">
        <v>1668</v>
      </c>
      <c r="D925" t="s">
        <v>51</v>
      </c>
      <c r="E925" s="1">
        <v>45550</v>
      </c>
      <c r="F925">
        <v>1</v>
      </c>
      <c r="G925" t="s">
        <v>52</v>
      </c>
      <c r="H925" t="s">
        <v>33</v>
      </c>
      <c r="I925" t="s">
        <v>2126</v>
      </c>
      <c r="J925" t="s">
        <v>1238</v>
      </c>
      <c r="K925">
        <v>6725</v>
      </c>
      <c r="L925">
        <v>250</v>
      </c>
      <c r="M925">
        <v>250</v>
      </c>
      <c r="N925" t="s">
        <v>2127</v>
      </c>
    </row>
    <row r="926" spans="1:14" x14ac:dyDescent="0.2">
      <c r="A926" t="s">
        <v>713</v>
      </c>
      <c r="B926" t="s">
        <v>394</v>
      </c>
      <c r="C926">
        <v>1670</v>
      </c>
      <c r="D926" t="s">
        <v>51</v>
      </c>
      <c r="E926" s="1">
        <v>45636</v>
      </c>
      <c r="F926">
        <v>2</v>
      </c>
      <c r="G926" t="s">
        <v>38</v>
      </c>
      <c r="H926" t="s">
        <v>33</v>
      </c>
      <c r="I926" t="s">
        <v>2130</v>
      </c>
      <c r="J926" t="s">
        <v>1238</v>
      </c>
      <c r="K926">
        <v>6725</v>
      </c>
      <c r="L926">
        <v>250</v>
      </c>
      <c r="M926">
        <v>500</v>
      </c>
      <c r="N926" t="s">
        <v>2131</v>
      </c>
    </row>
    <row r="927" spans="1:14" x14ac:dyDescent="0.2">
      <c r="A927" t="s">
        <v>502</v>
      </c>
      <c r="B927" t="s">
        <v>747</v>
      </c>
      <c r="C927">
        <v>1695</v>
      </c>
      <c r="D927" t="s">
        <v>42</v>
      </c>
      <c r="E927" s="1">
        <v>45402</v>
      </c>
      <c r="F927">
        <v>1</v>
      </c>
      <c r="G927" t="s">
        <v>32</v>
      </c>
      <c r="H927" t="s">
        <v>33</v>
      </c>
      <c r="I927" t="s">
        <v>2180</v>
      </c>
      <c r="J927" t="s">
        <v>1259</v>
      </c>
      <c r="K927">
        <v>6160</v>
      </c>
      <c r="L927">
        <v>300</v>
      </c>
      <c r="M927">
        <v>300</v>
      </c>
      <c r="N927" t="s">
        <v>2181</v>
      </c>
    </row>
    <row r="928" spans="1:14" x14ac:dyDescent="0.2">
      <c r="A928" t="s">
        <v>769</v>
      </c>
      <c r="B928" t="s">
        <v>488</v>
      </c>
      <c r="C928">
        <v>1714</v>
      </c>
      <c r="D928" t="s">
        <v>51</v>
      </c>
      <c r="E928" s="1">
        <v>45500</v>
      </c>
      <c r="F928">
        <v>2</v>
      </c>
      <c r="G928" t="s">
        <v>52</v>
      </c>
      <c r="H928" t="s">
        <v>33</v>
      </c>
      <c r="I928" t="s">
        <v>2218</v>
      </c>
      <c r="J928" t="s">
        <v>1302</v>
      </c>
      <c r="K928">
        <v>6000</v>
      </c>
      <c r="L928">
        <v>250</v>
      </c>
      <c r="M928">
        <v>500</v>
      </c>
      <c r="N928" t="s">
        <v>2219</v>
      </c>
    </row>
    <row r="929" spans="1:14" x14ac:dyDescent="0.2">
      <c r="A929" t="s">
        <v>770</v>
      </c>
      <c r="B929" t="s">
        <v>771</v>
      </c>
      <c r="C929">
        <v>1715</v>
      </c>
      <c r="D929" t="s">
        <v>42</v>
      </c>
      <c r="E929" s="1">
        <v>45375</v>
      </c>
      <c r="F929">
        <v>3</v>
      </c>
      <c r="G929" t="s">
        <v>52</v>
      </c>
      <c r="H929" t="s">
        <v>33</v>
      </c>
      <c r="I929" t="s">
        <v>2220</v>
      </c>
      <c r="J929" t="s">
        <v>1259</v>
      </c>
      <c r="K929">
        <v>6160</v>
      </c>
      <c r="L929">
        <v>300</v>
      </c>
      <c r="M929">
        <v>900</v>
      </c>
      <c r="N929" t="s">
        <v>2221</v>
      </c>
    </row>
    <row r="930" spans="1:14" x14ac:dyDescent="0.2">
      <c r="A930" t="s">
        <v>724</v>
      </c>
      <c r="B930" t="s">
        <v>303</v>
      </c>
      <c r="C930">
        <v>1718</v>
      </c>
      <c r="D930" t="s">
        <v>31</v>
      </c>
      <c r="E930" s="1">
        <v>45612</v>
      </c>
      <c r="F930">
        <v>2</v>
      </c>
      <c r="G930" t="s">
        <v>52</v>
      </c>
      <c r="H930" t="s">
        <v>33</v>
      </c>
      <c r="I930" t="s">
        <v>2226</v>
      </c>
      <c r="J930" t="s">
        <v>1259</v>
      </c>
      <c r="K930">
        <v>6160</v>
      </c>
      <c r="L930">
        <v>250</v>
      </c>
      <c r="M930">
        <v>500</v>
      </c>
      <c r="N930" t="s">
        <v>2227</v>
      </c>
    </row>
    <row r="931" spans="1:14" x14ac:dyDescent="0.2">
      <c r="A931" t="s">
        <v>347</v>
      </c>
      <c r="B931" t="s">
        <v>335</v>
      </c>
      <c r="C931">
        <v>1721</v>
      </c>
      <c r="D931" t="s">
        <v>51</v>
      </c>
      <c r="E931" s="1">
        <v>45499</v>
      </c>
      <c r="F931">
        <v>3</v>
      </c>
      <c r="G931" t="s">
        <v>32</v>
      </c>
      <c r="H931" t="s">
        <v>33</v>
      </c>
      <c r="I931" t="s">
        <v>2232</v>
      </c>
      <c r="J931" t="s">
        <v>1238</v>
      </c>
      <c r="K931">
        <v>6725</v>
      </c>
      <c r="L931">
        <v>250</v>
      </c>
      <c r="M931">
        <v>750</v>
      </c>
      <c r="N931" t="s">
        <v>2233</v>
      </c>
    </row>
    <row r="932" spans="1:14" x14ac:dyDescent="0.2">
      <c r="A932" t="s">
        <v>776</v>
      </c>
      <c r="B932" t="s">
        <v>777</v>
      </c>
      <c r="C932">
        <v>1723</v>
      </c>
      <c r="D932" t="s">
        <v>42</v>
      </c>
      <c r="E932" s="1">
        <v>45499</v>
      </c>
      <c r="F932">
        <v>3</v>
      </c>
      <c r="G932" t="s">
        <v>32</v>
      </c>
      <c r="H932" t="s">
        <v>33</v>
      </c>
      <c r="I932" t="s">
        <v>2236</v>
      </c>
      <c r="J932" t="s">
        <v>1302</v>
      </c>
      <c r="K932">
        <v>6000</v>
      </c>
      <c r="L932">
        <v>300</v>
      </c>
      <c r="M932">
        <v>900</v>
      </c>
      <c r="N932" t="s">
        <v>2237</v>
      </c>
    </row>
    <row r="933" spans="1:14" x14ac:dyDescent="0.2">
      <c r="A933" t="s">
        <v>299</v>
      </c>
      <c r="B933" t="s">
        <v>779</v>
      </c>
      <c r="C933">
        <v>1725</v>
      </c>
      <c r="D933" t="s">
        <v>51</v>
      </c>
      <c r="E933" s="1">
        <v>45326</v>
      </c>
      <c r="F933">
        <v>2</v>
      </c>
      <c r="G933" t="s">
        <v>71</v>
      </c>
      <c r="H933" t="s">
        <v>33</v>
      </c>
      <c r="I933" t="s">
        <v>2240</v>
      </c>
      <c r="J933" t="s">
        <v>1238</v>
      </c>
      <c r="K933">
        <v>6725</v>
      </c>
      <c r="L933">
        <v>250</v>
      </c>
      <c r="M933">
        <v>500</v>
      </c>
      <c r="N933" t="s">
        <v>2241</v>
      </c>
    </row>
    <row r="934" spans="1:14" x14ac:dyDescent="0.2">
      <c r="A934" t="s">
        <v>364</v>
      </c>
      <c r="B934" t="s">
        <v>788</v>
      </c>
      <c r="C934">
        <v>1732</v>
      </c>
      <c r="D934" t="s">
        <v>37</v>
      </c>
      <c r="E934" s="1">
        <v>45576</v>
      </c>
      <c r="F934">
        <v>3</v>
      </c>
      <c r="G934" t="s">
        <v>71</v>
      </c>
      <c r="H934" t="s">
        <v>33</v>
      </c>
      <c r="I934" t="s">
        <v>2254</v>
      </c>
      <c r="J934" t="s">
        <v>1302</v>
      </c>
      <c r="K934">
        <v>6000</v>
      </c>
      <c r="L934">
        <v>800</v>
      </c>
      <c r="M934">
        <v>2400</v>
      </c>
      <c r="N934" t="s">
        <v>2255</v>
      </c>
    </row>
    <row r="935" spans="1:14" x14ac:dyDescent="0.2">
      <c r="A935" t="s">
        <v>789</v>
      </c>
      <c r="B935" t="s">
        <v>74</v>
      </c>
      <c r="C935">
        <v>1733</v>
      </c>
      <c r="D935" t="s">
        <v>92</v>
      </c>
      <c r="E935" s="1">
        <v>45368</v>
      </c>
      <c r="F935">
        <v>3</v>
      </c>
      <c r="G935" t="s">
        <v>32</v>
      </c>
      <c r="H935" t="s">
        <v>33</v>
      </c>
      <c r="I935" t="s">
        <v>2256</v>
      </c>
      <c r="J935" t="s">
        <v>1259</v>
      </c>
      <c r="K935">
        <v>6160</v>
      </c>
      <c r="L935">
        <v>600</v>
      </c>
      <c r="M935">
        <v>1800</v>
      </c>
      <c r="N935" t="s">
        <v>2257</v>
      </c>
    </row>
    <row r="936" spans="1:14" x14ac:dyDescent="0.2">
      <c r="A936" t="s">
        <v>795</v>
      </c>
      <c r="B936" t="s">
        <v>672</v>
      </c>
      <c r="C936">
        <v>1739</v>
      </c>
      <c r="D936" t="s">
        <v>31</v>
      </c>
      <c r="E936" s="1">
        <v>45505</v>
      </c>
      <c r="F936">
        <v>3</v>
      </c>
      <c r="G936" t="s">
        <v>52</v>
      </c>
      <c r="H936" t="s">
        <v>33</v>
      </c>
      <c r="I936" t="s">
        <v>2268</v>
      </c>
      <c r="J936" t="s">
        <v>1302</v>
      </c>
      <c r="K936">
        <v>6000</v>
      </c>
      <c r="L936">
        <v>250</v>
      </c>
      <c r="M936">
        <v>750</v>
      </c>
      <c r="N936" t="s">
        <v>2269</v>
      </c>
    </row>
    <row r="937" spans="1:14" x14ac:dyDescent="0.2">
      <c r="A937" t="s">
        <v>770</v>
      </c>
      <c r="B937" t="s">
        <v>796</v>
      </c>
      <c r="C937">
        <v>1740</v>
      </c>
      <c r="D937" t="s">
        <v>42</v>
      </c>
      <c r="E937" s="1">
        <v>45551</v>
      </c>
      <c r="F937">
        <v>3</v>
      </c>
      <c r="G937" t="s">
        <v>38</v>
      </c>
      <c r="H937" t="s">
        <v>33</v>
      </c>
      <c r="I937" t="s">
        <v>2270</v>
      </c>
      <c r="J937" t="s">
        <v>1238</v>
      </c>
      <c r="K937">
        <v>6725</v>
      </c>
      <c r="L937">
        <v>300</v>
      </c>
      <c r="M937">
        <v>900</v>
      </c>
      <c r="N937" t="s">
        <v>2271</v>
      </c>
    </row>
    <row r="938" spans="1:14" x14ac:dyDescent="0.2">
      <c r="A938" t="s">
        <v>801</v>
      </c>
      <c r="B938" t="s">
        <v>802</v>
      </c>
      <c r="C938">
        <v>1745</v>
      </c>
      <c r="D938" t="s">
        <v>42</v>
      </c>
      <c r="E938" s="1">
        <v>45379</v>
      </c>
      <c r="F938">
        <v>3</v>
      </c>
      <c r="G938" t="s">
        <v>52</v>
      </c>
      <c r="H938" t="s">
        <v>33</v>
      </c>
      <c r="I938" t="s">
        <v>2280</v>
      </c>
      <c r="J938" t="s">
        <v>1302</v>
      </c>
      <c r="K938">
        <v>6000</v>
      </c>
      <c r="L938">
        <v>300</v>
      </c>
      <c r="M938">
        <v>900</v>
      </c>
      <c r="N938" t="s">
        <v>2281</v>
      </c>
    </row>
    <row r="939" spans="1:14" x14ac:dyDescent="0.2">
      <c r="A939" t="s">
        <v>273</v>
      </c>
      <c r="B939" t="s">
        <v>810</v>
      </c>
      <c r="C939">
        <v>1755</v>
      </c>
      <c r="D939" t="s">
        <v>76</v>
      </c>
      <c r="E939" s="1">
        <v>45650</v>
      </c>
      <c r="F939">
        <v>3</v>
      </c>
      <c r="G939" t="s">
        <v>52</v>
      </c>
      <c r="H939" t="s">
        <v>33</v>
      </c>
      <c r="I939" t="s">
        <v>2300</v>
      </c>
      <c r="J939" t="s">
        <v>1238</v>
      </c>
      <c r="K939">
        <v>6725</v>
      </c>
      <c r="L939">
        <v>1200</v>
      </c>
      <c r="M939">
        <v>3600</v>
      </c>
      <c r="N939" t="s">
        <v>2301</v>
      </c>
    </row>
    <row r="940" spans="1:14" x14ac:dyDescent="0.2">
      <c r="A940" t="s">
        <v>812</v>
      </c>
      <c r="B940" t="s">
        <v>757</v>
      </c>
      <c r="C940">
        <v>1757</v>
      </c>
      <c r="D940" t="s">
        <v>42</v>
      </c>
      <c r="E940" s="1">
        <v>45611</v>
      </c>
      <c r="F940">
        <v>2</v>
      </c>
      <c r="G940" t="s">
        <v>32</v>
      </c>
      <c r="H940" t="s">
        <v>33</v>
      </c>
      <c r="I940" t="s">
        <v>2304</v>
      </c>
      <c r="J940" t="s">
        <v>1238</v>
      </c>
      <c r="K940">
        <v>6725</v>
      </c>
      <c r="L940">
        <v>300</v>
      </c>
      <c r="M940">
        <v>600</v>
      </c>
      <c r="N940" t="s">
        <v>2305</v>
      </c>
    </row>
    <row r="941" spans="1:14" x14ac:dyDescent="0.2">
      <c r="A941" t="s">
        <v>813</v>
      </c>
      <c r="B941" t="s">
        <v>814</v>
      </c>
      <c r="C941">
        <v>1758</v>
      </c>
      <c r="D941" t="s">
        <v>37</v>
      </c>
      <c r="E941" s="1">
        <v>45525</v>
      </c>
      <c r="F941">
        <v>2</v>
      </c>
      <c r="G941" t="s">
        <v>52</v>
      </c>
      <c r="H941" t="s">
        <v>33</v>
      </c>
      <c r="I941" t="s">
        <v>2306</v>
      </c>
      <c r="J941" t="s">
        <v>1302</v>
      </c>
      <c r="K941">
        <v>6000</v>
      </c>
      <c r="L941">
        <v>800</v>
      </c>
      <c r="M941">
        <v>1600</v>
      </c>
      <c r="N941" t="s">
        <v>2307</v>
      </c>
    </row>
    <row r="942" spans="1:14" x14ac:dyDescent="0.2">
      <c r="A942" t="s">
        <v>241</v>
      </c>
      <c r="B942" t="s">
        <v>768</v>
      </c>
      <c r="C942">
        <v>1768</v>
      </c>
      <c r="D942" t="s">
        <v>76</v>
      </c>
      <c r="E942" s="1">
        <v>45328</v>
      </c>
      <c r="F942">
        <v>2</v>
      </c>
      <c r="G942" t="s">
        <v>32</v>
      </c>
      <c r="H942" t="s">
        <v>33</v>
      </c>
      <c r="I942" t="s">
        <v>2326</v>
      </c>
      <c r="J942" t="s">
        <v>1259</v>
      </c>
      <c r="K942">
        <v>6160</v>
      </c>
      <c r="L942">
        <v>1200</v>
      </c>
      <c r="M942">
        <v>2400</v>
      </c>
      <c r="N942" t="s">
        <v>2327</v>
      </c>
    </row>
    <row r="943" spans="1:14" x14ac:dyDescent="0.2">
      <c r="A943" t="s">
        <v>842</v>
      </c>
      <c r="B943" t="s">
        <v>843</v>
      </c>
      <c r="C943">
        <v>1788</v>
      </c>
      <c r="D943" t="s">
        <v>76</v>
      </c>
      <c r="E943" s="1">
        <v>45631</v>
      </c>
      <c r="F943">
        <v>2</v>
      </c>
      <c r="G943" t="s">
        <v>32</v>
      </c>
      <c r="H943" t="s">
        <v>33</v>
      </c>
      <c r="I943" t="s">
        <v>2366</v>
      </c>
      <c r="J943" t="s">
        <v>1302</v>
      </c>
      <c r="K943">
        <v>6000</v>
      </c>
      <c r="L943">
        <v>1200</v>
      </c>
      <c r="M943">
        <v>2400</v>
      </c>
      <c r="N943" t="s">
        <v>2367</v>
      </c>
    </row>
    <row r="944" spans="1:14" x14ac:dyDescent="0.2">
      <c r="A944" t="s">
        <v>143</v>
      </c>
      <c r="B944" t="s">
        <v>856</v>
      </c>
      <c r="C944">
        <v>1798</v>
      </c>
      <c r="D944" t="s">
        <v>37</v>
      </c>
      <c r="E944" s="1">
        <v>45549</v>
      </c>
      <c r="F944">
        <v>1</v>
      </c>
      <c r="G944" t="s">
        <v>32</v>
      </c>
      <c r="H944" t="s">
        <v>33</v>
      </c>
      <c r="I944" t="s">
        <v>2386</v>
      </c>
      <c r="J944" t="s">
        <v>1238</v>
      </c>
      <c r="K944">
        <v>6725</v>
      </c>
      <c r="L944">
        <v>800</v>
      </c>
      <c r="M944">
        <v>800</v>
      </c>
      <c r="N944" t="s">
        <v>2387</v>
      </c>
    </row>
    <row r="945" spans="1:14" x14ac:dyDescent="0.2">
      <c r="A945" t="s">
        <v>834</v>
      </c>
      <c r="B945" t="s">
        <v>860</v>
      </c>
      <c r="C945">
        <v>1804</v>
      </c>
      <c r="D945" t="s">
        <v>76</v>
      </c>
      <c r="E945" s="1">
        <v>45569</v>
      </c>
      <c r="F945">
        <v>3</v>
      </c>
      <c r="G945" t="s">
        <v>52</v>
      </c>
      <c r="H945" t="s">
        <v>33</v>
      </c>
      <c r="I945" t="s">
        <v>2398</v>
      </c>
      <c r="J945" t="s">
        <v>1259</v>
      </c>
      <c r="K945">
        <v>6160</v>
      </c>
      <c r="L945">
        <v>1200</v>
      </c>
      <c r="M945">
        <v>3600</v>
      </c>
      <c r="N945" t="s">
        <v>2399</v>
      </c>
    </row>
    <row r="946" spans="1:14" x14ac:dyDescent="0.2">
      <c r="A946" t="s">
        <v>880</v>
      </c>
      <c r="B946" t="s">
        <v>659</v>
      </c>
      <c r="C946">
        <v>1824</v>
      </c>
      <c r="D946" t="s">
        <v>76</v>
      </c>
      <c r="E946" s="1">
        <v>45556</v>
      </c>
      <c r="F946">
        <v>2</v>
      </c>
      <c r="G946" t="s">
        <v>32</v>
      </c>
      <c r="H946" t="s">
        <v>33</v>
      </c>
      <c r="I946" t="s">
        <v>2438</v>
      </c>
      <c r="J946" t="s">
        <v>1259</v>
      </c>
      <c r="K946">
        <v>6160</v>
      </c>
      <c r="L946">
        <v>1200</v>
      </c>
      <c r="M946">
        <v>2400</v>
      </c>
      <c r="N946" t="s">
        <v>2439</v>
      </c>
    </row>
    <row r="947" spans="1:14" x14ac:dyDescent="0.2">
      <c r="A947" t="s">
        <v>882</v>
      </c>
      <c r="B947" t="s">
        <v>883</v>
      </c>
      <c r="C947">
        <v>1826</v>
      </c>
      <c r="D947" t="s">
        <v>76</v>
      </c>
      <c r="E947" s="1">
        <v>45388</v>
      </c>
      <c r="F947">
        <v>2</v>
      </c>
      <c r="G947" t="s">
        <v>71</v>
      </c>
      <c r="H947" t="s">
        <v>33</v>
      </c>
      <c r="I947" t="s">
        <v>2442</v>
      </c>
      <c r="J947" t="s">
        <v>1302</v>
      </c>
      <c r="K947">
        <v>6000</v>
      </c>
      <c r="L947">
        <v>1200</v>
      </c>
      <c r="M947">
        <v>2400</v>
      </c>
      <c r="N947" t="s">
        <v>2443</v>
      </c>
    </row>
    <row r="948" spans="1:14" x14ac:dyDescent="0.2">
      <c r="A948" t="s">
        <v>890</v>
      </c>
      <c r="B948" t="s">
        <v>891</v>
      </c>
      <c r="C948">
        <v>1832</v>
      </c>
      <c r="D948" t="s">
        <v>51</v>
      </c>
      <c r="E948" s="1">
        <v>45582</v>
      </c>
      <c r="F948">
        <v>2</v>
      </c>
      <c r="G948" t="s">
        <v>32</v>
      </c>
      <c r="H948" t="s">
        <v>33</v>
      </c>
      <c r="I948" t="s">
        <v>2454</v>
      </c>
      <c r="J948" t="s">
        <v>1238</v>
      </c>
      <c r="K948">
        <v>6725</v>
      </c>
      <c r="L948">
        <v>250</v>
      </c>
      <c r="M948">
        <v>500</v>
      </c>
      <c r="N948" t="s">
        <v>2455</v>
      </c>
    </row>
    <row r="949" spans="1:14" x14ac:dyDescent="0.2">
      <c r="A949" t="s">
        <v>894</v>
      </c>
      <c r="B949" t="s">
        <v>208</v>
      </c>
      <c r="C949">
        <v>1834</v>
      </c>
      <c r="D949" t="s">
        <v>42</v>
      </c>
      <c r="E949" s="1">
        <v>45431</v>
      </c>
      <c r="F949">
        <v>1</v>
      </c>
      <c r="G949" t="s">
        <v>71</v>
      </c>
      <c r="H949" t="s">
        <v>33</v>
      </c>
      <c r="I949" t="s">
        <v>2458</v>
      </c>
      <c r="J949" t="s">
        <v>1259</v>
      </c>
      <c r="K949">
        <v>6160</v>
      </c>
      <c r="L949">
        <v>300</v>
      </c>
      <c r="M949">
        <v>300</v>
      </c>
      <c r="N949" t="s">
        <v>2459</v>
      </c>
    </row>
    <row r="950" spans="1:14" x14ac:dyDescent="0.2">
      <c r="A950" t="s">
        <v>901</v>
      </c>
      <c r="B950" t="s">
        <v>116</v>
      </c>
      <c r="C950">
        <v>1843</v>
      </c>
      <c r="D950" t="s">
        <v>92</v>
      </c>
      <c r="E950" s="1">
        <v>45384</v>
      </c>
      <c r="F950">
        <v>1</v>
      </c>
      <c r="G950" t="s">
        <v>52</v>
      </c>
      <c r="H950" t="s">
        <v>33</v>
      </c>
      <c r="I950" t="s">
        <v>2476</v>
      </c>
      <c r="J950" t="s">
        <v>1238</v>
      </c>
      <c r="K950">
        <v>6725</v>
      </c>
      <c r="L950">
        <v>600</v>
      </c>
      <c r="M950">
        <v>600</v>
      </c>
      <c r="N950" t="s">
        <v>2477</v>
      </c>
    </row>
    <row r="951" spans="1:14" x14ac:dyDescent="0.2">
      <c r="A951" t="s">
        <v>902</v>
      </c>
      <c r="B951" t="s">
        <v>840</v>
      </c>
      <c r="C951">
        <v>1844</v>
      </c>
      <c r="D951" t="s">
        <v>76</v>
      </c>
      <c r="E951" s="1">
        <v>45442</v>
      </c>
      <c r="F951">
        <v>3</v>
      </c>
      <c r="G951" t="s">
        <v>52</v>
      </c>
      <c r="H951" t="s">
        <v>33</v>
      </c>
      <c r="I951" t="s">
        <v>2478</v>
      </c>
      <c r="J951" t="s">
        <v>1302</v>
      </c>
      <c r="K951">
        <v>6000</v>
      </c>
      <c r="L951">
        <v>1200</v>
      </c>
      <c r="M951">
        <v>3600</v>
      </c>
      <c r="N951" t="s">
        <v>2479</v>
      </c>
    </row>
    <row r="952" spans="1:14" x14ac:dyDescent="0.2">
      <c r="A952" t="s">
        <v>110</v>
      </c>
      <c r="B952" t="s">
        <v>906</v>
      </c>
      <c r="C952">
        <v>1848</v>
      </c>
      <c r="D952" t="s">
        <v>51</v>
      </c>
      <c r="E952" s="1">
        <v>45431</v>
      </c>
      <c r="F952">
        <v>1</v>
      </c>
      <c r="G952" t="s">
        <v>32</v>
      </c>
      <c r="H952" t="s">
        <v>33</v>
      </c>
      <c r="I952" t="s">
        <v>2485</v>
      </c>
      <c r="J952" t="s">
        <v>1259</v>
      </c>
      <c r="K952">
        <v>6160</v>
      </c>
      <c r="L952">
        <v>250</v>
      </c>
      <c r="M952">
        <v>250</v>
      </c>
      <c r="N952" t="s">
        <v>2486</v>
      </c>
    </row>
    <row r="953" spans="1:14" x14ac:dyDescent="0.2">
      <c r="A953" t="s">
        <v>453</v>
      </c>
      <c r="B953" t="s">
        <v>811</v>
      </c>
      <c r="C953">
        <v>1850</v>
      </c>
      <c r="D953" t="s">
        <v>31</v>
      </c>
      <c r="E953" s="1">
        <v>45292</v>
      </c>
      <c r="F953">
        <v>2</v>
      </c>
      <c r="G953" t="s">
        <v>32</v>
      </c>
      <c r="H953" t="s">
        <v>33</v>
      </c>
      <c r="I953" t="s">
        <v>2489</v>
      </c>
      <c r="J953" t="s">
        <v>1238</v>
      </c>
      <c r="K953">
        <v>6725</v>
      </c>
      <c r="L953">
        <v>250</v>
      </c>
      <c r="M953">
        <v>500</v>
      </c>
      <c r="N953" t="s">
        <v>2490</v>
      </c>
    </row>
    <row r="954" spans="1:14" x14ac:dyDescent="0.2">
      <c r="A954" t="s">
        <v>652</v>
      </c>
      <c r="B954" t="s">
        <v>908</v>
      </c>
      <c r="C954">
        <v>1852</v>
      </c>
      <c r="D954" t="s">
        <v>51</v>
      </c>
      <c r="E954" s="1">
        <v>45403</v>
      </c>
      <c r="F954">
        <v>2</v>
      </c>
      <c r="G954" t="s">
        <v>32</v>
      </c>
      <c r="H954" t="s">
        <v>33</v>
      </c>
      <c r="I954" t="s">
        <v>2493</v>
      </c>
      <c r="J954" t="s">
        <v>1259</v>
      </c>
      <c r="K954">
        <v>6160</v>
      </c>
      <c r="L954">
        <v>250</v>
      </c>
      <c r="M954">
        <v>500</v>
      </c>
      <c r="N954" t="s">
        <v>2494</v>
      </c>
    </row>
    <row r="955" spans="1:14" x14ac:dyDescent="0.2">
      <c r="A955" t="s">
        <v>912</v>
      </c>
      <c r="B955" t="s">
        <v>913</v>
      </c>
      <c r="C955">
        <v>1856</v>
      </c>
      <c r="D955" t="s">
        <v>37</v>
      </c>
      <c r="E955" s="1">
        <v>45326</v>
      </c>
      <c r="F955">
        <v>2</v>
      </c>
      <c r="G955" t="s">
        <v>71</v>
      </c>
      <c r="H955" t="s">
        <v>33</v>
      </c>
      <c r="I955" t="s">
        <v>2501</v>
      </c>
      <c r="J955" t="s">
        <v>1238</v>
      </c>
      <c r="K955">
        <v>6725</v>
      </c>
      <c r="L955">
        <v>800</v>
      </c>
      <c r="M955">
        <v>1600</v>
      </c>
      <c r="N955" t="s">
        <v>2502</v>
      </c>
    </row>
    <row r="956" spans="1:14" x14ac:dyDescent="0.2">
      <c r="A956" t="s">
        <v>902</v>
      </c>
      <c r="B956" t="s">
        <v>863</v>
      </c>
      <c r="C956">
        <v>1860</v>
      </c>
      <c r="D956" t="s">
        <v>31</v>
      </c>
      <c r="E956" s="1">
        <v>45358</v>
      </c>
      <c r="F956">
        <v>2</v>
      </c>
      <c r="G956" t="s">
        <v>52</v>
      </c>
      <c r="H956" t="s">
        <v>33</v>
      </c>
      <c r="I956" t="s">
        <v>2509</v>
      </c>
      <c r="J956" t="s">
        <v>1259</v>
      </c>
      <c r="K956">
        <v>6160</v>
      </c>
      <c r="L956">
        <v>250</v>
      </c>
      <c r="M956">
        <v>500</v>
      </c>
      <c r="N956" t="s">
        <v>2510</v>
      </c>
    </row>
    <row r="957" spans="1:14" x14ac:dyDescent="0.2">
      <c r="A957" t="s">
        <v>930</v>
      </c>
      <c r="B957" t="s">
        <v>931</v>
      </c>
      <c r="C957">
        <v>1870</v>
      </c>
      <c r="D957" t="s">
        <v>42</v>
      </c>
      <c r="E957" s="1">
        <v>45556</v>
      </c>
      <c r="F957">
        <v>3</v>
      </c>
      <c r="G957" t="s">
        <v>32</v>
      </c>
      <c r="H957" t="s">
        <v>33</v>
      </c>
      <c r="I957" t="s">
        <v>2529</v>
      </c>
      <c r="J957" t="s">
        <v>1238</v>
      </c>
      <c r="K957">
        <v>6725</v>
      </c>
      <c r="L957">
        <v>300</v>
      </c>
      <c r="M957">
        <v>900</v>
      </c>
      <c r="N957" t="s">
        <v>2530</v>
      </c>
    </row>
    <row r="958" spans="1:14" x14ac:dyDescent="0.2">
      <c r="A958" t="s">
        <v>940</v>
      </c>
      <c r="B958" t="s">
        <v>725</v>
      </c>
      <c r="C958">
        <v>1880</v>
      </c>
      <c r="D958" t="s">
        <v>37</v>
      </c>
      <c r="E958" s="1">
        <v>45483</v>
      </c>
      <c r="F958">
        <v>2</v>
      </c>
      <c r="G958" t="s">
        <v>52</v>
      </c>
      <c r="H958" t="s">
        <v>33</v>
      </c>
      <c r="I958" t="s">
        <v>2549</v>
      </c>
      <c r="J958" t="s">
        <v>1259</v>
      </c>
      <c r="K958">
        <v>6160</v>
      </c>
      <c r="L958">
        <v>800</v>
      </c>
      <c r="M958">
        <v>1600</v>
      </c>
      <c r="N958" t="s">
        <v>2550</v>
      </c>
    </row>
    <row r="959" spans="1:14" x14ac:dyDescent="0.2">
      <c r="A959" t="s">
        <v>941</v>
      </c>
      <c r="B959" t="s">
        <v>942</v>
      </c>
      <c r="C959">
        <v>1882</v>
      </c>
      <c r="D959" t="s">
        <v>51</v>
      </c>
      <c r="E959" s="1">
        <v>45323</v>
      </c>
      <c r="F959">
        <v>2</v>
      </c>
      <c r="G959" t="s">
        <v>52</v>
      </c>
      <c r="H959" t="s">
        <v>33</v>
      </c>
      <c r="I959" t="s">
        <v>2553</v>
      </c>
      <c r="J959" t="s">
        <v>1259</v>
      </c>
      <c r="K959">
        <v>6160</v>
      </c>
      <c r="L959">
        <v>250</v>
      </c>
      <c r="M959">
        <v>500</v>
      </c>
      <c r="N959" t="s">
        <v>2554</v>
      </c>
    </row>
    <row r="960" spans="1:14" x14ac:dyDescent="0.2">
      <c r="A960" t="s">
        <v>667</v>
      </c>
      <c r="B960" t="s">
        <v>943</v>
      </c>
      <c r="C960">
        <v>1883</v>
      </c>
      <c r="D960" t="s">
        <v>42</v>
      </c>
      <c r="E960" s="1">
        <v>45620</v>
      </c>
      <c r="F960">
        <v>2</v>
      </c>
      <c r="G960" t="s">
        <v>71</v>
      </c>
      <c r="H960" t="s">
        <v>33</v>
      </c>
      <c r="I960" t="s">
        <v>2555</v>
      </c>
      <c r="J960" t="s">
        <v>1238</v>
      </c>
      <c r="K960">
        <v>6725</v>
      </c>
      <c r="L960">
        <v>300</v>
      </c>
      <c r="M960">
        <v>600</v>
      </c>
      <c r="N960" t="s">
        <v>2556</v>
      </c>
    </row>
    <row r="961" spans="1:14" x14ac:dyDescent="0.2">
      <c r="A961" t="s">
        <v>948</v>
      </c>
      <c r="B961" t="s">
        <v>255</v>
      </c>
      <c r="C961">
        <v>1888</v>
      </c>
      <c r="D961" t="s">
        <v>37</v>
      </c>
      <c r="E961" s="1">
        <v>45610</v>
      </c>
      <c r="F961">
        <v>1</v>
      </c>
      <c r="G961" t="s">
        <v>32</v>
      </c>
      <c r="H961" t="s">
        <v>33</v>
      </c>
      <c r="I961" t="s">
        <v>2565</v>
      </c>
      <c r="J961" t="s">
        <v>1238</v>
      </c>
      <c r="K961">
        <v>6725</v>
      </c>
      <c r="L961">
        <v>800</v>
      </c>
      <c r="M961">
        <v>800</v>
      </c>
      <c r="N961" t="s">
        <v>2566</v>
      </c>
    </row>
    <row r="962" spans="1:14" x14ac:dyDescent="0.2">
      <c r="A962" t="s">
        <v>510</v>
      </c>
      <c r="B962" t="s">
        <v>845</v>
      </c>
      <c r="C962">
        <v>1897</v>
      </c>
      <c r="D962" t="s">
        <v>76</v>
      </c>
      <c r="E962" s="1">
        <v>45299</v>
      </c>
      <c r="F962">
        <v>3</v>
      </c>
      <c r="G962" t="s">
        <v>71</v>
      </c>
      <c r="H962" t="s">
        <v>33</v>
      </c>
      <c r="I962" t="s">
        <v>2583</v>
      </c>
      <c r="J962" t="s">
        <v>1259</v>
      </c>
      <c r="K962">
        <v>6160</v>
      </c>
      <c r="L962">
        <v>1200</v>
      </c>
      <c r="M962">
        <v>3600</v>
      </c>
      <c r="N962" t="s">
        <v>2584</v>
      </c>
    </row>
    <row r="963" spans="1:14" x14ac:dyDescent="0.2">
      <c r="A963" t="s">
        <v>951</v>
      </c>
      <c r="B963" t="s">
        <v>456</v>
      </c>
      <c r="C963">
        <v>1899</v>
      </c>
      <c r="D963" t="s">
        <v>31</v>
      </c>
      <c r="E963" s="1">
        <v>45378</v>
      </c>
      <c r="F963">
        <v>1</v>
      </c>
      <c r="G963" t="s">
        <v>32</v>
      </c>
      <c r="H963" t="s">
        <v>33</v>
      </c>
      <c r="I963" t="s">
        <v>2587</v>
      </c>
      <c r="J963" t="s">
        <v>1238</v>
      </c>
      <c r="K963">
        <v>6725</v>
      </c>
      <c r="L963">
        <v>250</v>
      </c>
      <c r="M963">
        <v>250</v>
      </c>
      <c r="N963" t="s">
        <v>2588</v>
      </c>
    </row>
    <row r="964" spans="1:14" x14ac:dyDescent="0.2">
      <c r="A964" t="s">
        <v>970</v>
      </c>
      <c r="B964" t="s">
        <v>246</v>
      </c>
      <c r="C964">
        <v>1913</v>
      </c>
      <c r="D964" t="s">
        <v>76</v>
      </c>
      <c r="E964" s="1">
        <v>45498</v>
      </c>
      <c r="F964">
        <v>1</v>
      </c>
      <c r="G964" t="s">
        <v>32</v>
      </c>
      <c r="H964" t="s">
        <v>33</v>
      </c>
      <c r="I964" t="s">
        <v>2615</v>
      </c>
      <c r="J964" t="s">
        <v>1302</v>
      </c>
      <c r="K964">
        <v>6000</v>
      </c>
      <c r="L964">
        <v>1200</v>
      </c>
      <c r="M964">
        <v>1200</v>
      </c>
      <c r="N964" t="s">
        <v>2616</v>
      </c>
    </row>
    <row r="965" spans="1:14" x14ac:dyDescent="0.2">
      <c r="A965" t="s">
        <v>975</v>
      </c>
      <c r="B965" t="s">
        <v>976</v>
      </c>
      <c r="C965">
        <v>1918</v>
      </c>
      <c r="D965" t="s">
        <v>37</v>
      </c>
      <c r="E965" s="1">
        <v>45389</v>
      </c>
      <c r="F965">
        <v>2</v>
      </c>
      <c r="G965" t="s">
        <v>71</v>
      </c>
      <c r="H965" t="s">
        <v>33</v>
      </c>
      <c r="I965" t="s">
        <v>2625</v>
      </c>
      <c r="J965" t="s">
        <v>1259</v>
      </c>
      <c r="K965">
        <v>6160</v>
      </c>
      <c r="L965">
        <v>800</v>
      </c>
      <c r="M965">
        <v>1600</v>
      </c>
      <c r="N965" t="s">
        <v>2626</v>
      </c>
    </row>
    <row r="966" spans="1:14" x14ac:dyDescent="0.2">
      <c r="A966" t="s">
        <v>371</v>
      </c>
      <c r="B966" t="s">
        <v>981</v>
      </c>
      <c r="C966">
        <v>1921</v>
      </c>
      <c r="D966" t="s">
        <v>51</v>
      </c>
      <c r="E966" s="1">
        <v>45577</v>
      </c>
      <c r="F966">
        <v>2</v>
      </c>
      <c r="G966" t="s">
        <v>38</v>
      </c>
      <c r="H966" t="s">
        <v>33</v>
      </c>
      <c r="I966" t="s">
        <v>2631</v>
      </c>
      <c r="J966" t="s">
        <v>1302</v>
      </c>
      <c r="K966">
        <v>6000</v>
      </c>
      <c r="L966">
        <v>250</v>
      </c>
      <c r="M966">
        <v>500</v>
      </c>
      <c r="N966" t="s">
        <v>2632</v>
      </c>
    </row>
    <row r="967" spans="1:14" x14ac:dyDescent="0.2">
      <c r="A967" t="s">
        <v>112</v>
      </c>
      <c r="B967" t="s">
        <v>994</v>
      </c>
      <c r="C967">
        <v>1932</v>
      </c>
      <c r="D967" t="s">
        <v>92</v>
      </c>
      <c r="E967" s="1">
        <v>45516</v>
      </c>
      <c r="F967">
        <v>2</v>
      </c>
      <c r="G967" t="s">
        <v>52</v>
      </c>
      <c r="H967" t="s">
        <v>33</v>
      </c>
      <c r="I967" t="s">
        <v>2653</v>
      </c>
      <c r="J967" t="s">
        <v>1259</v>
      </c>
      <c r="K967">
        <v>6160</v>
      </c>
      <c r="L967">
        <v>600</v>
      </c>
      <c r="M967">
        <v>1200</v>
      </c>
      <c r="N967" t="s">
        <v>2654</v>
      </c>
    </row>
    <row r="968" spans="1:14" x14ac:dyDescent="0.2">
      <c r="A968" t="s">
        <v>1021</v>
      </c>
      <c r="B968" t="s">
        <v>1022</v>
      </c>
      <c r="C968">
        <v>1969</v>
      </c>
      <c r="D968" t="s">
        <v>42</v>
      </c>
      <c r="E968" s="1">
        <v>45374</v>
      </c>
      <c r="F968">
        <v>2</v>
      </c>
      <c r="G968" t="s">
        <v>32</v>
      </c>
      <c r="H968" t="s">
        <v>33</v>
      </c>
      <c r="I968" t="s">
        <v>2727</v>
      </c>
      <c r="J968" t="s">
        <v>1259</v>
      </c>
      <c r="K968">
        <v>6160</v>
      </c>
      <c r="L968">
        <v>300</v>
      </c>
      <c r="M968">
        <v>600</v>
      </c>
      <c r="N968" t="s">
        <v>2728</v>
      </c>
    </row>
    <row r="969" spans="1:14" x14ac:dyDescent="0.2">
      <c r="A969" t="s">
        <v>1028</v>
      </c>
      <c r="B969" t="s">
        <v>663</v>
      </c>
      <c r="C969">
        <v>1979</v>
      </c>
      <c r="D969" t="s">
        <v>31</v>
      </c>
      <c r="E969" s="1">
        <v>45529</v>
      </c>
      <c r="F969">
        <v>3</v>
      </c>
      <c r="G969" t="s">
        <v>71</v>
      </c>
      <c r="H969" t="s">
        <v>33</v>
      </c>
      <c r="I969" t="s">
        <v>2747</v>
      </c>
      <c r="J969" t="s">
        <v>1302</v>
      </c>
      <c r="K969">
        <v>6000</v>
      </c>
      <c r="L969">
        <v>250</v>
      </c>
      <c r="M969">
        <v>750</v>
      </c>
      <c r="N969" t="s">
        <v>2748</v>
      </c>
    </row>
    <row r="970" spans="1:14" x14ac:dyDescent="0.2">
      <c r="A970" t="s">
        <v>562</v>
      </c>
      <c r="B970" t="s">
        <v>962</v>
      </c>
      <c r="C970">
        <v>1985</v>
      </c>
      <c r="D970" t="s">
        <v>51</v>
      </c>
      <c r="E970" s="1">
        <v>45313</v>
      </c>
      <c r="F970">
        <v>3</v>
      </c>
      <c r="G970" t="s">
        <v>32</v>
      </c>
      <c r="H970" t="s">
        <v>33</v>
      </c>
      <c r="I970" t="s">
        <v>2759</v>
      </c>
      <c r="J970" t="s">
        <v>1302</v>
      </c>
      <c r="K970">
        <v>6000</v>
      </c>
      <c r="L970">
        <v>250</v>
      </c>
      <c r="M970">
        <v>750</v>
      </c>
      <c r="N970" t="s">
        <v>2760</v>
      </c>
    </row>
    <row r="971" spans="1:14" x14ac:dyDescent="0.2">
      <c r="A971" t="s">
        <v>677</v>
      </c>
      <c r="B971" t="s">
        <v>1039</v>
      </c>
      <c r="C971">
        <v>1990</v>
      </c>
      <c r="D971" t="s">
        <v>76</v>
      </c>
      <c r="E971" s="1">
        <v>45356</v>
      </c>
      <c r="F971">
        <v>2</v>
      </c>
      <c r="G971" t="s">
        <v>32</v>
      </c>
      <c r="H971" t="s">
        <v>33</v>
      </c>
      <c r="I971" t="s">
        <v>2769</v>
      </c>
      <c r="J971" t="s">
        <v>1259</v>
      </c>
      <c r="K971">
        <v>6160</v>
      </c>
      <c r="L971">
        <v>1200</v>
      </c>
      <c r="M971">
        <v>2400</v>
      </c>
      <c r="N971" t="s">
        <v>2770</v>
      </c>
    </row>
    <row r="972" spans="1:14" x14ac:dyDescent="0.2">
      <c r="A972" t="s">
        <v>1042</v>
      </c>
      <c r="B972" t="s">
        <v>464</v>
      </c>
      <c r="C972">
        <v>1995</v>
      </c>
      <c r="D972" t="s">
        <v>31</v>
      </c>
      <c r="E972" s="1">
        <v>45452</v>
      </c>
      <c r="F972">
        <v>3</v>
      </c>
      <c r="G972" t="s">
        <v>32</v>
      </c>
      <c r="H972" t="s">
        <v>33</v>
      </c>
      <c r="I972" t="s">
        <v>2779</v>
      </c>
      <c r="J972" t="s">
        <v>1259</v>
      </c>
      <c r="K972">
        <v>6160</v>
      </c>
      <c r="L972">
        <v>250</v>
      </c>
      <c r="M972">
        <v>750</v>
      </c>
      <c r="N972" t="s">
        <v>2780</v>
      </c>
    </row>
    <row r="973" spans="1:14" x14ac:dyDescent="0.2">
      <c r="A973" t="s">
        <v>718</v>
      </c>
      <c r="B973" t="s">
        <v>1041</v>
      </c>
      <c r="C973">
        <v>1999</v>
      </c>
      <c r="D973" t="s">
        <v>51</v>
      </c>
      <c r="E973" s="1">
        <v>45511</v>
      </c>
      <c r="F973">
        <v>3</v>
      </c>
      <c r="G973" t="s">
        <v>32</v>
      </c>
      <c r="H973" t="s">
        <v>33</v>
      </c>
      <c r="I973" t="s">
        <v>2787</v>
      </c>
      <c r="J973" t="s">
        <v>1259</v>
      </c>
      <c r="K973">
        <v>6160</v>
      </c>
      <c r="L973">
        <v>250</v>
      </c>
      <c r="M973">
        <v>750</v>
      </c>
      <c r="N973" t="s">
        <v>2788</v>
      </c>
    </row>
    <row r="974" spans="1:14" x14ac:dyDescent="0.2">
      <c r="A974" t="s">
        <v>1046</v>
      </c>
      <c r="B974" t="s">
        <v>410</v>
      </c>
      <c r="C974">
        <v>2000</v>
      </c>
      <c r="D974" t="s">
        <v>76</v>
      </c>
      <c r="E974" s="1">
        <v>45653</v>
      </c>
      <c r="F974">
        <v>3</v>
      </c>
      <c r="G974" t="s">
        <v>52</v>
      </c>
      <c r="H974" t="s">
        <v>33</v>
      </c>
      <c r="I974" t="s">
        <v>2789</v>
      </c>
      <c r="J974" t="s">
        <v>1302</v>
      </c>
      <c r="K974">
        <v>6000</v>
      </c>
      <c r="L974">
        <v>1200</v>
      </c>
      <c r="M974">
        <v>3600</v>
      </c>
      <c r="N974" t="s">
        <v>2790</v>
      </c>
    </row>
    <row r="975" spans="1:14" x14ac:dyDescent="0.2">
      <c r="A975" t="s">
        <v>566</v>
      </c>
      <c r="B975" t="s">
        <v>63</v>
      </c>
      <c r="C975">
        <v>2008</v>
      </c>
      <c r="D975" t="s">
        <v>37</v>
      </c>
      <c r="E975" s="1">
        <v>45617</v>
      </c>
      <c r="F975">
        <v>1</v>
      </c>
      <c r="G975" t="s">
        <v>52</v>
      </c>
      <c r="H975" t="s">
        <v>33</v>
      </c>
      <c r="I975" t="s">
        <v>2805</v>
      </c>
      <c r="J975" t="s">
        <v>1238</v>
      </c>
      <c r="K975">
        <v>6725</v>
      </c>
      <c r="L975">
        <v>800</v>
      </c>
      <c r="M975">
        <v>800</v>
      </c>
      <c r="N975" t="s">
        <v>2806</v>
      </c>
    </row>
    <row r="976" spans="1:14" x14ac:dyDescent="0.2">
      <c r="A976" t="s">
        <v>1053</v>
      </c>
      <c r="B976" t="s">
        <v>711</v>
      </c>
      <c r="C976">
        <v>2014</v>
      </c>
      <c r="D976" t="s">
        <v>92</v>
      </c>
      <c r="E976" s="1">
        <v>45333</v>
      </c>
      <c r="F976">
        <v>2</v>
      </c>
      <c r="G976" t="s">
        <v>32</v>
      </c>
      <c r="H976" t="s">
        <v>33</v>
      </c>
      <c r="I976" t="s">
        <v>2817</v>
      </c>
      <c r="J976" t="s">
        <v>1238</v>
      </c>
      <c r="K976">
        <v>6725</v>
      </c>
      <c r="L976">
        <v>600</v>
      </c>
      <c r="M976">
        <v>1200</v>
      </c>
      <c r="N976" t="s">
        <v>2818</v>
      </c>
    </row>
    <row r="977" spans="1:14" x14ac:dyDescent="0.2">
      <c r="A977" t="s">
        <v>1055</v>
      </c>
      <c r="B977" t="s">
        <v>1056</v>
      </c>
      <c r="C977">
        <v>2016</v>
      </c>
      <c r="D977" t="s">
        <v>76</v>
      </c>
      <c r="E977" s="1">
        <v>45426</v>
      </c>
      <c r="F977">
        <v>3</v>
      </c>
      <c r="G977" t="s">
        <v>32</v>
      </c>
      <c r="H977" t="s">
        <v>33</v>
      </c>
      <c r="I977" t="s">
        <v>2821</v>
      </c>
      <c r="J977" t="s">
        <v>1259</v>
      </c>
      <c r="K977">
        <v>6160</v>
      </c>
      <c r="L977">
        <v>1200</v>
      </c>
      <c r="M977">
        <v>3600</v>
      </c>
      <c r="N977" t="s">
        <v>2822</v>
      </c>
    </row>
    <row r="978" spans="1:14" x14ac:dyDescent="0.2">
      <c r="A978" t="s">
        <v>1067</v>
      </c>
      <c r="B978" t="s">
        <v>1068</v>
      </c>
      <c r="C978">
        <v>2029</v>
      </c>
      <c r="D978" t="s">
        <v>31</v>
      </c>
      <c r="E978" s="1">
        <v>45539</v>
      </c>
      <c r="F978">
        <v>3</v>
      </c>
      <c r="G978" t="s">
        <v>52</v>
      </c>
      <c r="H978" t="s">
        <v>33</v>
      </c>
      <c r="I978" t="s">
        <v>2847</v>
      </c>
      <c r="J978" t="s">
        <v>1259</v>
      </c>
      <c r="K978">
        <v>6160</v>
      </c>
      <c r="L978">
        <v>250</v>
      </c>
      <c r="M978">
        <v>750</v>
      </c>
      <c r="N978" t="s">
        <v>2848</v>
      </c>
    </row>
    <row r="979" spans="1:14" x14ac:dyDescent="0.2">
      <c r="A979" t="s">
        <v>899</v>
      </c>
      <c r="B979" t="s">
        <v>319</v>
      </c>
      <c r="C979">
        <v>2034</v>
      </c>
      <c r="D979" t="s">
        <v>37</v>
      </c>
      <c r="E979" s="1">
        <v>45622</v>
      </c>
      <c r="F979">
        <v>2</v>
      </c>
      <c r="G979" t="s">
        <v>52</v>
      </c>
      <c r="H979" t="s">
        <v>33</v>
      </c>
      <c r="I979" t="s">
        <v>2857</v>
      </c>
      <c r="J979" t="s">
        <v>1302</v>
      </c>
      <c r="K979">
        <v>6000</v>
      </c>
      <c r="L979">
        <v>800</v>
      </c>
      <c r="M979">
        <v>1600</v>
      </c>
      <c r="N979" t="s">
        <v>2858</v>
      </c>
    </row>
    <row r="980" spans="1:14" x14ac:dyDescent="0.2">
      <c r="A980" t="s">
        <v>623</v>
      </c>
      <c r="B980" t="s">
        <v>845</v>
      </c>
      <c r="C980">
        <v>2035</v>
      </c>
      <c r="D980" t="s">
        <v>76</v>
      </c>
      <c r="E980" s="1">
        <v>45614</v>
      </c>
      <c r="F980">
        <v>2</v>
      </c>
      <c r="G980" t="s">
        <v>32</v>
      </c>
      <c r="H980" t="s">
        <v>33</v>
      </c>
      <c r="I980" t="s">
        <v>2859</v>
      </c>
      <c r="J980" t="s">
        <v>1259</v>
      </c>
      <c r="K980">
        <v>6160</v>
      </c>
      <c r="L980">
        <v>1200</v>
      </c>
      <c r="M980">
        <v>2400</v>
      </c>
      <c r="N980" t="s">
        <v>2860</v>
      </c>
    </row>
    <row r="981" spans="1:14" x14ac:dyDescent="0.2">
      <c r="A981" t="s">
        <v>1097</v>
      </c>
      <c r="B981" t="s">
        <v>1098</v>
      </c>
      <c r="C981">
        <v>2062</v>
      </c>
      <c r="D981" t="s">
        <v>76</v>
      </c>
      <c r="E981" s="1">
        <v>45485</v>
      </c>
      <c r="F981">
        <v>1</v>
      </c>
      <c r="G981" t="s">
        <v>52</v>
      </c>
      <c r="H981" t="s">
        <v>33</v>
      </c>
      <c r="I981" t="s">
        <v>2913</v>
      </c>
      <c r="J981" t="s">
        <v>1238</v>
      </c>
      <c r="K981">
        <v>6725</v>
      </c>
      <c r="L981">
        <v>1200</v>
      </c>
      <c r="M981">
        <v>1200</v>
      </c>
      <c r="N981" t="s">
        <v>2914</v>
      </c>
    </row>
    <row r="982" spans="1:14" x14ac:dyDescent="0.2">
      <c r="A982" t="s">
        <v>1101</v>
      </c>
      <c r="B982" t="s">
        <v>1102</v>
      </c>
      <c r="C982">
        <v>2067</v>
      </c>
      <c r="D982" t="s">
        <v>76</v>
      </c>
      <c r="E982" s="1">
        <v>45343</v>
      </c>
      <c r="F982">
        <v>1</v>
      </c>
      <c r="G982" t="s">
        <v>71</v>
      </c>
      <c r="H982" t="s">
        <v>33</v>
      </c>
      <c r="I982" t="s">
        <v>2923</v>
      </c>
      <c r="J982" t="s">
        <v>1302</v>
      </c>
      <c r="K982">
        <v>6000</v>
      </c>
      <c r="L982">
        <v>1200</v>
      </c>
      <c r="M982">
        <v>1200</v>
      </c>
      <c r="N982" t="s">
        <v>2924</v>
      </c>
    </row>
    <row r="983" spans="1:14" x14ac:dyDescent="0.2">
      <c r="A983" t="s">
        <v>1103</v>
      </c>
      <c r="B983" t="s">
        <v>1104</v>
      </c>
      <c r="C983">
        <v>2068</v>
      </c>
      <c r="D983" t="s">
        <v>51</v>
      </c>
      <c r="E983" s="1">
        <v>45419</v>
      </c>
      <c r="F983">
        <v>1</v>
      </c>
      <c r="G983" t="s">
        <v>32</v>
      </c>
      <c r="H983" t="s">
        <v>33</v>
      </c>
      <c r="I983" t="s">
        <v>2925</v>
      </c>
      <c r="J983" t="s">
        <v>1259</v>
      </c>
      <c r="K983">
        <v>6160</v>
      </c>
      <c r="L983">
        <v>250</v>
      </c>
      <c r="M983">
        <v>250</v>
      </c>
      <c r="N983" t="s">
        <v>2926</v>
      </c>
    </row>
    <row r="984" spans="1:14" x14ac:dyDescent="0.2">
      <c r="A984" t="s">
        <v>1106</v>
      </c>
      <c r="B984" t="s">
        <v>68</v>
      </c>
      <c r="C984">
        <v>2070</v>
      </c>
      <c r="D984" t="s">
        <v>37</v>
      </c>
      <c r="E984" s="1">
        <v>45546</v>
      </c>
      <c r="F984">
        <v>1</v>
      </c>
      <c r="G984" t="s">
        <v>52</v>
      </c>
      <c r="H984" t="s">
        <v>33</v>
      </c>
      <c r="I984" t="s">
        <v>2929</v>
      </c>
      <c r="J984" t="s">
        <v>1302</v>
      </c>
      <c r="K984">
        <v>6000</v>
      </c>
      <c r="L984">
        <v>800</v>
      </c>
      <c r="M984">
        <v>800</v>
      </c>
      <c r="N984" t="s">
        <v>2930</v>
      </c>
    </row>
    <row r="985" spans="1:14" x14ac:dyDescent="0.2">
      <c r="A985" t="s">
        <v>1107</v>
      </c>
      <c r="B985" t="s">
        <v>107</v>
      </c>
      <c r="C985">
        <v>2071</v>
      </c>
      <c r="D985" t="s">
        <v>76</v>
      </c>
      <c r="E985" s="1">
        <v>45529</v>
      </c>
      <c r="F985">
        <v>2</v>
      </c>
      <c r="G985" t="s">
        <v>52</v>
      </c>
      <c r="H985" t="s">
        <v>33</v>
      </c>
      <c r="I985" t="s">
        <v>2931</v>
      </c>
      <c r="J985" t="s">
        <v>1302</v>
      </c>
      <c r="K985">
        <v>6000</v>
      </c>
      <c r="L985">
        <v>1200</v>
      </c>
      <c r="M985">
        <v>2400</v>
      </c>
      <c r="N985" t="s">
        <v>2932</v>
      </c>
    </row>
    <row r="986" spans="1:14" x14ac:dyDescent="0.2">
      <c r="A986" t="s">
        <v>1115</v>
      </c>
      <c r="B986" t="s">
        <v>153</v>
      </c>
      <c r="C986">
        <v>2081</v>
      </c>
      <c r="D986" t="s">
        <v>51</v>
      </c>
      <c r="E986" s="1">
        <v>45637</v>
      </c>
      <c r="F986">
        <v>1</v>
      </c>
      <c r="G986" t="s">
        <v>38</v>
      </c>
      <c r="H986" t="s">
        <v>33</v>
      </c>
      <c r="I986" t="s">
        <v>2951</v>
      </c>
      <c r="J986" t="s">
        <v>1238</v>
      </c>
      <c r="K986">
        <v>6725</v>
      </c>
      <c r="L986">
        <v>250</v>
      </c>
      <c r="M986">
        <v>250</v>
      </c>
      <c r="N986" t="s">
        <v>2952</v>
      </c>
    </row>
    <row r="987" spans="1:14" x14ac:dyDescent="0.2">
      <c r="A987" t="s">
        <v>1119</v>
      </c>
      <c r="B987" t="s">
        <v>1120</v>
      </c>
      <c r="C987">
        <v>2085</v>
      </c>
      <c r="D987" t="s">
        <v>31</v>
      </c>
      <c r="E987" s="1">
        <v>45335</v>
      </c>
      <c r="F987">
        <v>3</v>
      </c>
      <c r="G987" t="s">
        <v>38</v>
      </c>
      <c r="H987" t="s">
        <v>33</v>
      </c>
      <c r="I987" t="s">
        <v>2959</v>
      </c>
      <c r="J987" t="s">
        <v>1238</v>
      </c>
      <c r="K987">
        <v>6725</v>
      </c>
      <c r="L987">
        <v>250</v>
      </c>
      <c r="M987">
        <v>750</v>
      </c>
      <c r="N987" t="s">
        <v>2960</v>
      </c>
    </row>
    <row r="988" spans="1:14" x14ac:dyDescent="0.2">
      <c r="A988" t="s">
        <v>1124</v>
      </c>
      <c r="B988" t="s">
        <v>996</v>
      </c>
      <c r="C988">
        <v>2090</v>
      </c>
      <c r="D988" t="s">
        <v>37</v>
      </c>
      <c r="E988" s="1">
        <v>45657</v>
      </c>
      <c r="F988">
        <v>2</v>
      </c>
      <c r="G988" t="s">
        <v>32</v>
      </c>
      <c r="H988" t="s">
        <v>33</v>
      </c>
      <c r="I988" t="s">
        <v>2969</v>
      </c>
      <c r="J988" t="s">
        <v>1259</v>
      </c>
      <c r="K988">
        <v>6160</v>
      </c>
      <c r="L988">
        <v>800</v>
      </c>
      <c r="M988">
        <v>1600</v>
      </c>
      <c r="N988" t="s">
        <v>2970</v>
      </c>
    </row>
    <row r="989" spans="1:14" x14ac:dyDescent="0.2">
      <c r="A989" t="s">
        <v>510</v>
      </c>
      <c r="B989" t="s">
        <v>443</v>
      </c>
      <c r="C989">
        <v>2110</v>
      </c>
      <c r="D989" t="s">
        <v>76</v>
      </c>
      <c r="E989" s="1">
        <v>45370</v>
      </c>
      <c r="F989">
        <v>1</v>
      </c>
      <c r="G989" t="s">
        <v>52</v>
      </c>
      <c r="H989" t="s">
        <v>33</v>
      </c>
      <c r="I989" t="s">
        <v>3011</v>
      </c>
      <c r="J989" t="s">
        <v>1302</v>
      </c>
      <c r="K989">
        <v>6000</v>
      </c>
      <c r="L989">
        <v>1200</v>
      </c>
      <c r="M989">
        <v>1200</v>
      </c>
      <c r="N989" t="s">
        <v>3012</v>
      </c>
    </row>
    <row r="990" spans="1:14" x14ac:dyDescent="0.2">
      <c r="A990" t="s">
        <v>1142</v>
      </c>
      <c r="B990" t="s">
        <v>1143</v>
      </c>
      <c r="C990">
        <v>2112</v>
      </c>
      <c r="D990" t="s">
        <v>51</v>
      </c>
      <c r="E990" s="1">
        <v>45485</v>
      </c>
      <c r="F990">
        <v>2</v>
      </c>
      <c r="G990" t="s">
        <v>52</v>
      </c>
      <c r="H990" t="s">
        <v>33</v>
      </c>
      <c r="I990" t="s">
        <v>3015</v>
      </c>
      <c r="J990" t="s">
        <v>1302</v>
      </c>
      <c r="K990">
        <v>6000</v>
      </c>
      <c r="L990">
        <v>250</v>
      </c>
      <c r="M990">
        <v>500</v>
      </c>
      <c r="N990" t="s">
        <v>3016</v>
      </c>
    </row>
    <row r="991" spans="1:14" x14ac:dyDescent="0.2">
      <c r="A991" t="s">
        <v>172</v>
      </c>
      <c r="B991" t="s">
        <v>1155</v>
      </c>
      <c r="C991">
        <v>2124</v>
      </c>
      <c r="D991" t="s">
        <v>31</v>
      </c>
      <c r="E991" s="1">
        <v>45533</v>
      </c>
      <c r="F991">
        <v>2</v>
      </c>
      <c r="G991" t="s">
        <v>52</v>
      </c>
      <c r="H991" t="s">
        <v>33</v>
      </c>
      <c r="I991" t="s">
        <v>3039</v>
      </c>
      <c r="J991" t="s">
        <v>1259</v>
      </c>
      <c r="K991">
        <v>6160</v>
      </c>
      <c r="L991">
        <v>250</v>
      </c>
      <c r="M991">
        <v>500</v>
      </c>
      <c r="N991" t="s">
        <v>3040</v>
      </c>
    </row>
    <row r="992" spans="1:14" x14ac:dyDescent="0.2">
      <c r="A992" t="s">
        <v>1165</v>
      </c>
      <c r="B992" t="s">
        <v>1166</v>
      </c>
      <c r="C992">
        <v>2134</v>
      </c>
      <c r="D992" t="s">
        <v>42</v>
      </c>
      <c r="E992" s="1">
        <v>45460</v>
      </c>
      <c r="F992">
        <v>2</v>
      </c>
      <c r="G992" t="s">
        <v>52</v>
      </c>
      <c r="H992" t="s">
        <v>33</v>
      </c>
      <c r="I992" t="s">
        <v>3059</v>
      </c>
      <c r="J992" t="s">
        <v>1302</v>
      </c>
      <c r="K992">
        <v>6000</v>
      </c>
      <c r="L992">
        <v>300</v>
      </c>
      <c r="M992">
        <v>600</v>
      </c>
      <c r="N992" t="s">
        <v>3060</v>
      </c>
    </row>
    <row r="993" spans="1:14" x14ac:dyDescent="0.2">
      <c r="A993" t="s">
        <v>106</v>
      </c>
      <c r="B993" t="s">
        <v>375</v>
      </c>
      <c r="C993">
        <v>2144</v>
      </c>
      <c r="D993" t="s">
        <v>92</v>
      </c>
      <c r="E993" s="1">
        <v>45588</v>
      </c>
      <c r="F993">
        <v>1</v>
      </c>
      <c r="G993" t="s">
        <v>52</v>
      </c>
      <c r="H993" t="s">
        <v>33</v>
      </c>
      <c r="I993" t="s">
        <v>3079</v>
      </c>
      <c r="J993" t="s">
        <v>1259</v>
      </c>
      <c r="K993">
        <v>6160</v>
      </c>
      <c r="L993">
        <v>600</v>
      </c>
      <c r="M993">
        <v>600</v>
      </c>
      <c r="N993" t="s">
        <v>3080</v>
      </c>
    </row>
    <row r="994" spans="1:14" x14ac:dyDescent="0.2">
      <c r="A994" t="s">
        <v>1181</v>
      </c>
      <c r="B994" t="s">
        <v>1182</v>
      </c>
      <c r="C994">
        <v>2152</v>
      </c>
      <c r="D994" t="s">
        <v>76</v>
      </c>
      <c r="E994" s="1">
        <v>45591</v>
      </c>
      <c r="F994">
        <v>2</v>
      </c>
      <c r="G994" t="s">
        <v>32</v>
      </c>
      <c r="H994" t="s">
        <v>33</v>
      </c>
      <c r="I994" t="s">
        <v>3095</v>
      </c>
      <c r="J994" t="s">
        <v>1259</v>
      </c>
      <c r="K994">
        <v>6160</v>
      </c>
      <c r="L994">
        <v>1200</v>
      </c>
      <c r="M994">
        <v>2400</v>
      </c>
      <c r="N994" t="s">
        <v>3096</v>
      </c>
    </row>
    <row r="995" spans="1:14" x14ac:dyDescent="0.2">
      <c r="A995" t="s">
        <v>1043</v>
      </c>
      <c r="B995" t="s">
        <v>1186</v>
      </c>
      <c r="C995">
        <v>2160</v>
      </c>
      <c r="D995" t="s">
        <v>76</v>
      </c>
      <c r="E995" s="1">
        <v>45350</v>
      </c>
      <c r="F995">
        <v>3</v>
      </c>
      <c r="G995" t="s">
        <v>32</v>
      </c>
      <c r="H995" t="s">
        <v>33</v>
      </c>
      <c r="I995" t="s">
        <v>3111</v>
      </c>
      <c r="J995" t="s">
        <v>1259</v>
      </c>
      <c r="K995">
        <v>6160</v>
      </c>
      <c r="L995">
        <v>1200</v>
      </c>
      <c r="M995">
        <v>3600</v>
      </c>
      <c r="N995" t="s">
        <v>3112</v>
      </c>
    </row>
    <row r="996" spans="1:14" x14ac:dyDescent="0.2">
      <c r="A996" t="s">
        <v>1188</v>
      </c>
      <c r="B996" t="s">
        <v>599</v>
      </c>
      <c r="C996">
        <v>2164</v>
      </c>
      <c r="D996" t="s">
        <v>76</v>
      </c>
      <c r="E996" s="1">
        <v>45625</v>
      </c>
      <c r="F996">
        <v>2</v>
      </c>
      <c r="G996" t="s">
        <v>38</v>
      </c>
      <c r="H996" t="s">
        <v>33</v>
      </c>
      <c r="I996" t="s">
        <v>3119</v>
      </c>
      <c r="J996" t="s">
        <v>1259</v>
      </c>
      <c r="K996">
        <v>6160</v>
      </c>
      <c r="L996">
        <v>1200</v>
      </c>
      <c r="M996">
        <v>2400</v>
      </c>
      <c r="N996" t="s">
        <v>3120</v>
      </c>
    </row>
    <row r="997" spans="1:14" x14ac:dyDescent="0.2">
      <c r="A997" t="s">
        <v>1194</v>
      </c>
      <c r="B997" t="s">
        <v>1195</v>
      </c>
      <c r="C997">
        <v>2171</v>
      </c>
      <c r="D997" t="s">
        <v>76</v>
      </c>
      <c r="E997" s="1">
        <v>45358</v>
      </c>
      <c r="F997">
        <v>1</v>
      </c>
      <c r="G997" t="s">
        <v>52</v>
      </c>
      <c r="H997" t="s">
        <v>33</v>
      </c>
      <c r="I997" t="s">
        <v>3133</v>
      </c>
      <c r="J997" t="s">
        <v>1302</v>
      </c>
      <c r="K997">
        <v>6000</v>
      </c>
      <c r="L997">
        <v>1200</v>
      </c>
      <c r="M997">
        <v>1200</v>
      </c>
      <c r="N997" t="s">
        <v>3134</v>
      </c>
    </row>
    <row r="998" spans="1:14" x14ac:dyDescent="0.2">
      <c r="A998" t="s">
        <v>1111</v>
      </c>
      <c r="B998" t="s">
        <v>185</v>
      </c>
      <c r="C998">
        <v>2195</v>
      </c>
      <c r="D998" t="s">
        <v>92</v>
      </c>
      <c r="E998" s="1">
        <v>45581</v>
      </c>
      <c r="F998">
        <v>2</v>
      </c>
      <c r="G998" t="s">
        <v>52</v>
      </c>
      <c r="H998" t="s">
        <v>33</v>
      </c>
      <c r="I998" t="s">
        <v>3181</v>
      </c>
      <c r="J998" t="s">
        <v>1238</v>
      </c>
      <c r="K998">
        <v>6725</v>
      </c>
      <c r="L998">
        <v>600</v>
      </c>
      <c r="M998">
        <v>1200</v>
      </c>
      <c r="N998" t="s">
        <v>3182</v>
      </c>
    </row>
    <row r="999" spans="1:14" x14ac:dyDescent="0.2">
      <c r="A999" t="s">
        <v>211</v>
      </c>
      <c r="B999" t="s">
        <v>531</v>
      </c>
      <c r="C999">
        <v>2207</v>
      </c>
      <c r="D999" t="s">
        <v>76</v>
      </c>
      <c r="E999" s="1">
        <v>45492</v>
      </c>
      <c r="F999">
        <v>1</v>
      </c>
      <c r="G999" t="s">
        <v>52</v>
      </c>
      <c r="H999" t="s">
        <v>33</v>
      </c>
      <c r="I999" t="s">
        <v>3205</v>
      </c>
      <c r="J999" t="s">
        <v>1238</v>
      </c>
      <c r="K999">
        <v>6725</v>
      </c>
      <c r="L999">
        <v>1200</v>
      </c>
      <c r="M999">
        <v>1200</v>
      </c>
      <c r="N999" t="s">
        <v>3206</v>
      </c>
    </row>
    <row r="1000" spans="1:14" x14ac:dyDescent="0.2">
      <c r="A1000" t="s">
        <v>760</v>
      </c>
      <c r="B1000" t="s">
        <v>1220</v>
      </c>
      <c r="C1000">
        <v>2216</v>
      </c>
      <c r="D1000" t="s">
        <v>42</v>
      </c>
      <c r="E1000" s="1">
        <v>45645</v>
      </c>
      <c r="F1000">
        <v>3</v>
      </c>
      <c r="G1000" t="s">
        <v>52</v>
      </c>
      <c r="H1000" t="s">
        <v>33</v>
      </c>
      <c r="I1000" t="s">
        <v>3223</v>
      </c>
      <c r="J1000" t="s">
        <v>1259</v>
      </c>
      <c r="K1000">
        <v>6160</v>
      </c>
      <c r="L1000">
        <v>300</v>
      </c>
      <c r="M1000">
        <v>900</v>
      </c>
      <c r="N1000" t="s">
        <v>3224</v>
      </c>
    </row>
    <row r="1001" spans="1:14" x14ac:dyDescent="0.2">
      <c r="A1001" t="s">
        <v>899</v>
      </c>
      <c r="B1001" t="s">
        <v>963</v>
      </c>
      <c r="C1001">
        <v>2222</v>
      </c>
      <c r="D1001" t="s">
        <v>76</v>
      </c>
      <c r="E1001" s="1">
        <v>45404</v>
      </c>
      <c r="F1001">
        <v>3</v>
      </c>
      <c r="G1001" t="s">
        <v>32</v>
      </c>
      <c r="H1001" t="s">
        <v>33</v>
      </c>
      <c r="I1001" t="s">
        <v>3235</v>
      </c>
      <c r="J1001" t="s">
        <v>1259</v>
      </c>
      <c r="K1001">
        <v>6160</v>
      </c>
      <c r="L1001">
        <v>1200</v>
      </c>
      <c r="M1001">
        <v>3600</v>
      </c>
      <c r="N1001" t="s">
        <v>3236</v>
      </c>
    </row>
    <row r="1002" spans="1:14" x14ac:dyDescent="0.2">
      <c r="A1002" t="s">
        <v>799</v>
      </c>
      <c r="B1002" t="s">
        <v>998</v>
      </c>
      <c r="C1002">
        <v>2225</v>
      </c>
      <c r="D1002" t="s">
        <v>92</v>
      </c>
      <c r="E1002" s="1">
        <v>45395</v>
      </c>
      <c r="F1002">
        <v>1</v>
      </c>
      <c r="G1002" t="s">
        <v>32</v>
      </c>
      <c r="H1002" t="s">
        <v>33</v>
      </c>
      <c r="I1002" t="s">
        <v>3241</v>
      </c>
      <c r="J1002" t="s">
        <v>1238</v>
      </c>
      <c r="K1002">
        <v>6725</v>
      </c>
      <c r="L1002">
        <v>600</v>
      </c>
      <c r="M1002">
        <v>600</v>
      </c>
      <c r="N1002" t="s">
        <v>3242</v>
      </c>
    </row>
    <row r="1003" spans="1:14" x14ac:dyDescent="0.2">
      <c r="A1003" t="s">
        <v>1230</v>
      </c>
      <c r="B1003" t="s">
        <v>551</v>
      </c>
      <c r="C1003">
        <v>2229</v>
      </c>
      <c r="D1003" t="s">
        <v>76</v>
      </c>
      <c r="E1003" s="1">
        <v>45467</v>
      </c>
      <c r="F1003">
        <v>3</v>
      </c>
      <c r="G1003" t="s">
        <v>52</v>
      </c>
      <c r="H1003" t="s">
        <v>33</v>
      </c>
      <c r="I1003" t="s">
        <v>3249</v>
      </c>
      <c r="J1003" t="s">
        <v>1238</v>
      </c>
      <c r="K1003">
        <v>6725</v>
      </c>
      <c r="L1003">
        <v>1200</v>
      </c>
      <c r="M1003">
        <v>3600</v>
      </c>
      <c r="N1003" t="s">
        <v>3250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76A1-6E4E-2046-A292-2C0F8B0E4A28}">
  <dimension ref="A1:P16"/>
  <sheetViews>
    <sheetView workbookViewId="0">
      <selection activeCell="A3" sqref="A3:P16"/>
    </sheetView>
  </sheetViews>
  <sheetFormatPr baseColWidth="10" defaultRowHeight="15" x14ac:dyDescent="0.2"/>
  <cols>
    <col min="1" max="1" width="11" bestFit="1" customWidth="1"/>
    <col min="2" max="2" width="19.5" bestFit="1" customWidth="1"/>
    <col min="3" max="3" width="16" bestFit="1" customWidth="1"/>
    <col min="4" max="4" width="19.83203125" bestFit="1" customWidth="1"/>
    <col min="5" max="5" width="13.1640625" bestFit="1" customWidth="1"/>
    <col min="6" max="6" width="20.5" bestFit="1" customWidth="1"/>
    <col min="7" max="7" width="12.1640625" bestFit="1" customWidth="1"/>
    <col min="8" max="8" width="17.33203125" bestFit="1" customWidth="1"/>
    <col min="9" max="9" width="13.1640625" bestFit="1" customWidth="1"/>
    <col min="10" max="11" width="11" bestFit="1" customWidth="1"/>
    <col min="12" max="12" width="23.1640625" bestFit="1" customWidth="1"/>
    <col min="13" max="13" width="11.5" bestFit="1" customWidth="1"/>
    <col min="14" max="14" width="19.1640625" bestFit="1" customWidth="1"/>
    <col min="15" max="15" width="19.5" bestFit="1" customWidth="1"/>
    <col min="16" max="16" width="14" bestFit="1" customWidth="1"/>
  </cols>
  <sheetData>
    <row r="1" spans="1:16" x14ac:dyDescent="0.2">
      <c r="A1" s="9" t="s">
        <v>3265</v>
      </c>
    </row>
    <row r="3" spans="1:16" x14ac:dyDescent="0.2">
      <c r="A3" t="s">
        <v>15</v>
      </c>
      <c r="B3" t="s">
        <v>16</v>
      </c>
      <c r="C3" t="s">
        <v>3275</v>
      </c>
      <c r="D3" t="s">
        <v>17</v>
      </c>
      <c r="E3" t="s">
        <v>18</v>
      </c>
      <c r="F3" t="s">
        <v>19</v>
      </c>
      <c r="G3" t="s">
        <v>20</v>
      </c>
      <c r="H3" t="s">
        <v>21</v>
      </c>
      <c r="I3" t="s">
        <v>22</v>
      </c>
      <c r="J3" t="s">
        <v>23</v>
      </c>
      <c r="K3" t="s">
        <v>24</v>
      </c>
      <c r="L3" t="s">
        <v>25</v>
      </c>
      <c r="M3" t="s">
        <v>26</v>
      </c>
      <c r="N3" t="s">
        <v>27</v>
      </c>
      <c r="O3" t="s">
        <v>1235</v>
      </c>
      <c r="P3" t="s">
        <v>1236</v>
      </c>
    </row>
    <row r="4" spans="1:16" x14ac:dyDescent="0.2">
      <c r="A4">
        <v>3996</v>
      </c>
      <c r="B4" t="s">
        <v>465</v>
      </c>
      <c r="C4" t="s">
        <v>3278</v>
      </c>
      <c r="D4" t="s">
        <v>1228</v>
      </c>
      <c r="E4">
        <v>2227</v>
      </c>
      <c r="F4" t="s">
        <v>76</v>
      </c>
      <c r="G4" s="1">
        <v>45640</v>
      </c>
      <c r="H4">
        <v>3</v>
      </c>
      <c r="I4" t="s">
        <v>52</v>
      </c>
      <c r="J4" t="s">
        <v>53</v>
      </c>
      <c r="K4">
        <v>0.25</v>
      </c>
      <c r="L4">
        <v>466.25</v>
      </c>
      <c r="M4">
        <v>1865</v>
      </c>
      <c r="N4">
        <v>1398.75</v>
      </c>
      <c r="O4">
        <v>1200</v>
      </c>
      <c r="P4" t="s">
        <v>3246</v>
      </c>
    </row>
    <row r="5" spans="1:16" x14ac:dyDescent="0.2">
      <c r="A5">
        <v>3947</v>
      </c>
      <c r="B5" t="s">
        <v>1197</v>
      </c>
      <c r="C5" t="s">
        <v>3282</v>
      </c>
      <c r="D5" t="s">
        <v>262</v>
      </c>
      <c r="E5">
        <v>2178</v>
      </c>
      <c r="F5" t="s">
        <v>76</v>
      </c>
      <c r="G5" s="1">
        <v>45652</v>
      </c>
      <c r="H5">
        <v>2</v>
      </c>
      <c r="I5" t="s">
        <v>32</v>
      </c>
      <c r="J5" t="s">
        <v>53</v>
      </c>
      <c r="K5">
        <v>0.25</v>
      </c>
      <c r="L5">
        <v>184.5</v>
      </c>
      <c r="M5">
        <v>738</v>
      </c>
      <c r="N5">
        <v>553.5</v>
      </c>
      <c r="O5">
        <v>1200</v>
      </c>
      <c r="P5" t="s">
        <v>3148</v>
      </c>
    </row>
    <row r="6" spans="1:16" x14ac:dyDescent="0.2">
      <c r="A6">
        <v>3943</v>
      </c>
      <c r="B6" t="s">
        <v>712</v>
      </c>
      <c r="C6" t="s">
        <v>3277</v>
      </c>
      <c r="D6" t="s">
        <v>922</v>
      </c>
      <c r="E6">
        <v>2174</v>
      </c>
      <c r="F6" t="s">
        <v>92</v>
      </c>
      <c r="G6" s="1">
        <v>45643</v>
      </c>
      <c r="H6">
        <v>3</v>
      </c>
      <c r="I6" t="s">
        <v>71</v>
      </c>
      <c r="J6" t="s">
        <v>53</v>
      </c>
      <c r="K6">
        <v>0.3</v>
      </c>
      <c r="L6">
        <v>282.59999999999997</v>
      </c>
      <c r="M6">
        <v>942</v>
      </c>
      <c r="N6">
        <v>659.40000000000009</v>
      </c>
      <c r="O6">
        <v>600</v>
      </c>
      <c r="P6" t="s">
        <v>3140</v>
      </c>
    </row>
    <row r="7" spans="1:16" x14ac:dyDescent="0.2">
      <c r="A7">
        <v>3916</v>
      </c>
      <c r="B7" t="s">
        <v>240</v>
      </c>
      <c r="C7" t="s">
        <v>3276</v>
      </c>
      <c r="D7" t="s">
        <v>1176</v>
      </c>
      <c r="E7">
        <v>2147</v>
      </c>
      <c r="F7" t="s">
        <v>31</v>
      </c>
      <c r="G7" s="1">
        <v>45647</v>
      </c>
      <c r="H7">
        <v>3</v>
      </c>
      <c r="I7" t="s">
        <v>52</v>
      </c>
      <c r="J7" t="s">
        <v>53</v>
      </c>
      <c r="K7">
        <v>0.1</v>
      </c>
      <c r="L7">
        <v>37</v>
      </c>
      <c r="M7">
        <v>370</v>
      </c>
      <c r="N7">
        <v>333</v>
      </c>
      <c r="O7">
        <v>250</v>
      </c>
      <c r="P7" t="s">
        <v>3086</v>
      </c>
    </row>
    <row r="8" spans="1:16" x14ac:dyDescent="0.2">
      <c r="A8">
        <v>3821</v>
      </c>
      <c r="B8" t="s">
        <v>1089</v>
      </c>
      <c r="C8" t="s">
        <v>3281</v>
      </c>
      <c r="D8" t="s">
        <v>1090</v>
      </c>
      <c r="E8">
        <v>2053</v>
      </c>
      <c r="F8" t="s">
        <v>37</v>
      </c>
      <c r="G8" s="1">
        <v>45642</v>
      </c>
      <c r="H8">
        <v>2</v>
      </c>
      <c r="I8" t="s">
        <v>38</v>
      </c>
      <c r="J8" t="s">
        <v>53</v>
      </c>
      <c r="K8">
        <v>0.3</v>
      </c>
      <c r="L8">
        <v>307.8</v>
      </c>
      <c r="M8">
        <v>1026</v>
      </c>
      <c r="N8">
        <v>718.2</v>
      </c>
      <c r="O8">
        <v>800</v>
      </c>
      <c r="P8" t="s">
        <v>2896</v>
      </c>
    </row>
    <row r="9" spans="1:16" x14ac:dyDescent="0.2">
      <c r="A9">
        <v>3477</v>
      </c>
      <c r="B9" t="s">
        <v>765</v>
      </c>
      <c r="C9" t="s">
        <v>3288</v>
      </c>
      <c r="D9" t="s">
        <v>201</v>
      </c>
      <c r="E9">
        <v>1709</v>
      </c>
      <c r="F9" t="s">
        <v>31</v>
      </c>
      <c r="G9" s="1">
        <v>45636</v>
      </c>
      <c r="H9">
        <v>1</v>
      </c>
      <c r="I9" t="s">
        <v>32</v>
      </c>
      <c r="J9" t="s">
        <v>53</v>
      </c>
      <c r="K9">
        <v>0.1</v>
      </c>
      <c r="L9">
        <v>184.5</v>
      </c>
      <c r="M9">
        <v>1845</v>
      </c>
      <c r="N9">
        <v>1660.5</v>
      </c>
      <c r="O9">
        <v>250</v>
      </c>
      <c r="P9" t="s">
        <v>2209</v>
      </c>
    </row>
    <row r="10" spans="1:16" x14ac:dyDescent="0.2">
      <c r="A10">
        <v>3368</v>
      </c>
      <c r="B10" t="s">
        <v>628</v>
      </c>
      <c r="C10" t="s">
        <v>3285</v>
      </c>
      <c r="D10" t="s">
        <v>629</v>
      </c>
      <c r="E10">
        <v>1601</v>
      </c>
      <c r="F10" t="s">
        <v>37</v>
      </c>
      <c r="G10" s="1">
        <v>45631</v>
      </c>
      <c r="H10">
        <v>3</v>
      </c>
      <c r="I10" t="s">
        <v>52</v>
      </c>
      <c r="J10" t="s">
        <v>53</v>
      </c>
      <c r="K10">
        <v>0.3</v>
      </c>
      <c r="L10">
        <v>499.5</v>
      </c>
      <c r="M10">
        <v>1665</v>
      </c>
      <c r="N10">
        <v>1165.5</v>
      </c>
      <c r="O10">
        <v>800</v>
      </c>
      <c r="P10" t="s">
        <v>1991</v>
      </c>
    </row>
    <row r="11" spans="1:16" x14ac:dyDescent="0.2">
      <c r="A11">
        <v>3303</v>
      </c>
      <c r="B11" t="s">
        <v>548</v>
      </c>
      <c r="C11" t="s">
        <v>3280</v>
      </c>
      <c r="D11" t="s">
        <v>194</v>
      </c>
      <c r="E11">
        <v>1536</v>
      </c>
      <c r="F11" t="s">
        <v>51</v>
      </c>
      <c r="G11" s="1">
        <v>45651</v>
      </c>
      <c r="H11">
        <v>1</v>
      </c>
      <c r="I11" t="s">
        <v>38</v>
      </c>
      <c r="J11" t="s">
        <v>53</v>
      </c>
      <c r="K11">
        <v>0.2</v>
      </c>
      <c r="L11">
        <v>84.600000000000009</v>
      </c>
      <c r="M11">
        <v>423</v>
      </c>
      <c r="N11">
        <v>338.4</v>
      </c>
      <c r="O11">
        <v>250</v>
      </c>
      <c r="P11" t="s">
        <v>1861</v>
      </c>
    </row>
    <row r="12" spans="1:16" x14ac:dyDescent="0.2">
      <c r="A12">
        <v>3300</v>
      </c>
      <c r="B12" t="s">
        <v>543</v>
      </c>
      <c r="C12" t="s">
        <v>3283</v>
      </c>
      <c r="D12" t="s">
        <v>544</v>
      </c>
      <c r="E12">
        <v>1533</v>
      </c>
      <c r="F12" t="s">
        <v>42</v>
      </c>
      <c r="G12" s="1">
        <v>45655</v>
      </c>
      <c r="H12">
        <v>1</v>
      </c>
      <c r="I12" t="s">
        <v>52</v>
      </c>
      <c r="J12" t="s">
        <v>53</v>
      </c>
      <c r="K12">
        <v>0.25</v>
      </c>
      <c r="L12">
        <v>120</v>
      </c>
      <c r="M12">
        <v>480</v>
      </c>
      <c r="N12">
        <v>360</v>
      </c>
      <c r="O12">
        <v>300</v>
      </c>
      <c r="P12" t="s">
        <v>1855</v>
      </c>
    </row>
    <row r="13" spans="1:16" x14ac:dyDescent="0.2">
      <c r="A13">
        <v>3243</v>
      </c>
      <c r="B13" t="s">
        <v>469</v>
      </c>
      <c r="C13" t="s">
        <v>3284</v>
      </c>
      <c r="D13" t="s">
        <v>470</v>
      </c>
      <c r="E13">
        <v>1476</v>
      </c>
      <c r="F13" t="s">
        <v>42</v>
      </c>
      <c r="G13" s="1">
        <v>45648</v>
      </c>
      <c r="H13">
        <v>2</v>
      </c>
      <c r="I13" t="s">
        <v>32</v>
      </c>
      <c r="J13" t="s">
        <v>53</v>
      </c>
      <c r="K13">
        <v>0.25</v>
      </c>
      <c r="L13">
        <v>219.75</v>
      </c>
      <c r="M13">
        <v>879</v>
      </c>
      <c r="N13">
        <v>659.25</v>
      </c>
      <c r="O13">
        <v>300</v>
      </c>
      <c r="P13" t="s">
        <v>1741</v>
      </c>
    </row>
    <row r="14" spans="1:16" x14ac:dyDescent="0.2">
      <c r="A14">
        <v>3187</v>
      </c>
      <c r="B14" t="s">
        <v>381</v>
      </c>
      <c r="C14" t="s">
        <v>3279</v>
      </c>
      <c r="D14" t="s">
        <v>382</v>
      </c>
      <c r="E14">
        <v>1420</v>
      </c>
      <c r="F14" t="s">
        <v>42</v>
      </c>
      <c r="G14" s="1">
        <v>45639</v>
      </c>
      <c r="H14">
        <v>1</v>
      </c>
      <c r="I14" t="s">
        <v>52</v>
      </c>
      <c r="J14" t="s">
        <v>53</v>
      </c>
      <c r="K14">
        <v>0.25</v>
      </c>
      <c r="L14">
        <v>151.75</v>
      </c>
      <c r="M14">
        <v>607</v>
      </c>
      <c r="N14">
        <v>455.25</v>
      </c>
      <c r="O14">
        <v>300</v>
      </c>
      <c r="P14" t="s">
        <v>1629</v>
      </c>
    </row>
    <row r="15" spans="1:16" x14ac:dyDescent="0.2">
      <c r="A15">
        <v>3113</v>
      </c>
      <c r="B15" t="s">
        <v>36</v>
      </c>
      <c r="C15" t="s">
        <v>3287</v>
      </c>
      <c r="D15" t="s">
        <v>94</v>
      </c>
      <c r="E15">
        <v>1346</v>
      </c>
      <c r="F15" t="s">
        <v>37</v>
      </c>
      <c r="G15" s="1">
        <v>45653</v>
      </c>
      <c r="H15">
        <v>2</v>
      </c>
      <c r="I15" t="s">
        <v>52</v>
      </c>
      <c r="J15" t="s">
        <v>53</v>
      </c>
      <c r="K15">
        <v>0.3</v>
      </c>
      <c r="L15">
        <v>143.1</v>
      </c>
      <c r="M15">
        <v>477</v>
      </c>
      <c r="N15">
        <v>333.9</v>
      </c>
      <c r="O15">
        <v>800</v>
      </c>
      <c r="P15" t="s">
        <v>1481</v>
      </c>
    </row>
    <row r="16" spans="1:16" x14ac:dyDescent="0.2">
      <c r="A16">
        <v>3031</v>
      </c>
      <c r="B16" t="s">
        <v>110</v>
      </c>
      <c r="C16" t="s">
        <v>3286</v>
      </c>
      <c r="D16" t="s">
        <v>111</v>
      </c>
      <c r="E16">
        <v>1264</v>
      </c>
      <c r="F16" t="s">
        <v>37</v>
      </c>
      <c r="G16" s="1">
        <v>45646</v>
      </c>
      <c r="H16">
        <v>3</v>
      </c>
      <c r="I16" t="s">
        <v>52</v>
      </c>
      <c r="J16" t="s">
        <v>53</v>
      </c>
      <c r="K16">
        <v>0.3</v>
      </c>
      <c r="L16">
        <v>280.5</v>
      </c>
      <c r="M16">
        <v>935</v>
      </c>
      <c r="N16">
        <v>654.5</v>
      </c>
      <c r="O16">
        <v>800</v>
      </c>
      <c r="P16" t="s">
        <v>1314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022EB-C379-4941-A264-45BFDE96D070}">
  <dimension ref="A1:P16"/>
  <sheetViews>
    <sheetView workbookViewId="0">
      <selection activeCell="A3" sqref="A3:P16"/>
    </sheetView>
  </sheetViews>
  <sheetFormatPr baseColWidth="10" defaultRowHeight="15" x14ac:dyDescent="0.2"/>
  <cols>
    <col min="1" max="1" width="11" bestFit="1" customWidth="1"/>
    <col min="2" max="2" width="19.5" bestFit="1" customWidth="1"/>
    <col min="3" max="3" width="16" bestFit="1" customWidth="1"/>
    <col min="4" max="4" width="19.83203125" bestFit="1" customWidth="1"/>
    <col min="5" max="5" width="13.1640625" bestFit="1" customWidth="1"/>
    <col min="6" max="6" width="20.5" bestFit="1" customWidth="1"/>
    <col min="7" max="7" width="12.1640625" bestFit="1" customWidth="1"/>
    <col min="8" max="8" width="17.33203125" bestFit="1" customWidth="1"/>
    <col min="9" max="9" width="13.1640625" bestFit="1" customWidth="1"/>
    <col min="10" max="11" width="11" bestFit="1" customWidth="1"/>
    <col min="12" max="12" width="23.1640625" bestFit="1" customWidth="1"/>
    <col min="13" max="13" width="11.5" bestFit="1" customWidth="1"/>
    <col min="14" max="14" width="19.1640625" bestFit="1" customWidth="1"/>
    <col min="15" max="15" width="19.5" bestFit="1" customWidth="1"/>
    <col min="16" max="16" width="14" bestFit="1" customWidth="1"/>
  </cols>
  <sheetData>
    <row r="1" spans="1:16" x14ac:dyDescent="0.2">
      <c r="A1" s="9" t="s">
        <v>3265</v>
      </c>
    </row>
    <row r="3" spans="1:16" x14ac:dyDescent="0.2">
      <c r="A3" t="s">
        <v>15</v>
      </c>
      <c r="B3" t="s">
        <v>16</v>
      </c>
      <c r="C3" t="s">
        <v>3275</v>
      </c>
      <c r="D3" t="s">
        <v>17</v>
      </c>
      <c r="E3" t="s">
        <v>18</v>
      </c>
      <c r="F3" t="s">
        <v>19</v>
      </c>
      <c r="G3" t="s">
        <v>20</v>
      </c>
      <c r="H3" t="s">
        <v>21</v>
      </c>
      <c r="I3" t="s">
        <v>22</v>
      </c>
      <c r="J3" t="s">
        <v>23</v>
      </c>
      <c r="K3" t="s">
        <v>24</v>
      </c>
      <c r="L3" t="s">
        <v>25</v>
      </c>
      <c r="M3" t="s">
        <v>26</v>
      </c>
      <c r="N3" t="s">
        <v>27</v>
      </c>
      <c r="O3" t="s">
        <v>1235</v>
      </c>
      <c r="P3" t="s">
        <v>1236</v>
      </c>
    </row>
    <row r="4" spans="1:16" x14ac:dyDescent="0.2">
      <c r="A4">
        <v>3996</v>
      </c>
      <c r="B4" t="s">
        <v>465</v>
      </c>
      <c r="C4" t="s">
        <v>3278</v>
      </c>
      <c r="D4" t="s">
        <v>1228</v>
      </c>
      <c r="E4">
        <v>2227</v>
      </c>
      <c r="F4" t="s">
        <v>76</v>
      </c>
      <c r="G4" s="1">
        <v>45640</v>
      </c>
      <c r="H4">
        <v>3</v>
      </c>
      <c r="I4" t="s">
        <v>52</v>
      </c>
      <c r="J4" t="s">
        <v>53</v>
      </c>
      <c r="K4">
        <v>0.25</v>
      </c>
      <c r="L4">
        <v>466.25</v>
      </c>
      <c r="M4">
        <v>1865</v>
      </c>
      <c r="N4">
        <v>1398.75</v>
      </c>
      <c r="O4">
        <v>1200</v>
      </c>
      <c r="P4" t="s">
        <v>3246</v>
      </c>
    </row>
    <row r="5" spans="1:16" x14ac:dyDescent="0.2">
      <c r="A5">
        <v>3947</v>
      </c>
      <c r="B5" t="s">
        <v>1197</v>
      </c>
      <c r="C5" t="s">
        <v>3282</v>
      </c>
      <c r="D5" t="s">
        <v>262</v>
      </c>
      <c r="E5">
        <v>2178</v>
      </c>
      <c r="F5" t="s">
        <v>76</v>
      </c>
      <c r="G5" s="1">
        <v>45652</v>
      </c>
      <c r="H5">
        <v>2</v>
      </c>
      <c r="I5" t="s">
        <v>32</v>
      </c>
      <c r="J5" t="s">
        <v>53</v>
      </c>
      <c r="K5">
        <v>0.25</v>
      </c>
      <c r="L5">
        <v>184.5</v>
      </c>
      <c r="M5">
        <v>738</v>
      </c>
      <c r="N5">
        <v>553.5</v>
      </c>
      <c r="O5">
        <v>1200</v>
      </c>
      <c r="P5" t="s">
        <v>3148</v>
      </c>
    </row>
    <row r="6" spans="1:16" x14ac:dyDescent="0.2">
      <c r="A6">
        <v>3943</v>
      </c>
      <c r="B6" t="s">
        <v>712</v>
      </c>
      <c r="C6" t="s">
        <v>3277</v>
      </c>
      <c r="D6" t="s">
        <v>922</v>
      </c>
      <c r="E6">
        <v>2174</v>
      </c>
      <c r="F6" t="s">
        <v>92</v>
      </c>
      <c r="G6" s="1">
        <v>45643</v>
      </c>
      <c r="H6">
        <v>3</v>
      </c>
      <c r="I6" t="s">
        <v>71</v>
      </c>
      <c r="J6" t="s">
        <v>53</v>
      </c>
      <c r="K6">
        <v>0.3</v>
      </c>
      <c r="L6">
        <v>282.59999999999997</v>
      </c>
      <c r="M6">
        <v>942</v>
      </c>
      <c r="N6">
        <v>659.40000000000009</v>
      </c>
      <c r="O6">
        <v>600</v>
      </c>
      <c r="P6" t="s">
        <v>3140</v>
      </c>
    </row>
    <row r="7" spans="1:16" x14ac:dyDescent="0.2">
      <c r="A7">
        <v>3916</v>
      </c>
      <c r="B7" t="s">
        <v>240</v>
      </c>
      <c r="C7" t="s">
        <v>3276</v>
      </c>
      <c r="D7" t="s">
        <v>1176</v>
      </c>
      <c r="E7">
        <v>2147</v>
      </c>
      <c r="F7" t="s">
        <v>31</v>
      </c>
      <c r="G7" s="1">
        <v>45647</v>
      </c>
      <c r="H7">
        <v>3</v>
      </c>
      <c r="I7" t="s">
        <v>52</v>
      </c>
      <c r="J7" t="s">
        <v>53</v>
      </c>
      <c r="K7">
        <v>0.1</v>
      </c>
      <c r="L7">
        <v>37</v>
      </c>
      <c r="M7">
        <v>370</v>
      </c>
      <c r="N7">
        <v>333</v>
      </c>
      <c r="O7">
        <v>250</v>
      </c>
      <c r="P7" t="s">
        <v>3086</v>
      </c>
    </row>
    <row r="8" spans="1:16" x14ac:dyDescent="0.2">
      <c r="A8">
        <v>3821</v>
      </c>
      <c r="B8" t="s">
        <v>1089</v>
      </c>
      <c r="C8" t="s">
        <v>3281</v>
      </c>
      <c r="D8" t="s">
        <v>1090</v>
      </c>
      <c r="E8">
        <v>2053</v>
      </c>
      <c r="F8" t="s">
        <v>37</v>
      </c>
      <c r="G8" s="1">
        <v>45642</v>
      </c>
      <c r="H8">
        <v>2</v>
      </c>
      <c r="I8" t="s">
        <v>38</v>
      </c>
      <c r="J8" t="s">
        <v>53</v>
      </c>
      <c r="K8">
        <v>0.3</v>
      </c>
      <c r="L8">
        <v>307.8</v>
      </c>
      <c r="M8">
        <v>1026</v>
      </c>
      <c r="N8">
        <v>718.2</v>
      </c>
      <c r="O8">
        <v>800</v>
      </c>
      <c r="P8" t="s">
        <v>2896</v>
      </c>
    </row>
    <row r="9" spans="1:16" x14ac:dyDescent="0.2">
      <c r="A9">
        <v>3477</v>
      </c>
      <c r="B9" t="s">
        <v>765</v>
      </c>
      <c r="C9" t="s">
        <v>3288</v>
      </c>
      <c r="D9" t="s">
        <v>201</v>
      </c>
      <c r="E9">
        <v>1709</v>
      </c>
      <c r="F9" t="s">
        <v>31</v>
      </c>
      <c r="G9" s="1">
        <v>45636</v>
      </c>
      <c r="H9">
        <v>1</v>
      </c>
      <c r="I9" t="s">
        <v>32</v>
      </c>
      <c r="J9" t="s">
        <v>53</v>
      </c>
      <c r="K9">
        <v>0.1</v>
      </c>
      <c r="L9">
        <v>184.5</v>
      </c>
      <c r="M9">
        <v>1845</v>
      </c>
      <c r="N9">
        <v>1660.5</v>
      </c>
      <c r="O9">
        <v>250</v>
      </c>
      <c r="P9" t="s">
        <v>2209</v>
      </c>
    </row>
    <row r="10" spans="1:16" x14ac:dyDescent="0.2">
      <c r="A10">
        <v>3368</v>
      </c>
      <c r="B10" t="s">
        <v>628</v>
      </c>
      <c r="C10" t="s">
        <v>3285</v>
      </c>
      <c r="D10" t="s">
        <v>629</v>
      </c>
      <c r="E10">
        <v>1601</v>
      </c>
      <c r="F10" t="s">
        <v>37</v>
      </c>
      <c r="G10" s="1">
        <v>45631</v>
      </c>
      <c r="H10">
        <v>3</v>
      </c>
      <c r="I10" t="s">
        <v>52</v>
      </c>
      <c r="J10" t="s">
        <v>53</v>
      </c>
      <c r="K10">
        <v>0.3</v>
      </c>
      <c r="L10">
        <v>499.5</v>
      </c>
      <c r="M10">
        <v>1665</v>
      </c>
      <c r="N10">
        <v>1165.5</v>
      </c>
      <c r="O10">
        <v>800</v>
      </c>
      <c r="P10" t="s">
        <v>1991</v>
      </c>
    </row>
    <row r="11" spans="1:16" x14ac:dyDescent="0.2">
      <c r="A11">
        <v>3303</v>
      </c>
      <c r="B11" t="s">
        <v>548</v>
      </c>
      <c r="C11" t="s">
        <v>3280</v>
      </c>
      <c r="D11" t="s">
        <v>194</v>
      </c>
      <c r="E11">
        <v>1536</v>
      </c>
      <c r="F11" t="s">
        <v>51</v>
      </c>
      <c r="G11" s="1">
        <v>45651</v>
      </c>
      <c r="H11">
        <v>1</v>
      </c>
      <c r="I11" t="s">
        <v>38</v>
      </c>
      <c r="J11" t="s">
        <v>53</v>
      </c>
      <c r="K11">
        <v>0.2</v>
      </c>
      <c r="L11">
        <v>84.600000000000009</v>
      </c>
      <c r="M11">
        <v>423</v>
      </c>
      <c r="N11">
        <v>338.4</v>
      </c>
      <c r="O11">
        <v>250</v>
      </c>
      <c r="P11" t="s">
        <v>1861</v>
      </c>
    </row>
    <row r="12" spans="1:16" x14ac:dyDescent="0.2">
      <c r="A12">
        <v>3300</v>
      </c>
      <c r="B12" t="s">
        <v>543</v>
      </c>
      <c r="C12" t="s">
        <v>3283</v>
      </c>
      <c r="D12" t="s">
        <v>544</v>
      </c>
      <c r="E12">
        <v>1533</v>
      </c>
      <c r="F12" t="s">
        <v>42</v>
      </c>
      <c r="G12" s="1">
        <v>45655</v>
      </c>
      <c r="H12">
        <v>1</v>
      </c>
      <c r="I12" t="s">
        <v>52</v>
      </c>
      <c r="J12" t="s">
        <v>53</v>
      </c>
      <c r="K12">
        <v>0.25</v>
      </c>
      <c r="L12">
        <v>120</v>
      </c>
      <c r="M12">
        <v>480</v>
      </c>
      <c r="N12">
        <v>360</v>
      </c>
      <c r="O12">
        <v>300</v>
      </c>
      <c r="P12" t="s">
        <v>1855</v>
      </c>
    </row>
    <row r="13" spans="1:16" x14ac:dyDescent="0.2">
      <c r="A13">
        <v>3243</v>
      </c>
      <c r="B13" t="s">
        <v>469</v>
      </c>
      <c r="C13" t="s">
        <v>3284</v>
      </c>
      <c r="D13" t="s">
        <v>470</v>
      </c>
      <c r="E13">
        <v>1476</v>
      </c>
      <c r="F13" t="s">
        <v>42</v>
      </c>
      <c r="G13" s="1">
        <v>45648</v>
      </c>
      <c r="H13">
        <v>2</v>
      </c>
      <c r="I13" t="s">
        <v>32</v>
      </c>
      <c r="J13" t="s">
        <v>53</v>
      </c>
      <c r="K13">
        <v>0.25</v>
      </c>
      <c r="L13">
        <v>219.75</v>
      </c>
      <c r="M13">
        <v>879</v>
      </c>
      <c r="N13">
        <v>659.25</v>
      </c>
      <c r="O13">
        <v>300</v>
      </c>
      <c r="P13" t="s">
        <v>1741</v>
      </c>
    </row>
    <row r="14" spans="1:16" x14ac:dyDescent="0.2">
      <c r="A14">
        <v>3187</v>
      </c>
      <c r="B14" t="s">
        <v>381</v>
      </c>
      <c r="C14" t="s">
        <v>3279</v>
      </c>
      <c r="D14" t="s">
        <v>382</v>
      </c>
      <c r="E14">
        <v>1420</v>
      </c>
      <c r="F14" t="s">
        <v>42</v>
      </c>
      <c r="G14" s="1">
        <v>45639</v>
      </c>
      <c r="H14">
        <v>1</v>
      </c>
      <c r="I14" t="s">
        <v>52</v>
      </c>
      <c r="J14" t="s">
        <v>53</v>
      </c>
      <c r="K14">
        <v>0.25</v>
      </c>
      <c r="L14">
        <v>151.75</v>
      </c>
      <c r="M14">
        <v>607</v>
      </c>
      <c r="N14">
        <v>455.25</v>
      </c>
      <c r="O14">
        <v>300</v>
      </c>
      <c r="P14" t="s">
        <v>1629</v>
      </c>
    </row>
    <row r="15" spans="1:16" x14ac:dyDescent="0.2">
      <c r="A15">
        <v>3113</v>
      </c>
      <c r="B15" t="s">
        <v>36</v>
      </c>
      <c r="C15" t="s">
        <v>3287</v>
      </c>
      <c r="D15" t="s">
        <v>94</v>
      </c>
      <c r="E15">
        <v>1346</v>
      </c>
      <c r="F15" t="s">
        <v>37</v>
      </c>
      <c r="G15" s="1">
        <v>45653</v>
      </c>
      <c r="H15">
        <v>2</v>
      </c>
      <c r="I15" t="s">
        <v>52</v>
      </c>
      <c r="J15" t="s">
        <v>53</v>
      </c>
      <c r="K15">
        <v>0.3</v>
      </c>
      <c r="L15">
        <v>143.1</v>
      </c>
      <c r="M15">
        <v>477</v>
      </c>
      <c r="N15">
        <v>333.9</v>
      </c>
      <c r="O15">
        <v>800</v>
      </c>
      <c r="P15" t="s">
        <v>1481</v>
      </c>
    </row>
    <row r="16" spans="1:16" x14ac:dyDescent="0.2">
      <c r="A16">
        <v>3031</v>
      </c>
      <c r="B16" t="s">
        <v>110</v>
      </c>
      <c r="C16" t="s">
        <v>3286</v>
      </c>
      <c r="D16" t="s">
        <v>111</v>
      </c>
      <c r="E16">
        <v>1264</v>
      </c>
      <c r="F16" t="s">
        <v>37</v>
      </c>
      <c r="G16" s="1">
        <v>45646</v>
      </c>
      <c r="H16">
        <v>3</v>
      </c>
      <c r="I16" t="s">
        <v>52</v>
      </c>
      <c r="J16" t="s">
        <v>53</v>
      </c>
      <c r="K16">
        <v>0.3</v>
      </c>
      <c r="L16">
        <v>280.5</v>
      </c>
      <c r="M16">
        <v>935</v>
      </c>
      <c r="N16">
        <v>654.5</v>
      </c>
      <c r="O16">
        <v>800</v>
      </c>
      <c r="P16" t="s">
        <v>1314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1538-B98F-424B-9A00-AFB96A7B97D4}">
  <dimension ref="A1:P16"/>
  <sheetViews>
    <sheetView workbookViewId="0">
      <selection activeCell="A3" sqref="A3:P16"/>
    </sheetView>
  </sheetViews>
  <sheetFormatPr baseColWidth="10" defaultRowHeight="15" x14ac:dyDescent="0.2"/>
  <cols>
    <col min="1" max="1" width="11" bestFit="1" customWidth="1"/>
    <col min="2" max="2" width="19.5" bestFit="1" customWidth="1"/>
    <col min="3" max="3" width="16" bestFit="1" customWidth="1"/>
    <col min="4" max="4" width="19.83203125" bestFit="1" customWidth="1"/>
    <col min="5" max="5" width="13.1640625" bestFit="1" customWidth="1"/>
    <col min="6" max="6" width="20.5" bestFit="1" customWidth="1"/>
    <col min="7" max="7" width="12.1640625" bestFit="1" customWidth="1"/>
    <col min="8" max="8" width="17.33203125" bestFit="1" customWidth="1"/>
    <col min="9" max="9" width="13.1640625" bestFit="1" customWidth="1"/>
    <col min="10" max="11" width="11" bestFit="1" customWidth="1"/>
    <col min="12" max="12" width="23.1640625" bestFit="1" customWidth="1"/>
    <col min="13" max="13" width="11.5" bestFit="1" customWidth="1"/>
    <col min="14" max="14" width="19.1640625" bestFit="1" customWidth="1"/>
    <col min="15" max="15" width="19.5" bestFit="1" customWidth="1"/>
    <col min="16" max="16" width="14" bestFit="1" customWidth="1"/>
  </cols>
  <sheetData>
    <row r="1" spans="1:16" x14ac:dyDescent="0.2">
      <c r="A1" s="9" t="s">
        <v>3265</v>
      </c>
    </row>
    <row r="3" spans="1:16" x14ac:dyDescent="0.2">
      <c r="A3" t="s">
        <v>15</v>
      </c>
      <c r="B3" t="s">
        <v>16</v>
      </c>
      <c r="C3" t="s">
        <v>3275</v>
      </c>
      <c r="D3" t="s">
        <v>17</v>
      </c>
      <c r="E3" t="s">
        <v>18</v>
      </c>
      <c r="F3" t="s">
        <v>19</v>
      </c>
      <c r="G3" t="s">
        <v>20</v>
      </c>
      <c r="H3" t="s">
        <v>21</v>
      </c>
      <c r="I3" t="s">
        <v>22</v>
      </c>
      <c r="J3" t="s">
        <v>23</v>
      </c>
      <c r="K3" t="s">
        <v>24</v>
      </c>
      <c r="L3" t="s">
        <v>25</v>
      </c>
      <c r="M3" t="s">
        <v>26</v>
      </c>
      <c r="N3" t="s">
        <v>27</v>
      </c>
      <c r="O3" t="s">
        <v>1235</v>
      </c>
      <c r="P3" t="s">
        <v>1236</v>
      </c>
    </row>
    <row r="4" spans="1:16" x14ac:dyDescent="0.2">
      <c r="A4">
        <v>3996</v>
      </c>
      <c r="B4" t="s">
        <v>465</v>
      </c>
      <c r="C4" t="s">
        <v>3278</v>
      </c>
      <c r="D4" t="s">
        <v>1228</v>
      </c>
      <c r="E4">
        <v>2227</v>
      </c>
      <c r="F4" t="s">
        <v>76</v>
      </c>
      <c r="G4" s="1">
        <v>45640</v>
      </c>
      <c r="H4">
        <v>3</v>
      </c>
      <c r="I4" t="s">
        <v>52</v>
      </c>
      <c r="J4" t="s">
        <v>53</v>
      </c>
      <c r="K4">
        <v>0.25</v>
      </c>
      <c r="L4">
        <v>466.25</v>
      </c>
      <c r="M4">
        <v>1865</v>
      </c>
      <c r="N4">
        <v>1398.75</v>
      </c>
      <c r="O4">
        <v>1200</v>
      </c>
      <c r="P4" t="s">
        <v>3246</v>
      </c>
    </row>
    <row r="5" spans="1:16" x14ac:dyDescent="0.2">
      <c r="A5">
        <v>3947</v>
      </c>
      <c r="B5" t="s">
        <v>1197</v>
      </c>
      <c r="C5" t="s">
        <v>3282</v>
      </c>
      <c r="D5" t="s">
        <v>262</v>
      </c>
      <c r="E5">
        <v>2178</v>
      </c>
      <c r="F5" t="s">
        <v>76</v>
      </c>
      <c r="G5" s="1">
        <v>45652</v>
      </c>
      <c r="H5">
        <v>2</v>
      </c>
      <c r="I5" t="s">
        <v>32</v>
      </c>
      <c r="J5" t="s">
        <v>53</v>
      </c>
      <c r="K5">
        <v>0.25</v>
      </c>
      <c r="L5">
        <v>184.5</v>
      </c>
      <c r="M5">
        <v>738</v>
      </c>
      <c r="N5">
        <v>553.5</v>
      </c>
      <c r="O5">
        <v>1200</v>
      </c>
      <c r="P5" t="s">
        <v>3148</v>
      </c>
    </row>
    <row r="6" spans="1:16" x14ac:dyDescent="0.2">
      <c r="A6">
        <v>3943</v>
      </c>
      <c r="B6" t="s">
        <v>712</v>
      </c>
      <c r="C6" t="s">
        <v>3277</v>
      </c>
      <c r="D6" t="s">
        <v>922</v>
      </c>
      <c r="E6">
        <v>2174</v>
      </c>
      <c r="F6" t="s">
        <v>92</v>
      </c>
      <c r="G6" s="1">
        <v>45643</v>
      </c>
      <c r="H6">
        <v>3</v>
      </c>
      <c r="I6" t="s">
        <v>71</v>
      </c>
      <c r="J6" t="s">
        <v>53</v>
      </c>
      <c r="K6">
        <v>0.3</v>
      </c>
      <c r="L6">
        <v>282.59999999999997</v>
      </c>
      <c r="M6">
        <v>942</v>
      </c>
      <c r="N6">
        <v>659.40000000000009</v>
      </c>
      <c r="O6">
        <v>600</v>
      </c>
      <c r="P6" t="s">
        <v>3140</v>
      </c>
    </row>
    <row r="7" spans="1:16" x14ac:dyDescent="0.2">
      <c r="A7">
        <v>3916</v>
      </c>
      <c r="B7" t="s">
        <v>240</v>
      </c>
      <c r="C7" t="s">
        <v>3276</v>
      </c>
      <c r="D7" t="s">
        <v>1176</v>
      </c>
      <c r="E7">
        <v>2147</v>
      </c>
      <c r="F7" t="s">
        <v>31</v>
      </c>
      <c r="G7" s="1">
        <v>45647</v>
      </c>
      <c r="H7">
        <v>3</v>
      </c>
      <c r="I7" t="s">
        <v>52</v>
      </c>
      <c r="J7" t="s">
        <v>53</v>
      </c>
      <c r="K7">
        <v>0.1</v>
      </c>
      <c r="L7">
        <v>37</v>
      </c>
      <c r="M7">
        <v>370</v>
      </c>
      <c r="N7">
        <v>333</v>
      </c>
      <c r="O7">
        <v>250</v>
      </c>
      <c r="P7" t="s">
        <v>3086</v>
      </c>
    </row>
    <row r="8" spans="1:16" x14ac:dyDescent="0.2">
      <c r="A8">
        <v>3821</v>
      </c>
      <c r="B8" t="s">
        <v>1089</v>
      </c>
      <c r="C8" t="s">
        <v>3281</v>
      </c>
      <c r="D8" t="s">
        <v>1090</v>
      </c>
      <c r="E8">
        <v>2053</v>
      </c>
      <c r="F8" t="s">
        <v>37</v>
      </c>
      <c r="G8" s="1">
        <v>45642</v>
      </c>
      <c r="H8">
        <v>2</v>
      </c>
      <c r="I8" t="s">
        <v>38</v>
      </c>
      <c r="J8" t="s">
        <v>53</v>
      </c>
      <c r="K8">
        <v>0.3</v>
      </c>
      <c r="L8">
        <v>307.8</v>
      </c>
      <c r="M8">
        <v>1026</v>
      </c>
      <c r="N8">
        <v>718.2</v>
      </c>
      <c r="O8">
        <v>800</v>
      </c>
      <c r="P8" t="s">
        <v>2896</v>
      </c>
    </row>
    <row r="9" spans="1:16" x14ac:dyDescent="0.2">
      <c r="A9">
        <v>3477</v>
      </c>
      <c r="B9" t="s">
        <v>765</v>
      </c>
      <c r="C9" t="s">
        <v>3288</v>
      </c>
      <c r="D9" t="s">
        <v>201</v>
      </c>
      <c r="E9">
        <v>1709</v>
      </c>
      <c r="F9" t="s">
        <v>31</v>
      </c>
      <c r="G9" s="1">
        <v>45636</v>
      </c>
      <c r="H9">
        <v>1</v>
      </c>
      <c r="I9" t="s">
        <v>32</v>
      </c>
      <c r="J9" t="s">
        <v>53</v>
      </c>
      <c r="K9">
        <v>0.1</v>
      </c>
      <c r="L9">
        <v>184.5</v>
      </c>
      <c r="M9">
        <v>1845</v>
      </c>
      <c r="N9">
        <v>1660.5</v>
      </c>
      <c r="O9">
        <v>250</v>
      </c>
      <c r="P9" t="s">
        <v>2209</v>
      </c>
    </row>
    <row r="10" spans="1:16" x14ac:dyDescent="0.2">
      <c r="A10">
        <v>3368</v>
      </c>
      <c r="B10" t="s">
        <v>628</v>
      </c>
      <c r="C10" t="s">
        <v>3285</v>
      </c>
      <c r="D10" t="s">
        <v>629</v>
      </c>
      <c r="E10">
        <v>1601</v>
      </c>
      <c r="F10" t="s">
        <v>37</v>
      </c>
      <c r="G10" s="1">
        <v>45631</v>
      </c>
      <c r="H10">
        <v>3</v>
      </c>
      <c r="I10" t="s">
        <v>52</v>
      </c>
      <c r="J10" t="s">
        <v>53</v>
      </c>
      <c r="K10">
        <v>0.3</v>
      </c>
      <c r="L10">
        <v>499.5</v>
      </c>
      <c r="M10">
        <v>1665</v>
      </c>
      <c r="N10">
        <v>1165.5</v>
      </c>
      <c r="O10">
        <v>800</v>
      </c>
      <c r="P10" t="s">
        <v>1991</v>
      </c>
    </row>
    <row r="11" spans="1:16" x14ac:dyDescent="0.2">
      <c r="A11">
        <v>3303</v>
      </c>
      <c r="B11" t="s">
        <v>548</v>
      </c>
      <c r="C11" t="s">
        <v>3280</v>
      </c>
      <c r="D11" t="s">
        <v>194</v>
      </c>
      <c r="E11">
        <v>1536</v>
      </c>
      <c r="F11" t="s">
        <v>51</v>
      </c>
      <c r="G11" s="1">
        <v>45651</v>
      </c>
      <c r="H11">
        <v>1</v>
      </c>
      <c r="I11" t="s">
        <v>38</v>
      </c>
      <c r="J11" t="s">
        <v>53</v>
      </c>
      <c r="K11">
        <v>0.2</v>
      </c>
      <c r="L11">
        <v>84.600000000000009</v>
      </c>
      <c r="M11">
        <v>423</v>
      </c>
      <c r="N11">
        <v>338.4</v>
      </c>
      <c r="O11">
        <v>250</v>
      </c>
      <c r="P11" t="s">
        <v>1861</v>
      </c>
    </row>
    <row r="12" spans="1:16" x14ac:dyDescent="0.2">
      <c r="A12">
        <v>3300</v>
      </c>
      <c r="B12" t="s">
        <v>543</v>
      </c>
      <c r="C12" t="s">
        <v>3283</v>
      </c>
      <c r="D12" t="s">
        <v>544</v>
      </c>
      <c r="E12">
        <v>1533</v>
      </c>
      <c r="F12" t="s">
        <v>42</v>
      </c>
      <c r="G12" s="1">
        <v>45655</v>
      </c>
      <c r="H12">
        <v>1</v>
      </c>
      <c r="I12" t="s">
        <v>52</v>
      </c>
      <c r="J12" t="s">
        <v>53</v>
      </c>
      <c r="K12">
        <v>0.25</v>
      </c>
      <c r="L12">
        <v>120</v>
      </c>
      <c r="M12">
        <v>480</v>
      </c>
      <c r="N12">
        <v>360</v>
      </c>
      <c r="O12">
        <v>300</v>
      </c>
      <c r="P12" t="s">
        <v>1855</v>
      </c>
    </row>
    <row r="13" spans="1:16" x14ac:dyDescent="0.2">
      <c r="A13">
        <v>3243</v>
      </c>
      <c r="B13" t="s">
        <v>469</v>
      </c>
      <c r="C13" t="s">
        <v>3284</v>
      </c>
      <c r="D13" t="s">
        <v>470</v>
      </c>
      <c r="E13">
        <v>1476</v>
      </c>
      <c r="F13" t="s">
        <v>42</v>
      </c>
      <c r="G13" s="1">
        <v>45648</v>
      </c>
      <c r="H13">
        <v>2</v>
      </c>
      <c r="I13" t="s">
        <v>32</v>
      </c>
      <c r="J13" t="s">
        <v>53</v>
      </c>
      <c r="K13">
        <v>0.25</v>
      </c>
      <c r="L13">
        <v>219.75</v>
      </c>
      <c r="M13">
        <v>879</v>
      </c>
      <c r="N13">
        <v>659.25</v>
      </c>
      <c r="O13">
        <v>300</v>
      </c>
      <c r="P13" t="s">
        <v>1741</v>
      </c>
    </row>
    <row r="14" spans="1:16" x14ac:dyDescent="0.2">
      <c r="A14">
        <v>3187</v>
      </c>
      <c r="B14" t="s">
        <v>381</v>
      </c>
      <c r="C14" t="s">
        <v>3279</v>
      </c>
      <c r="D14" t="s">
        <v>382</v>
      </c>
      <c r="E14">
        <v>1420</v>
      </c>
      <c r="F14" t="s">
        <v>42</v>
      </c>
      <c r="G14" s="1">
        <v>45639</v>
      </c>
      <c r="H14">
        <v>1</v>
      </c>
      <c r="I14" t="s">
        <v>52</v>
      </c>
      <c r="J14" t="s">
        <v>53</v>
      </c>
      <c r="K14">
        <v>0.25</v>
      </c>
      <c r="L14">
        <v>151.75</v>
      </c>
      <c r="M14">
        <v>607</v>
      </c>
      <c r="N14">
        <v>455.25</v>
      </c>
      <c r="O14">
        <v>300</v>
      </c>
      <c r="P14" t="s">
        <v>1629</v>
      </c>
    </row>
    <row r="15" spans="1:16" x14ac:dyDescent="0.2">
      <c r="A15">
        <v>3113</v>
      </c>
      <c r="B15" t="s">
        <v>36</v>
      </c>
      <c r="C15" t="s">
        <v>3287</v>
      </c>
      <c r="D15" t="s">
        <v>94</v>
      </c>
      <c r="E15">
        <v>1346</v>
      </c>
      <c r="F15" t="s">
        <v>37</v>
      </c>
      <c r="G15" s="1">
        <v>45653</v>
      </c>
      <c r="H15">
        <v>2</v>
      </c>
      <c r="I15" t="s">
        <v>52</v>
      </c>
      <c r="J15" t="s">
        <v>53</v>
      </c>
      <c r="K15">
        <v>0.3</v>
      </c>
      <c r="L15">
        <v>143.1</v>
      </c>
      <c r="M15">
        <v>477</v>
      </c>
      <c r="N15">
        <v>333.9</v>
      </c>
      <c r="O15">
        <v>800</v>
      </c>
      <c r="P15" t="s">
        <v>1481</v>
      </c>
    </row>
    <row r="16" spans="1:16" x14ac:dyDescent="0.2">
      <c r="A16">
        <v>3031</v>
      </c>
      <c r="B16" t="s">
        <v>110</v>
      </c>
      <c r="C16" t="s">
        <v>3286</v>
      </c>
      <c r="D16" t="s">
        <v>111</v>
      </c>
      <c r="E16">
        <v>1264</v>
      </c>
      <c r="F16" t="s">
        <v>37</v>
      </c>
      <c r="G16" s="1">
        <v>45646</v>
      </c>
      <c r="H16">
        <v>3</v>
      </c>
      <c r="I16" t="s">
        <v>52</v>
      </c>
      <c r="J16" t="s">
        <v>53</v>
      </c>
      <c r="K16">
        <v>0.3</v>
      </c>
      <c r="L16">
        <v>280.5</v>
      </c>
      <c r="M16">
        <v>935</v>
      </c>
      <c r="N16">
        <v>654.5</v>
      </c>
      <c r="O16">
        <v>800</v>
      </c>
      <c r="P16" t="s">
        <v>1314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A7A7-3F0A-9C4A-99A6-B1D84ECD9877}">
  <dimension ref="A1:P16"/>
  <sheetViews>
    <sheetView workbookViewId="0">
      <selection activeCell="A3" sqref="A3:P16"/>
    </sheetView>
  </sheetViews>
  <sheetFormatPr baseColWidth="10" defaultRowHeight="15" x14ac:dyDescent="0.2"/>
  <cols>
    <col min="1" max="1" width="11" bestFit="1" customWidth="1"/>
    <col min="2" max="2" width="19.5" bestFit="1" customWidth="1"/>
    <col min="3" max="3" width="16" bestFit="1" customWidth="1"/>
    <col min="4" max="4" width="19.83203125" bestFit="1" customWidth="1"/>
    <col min="5" max="5" width="13.1640625" bestFit="1" customWidth="1"/>
    <col min="6" max="6" width="20.5" bestFit="1" customWidth="1"/>
    <col min="7" max="7" width="12.1640625" bestFit="1" customWidth="1"/>
    <col min="8" max="8" width="17.33203125" bestFit="1" customWidth="1"/>
    <col min="9" max="9" width="13.1640625" bestFit="1" customWidth="1"/>
    <col min="10" max="11" width="11" bestFit="1" customWidth="1"/>
    <col min="12" max="12" width="23.1640625" bestFit="1" customWidth="1"/>
    <col min="13" max="13" width="11.5" bestFit="1" customWidth="1"/>
    <col min="14" max="14" width="19.1640625" bestFit="1" customWidth="1"/>
    <col min="15" max="15" width="19.5" bestFit="1" customWidth="1"/>
    <col min="16" max="16" width="14" bestFit="1" customWidth="1"/>
  </cols>
  <sheetData>
    <row r="1" spans="1:16" x14ac:dyDescent="0.2">
      <c r="A1" s="9" t="s">
        <v>3265</v>
      </c>
    </row>
    <row r="3" spans="1:16" x14ac:dyDescent="0.2">
      <c r="A3" t="s">
        <v>15</v>
      </c>
      <c r="B3" t="s">
        <v>16</v>
      </c>
      <c r="C3" t="s">
        <v>3275</v>
      </c>
      <c r="D3" t="s">
        <v>17</v>
      </c>
      <c r="E3" t="s">
        <v>18</v>
      </c>
      <c r="F3" t="s">
        <v>19</v>
      </c>
      <c r="G3" t="s">
        <v>20</v>
      </c>
      <c r="H3" t="s">
        <v>21</v>
      </c>
      <c r="I3" t="s">
        <v>22</v>
      </c>
      <c r="J3" t="s">
        <v>23</v>
      </c>
      <c r="K3" t="s">
        <v>24</v>
      </c>
      <c r="L3" t="s">
        <v>25</v>
      </c>
      <c r="M3" t="s">
        <v>26</v>
      </c>
      <c r="N3" t="s">
        <v>27</v>
      </c>
      <c r="O3" t="s">
        <v>1235</v>
      </c>
      <c r="P3" t="s">
        <v>1236</v>
      </c>
    </row>
    <row r="4" spans="1:16" x14ac:dyDescent="0.2">
      <c r="A4">
        <v>3996</v>
      </c>
      <c r="B4" t="s">
        <v>465</v>
      </c>
      <c r="C4" t="s">
        <v>3278</v>
      </c>
      <c r="D4" t="s">
        <v>1228</v>
      </c>
      <c r="E4">
        <v>2227</v>
      </c>
      <c r="F4" t="s">
        <v>76</v>
      </c>
      <c r="G4" s="1">
        <v>45640</v>
      </c>
      <c r="H4">
        <v>3</v>
      </c>
      <c r="I4" t="s">
        <v>52</v>
      </c>
      <c r="J4" t="s">
        <v>53</v>
      </c>
      <c r="K4">
        <v>0.25</v>
      </c>
      <c r="L4">
        <v>466.25</v>
      </c>
      <c r="M4">
        <v>1865</v>
      </c>
      <c r="N4">
        <v>1398.75</v>
      </c>
      <c r="O4">
        <v>1200</v>
      </c>
      <c r="P4" t="s">
        <v>3246</v>
      </c>
    </row>
    <row r="5" spans="1:16" x14ac:dyDescent="0.2">
      <c r="A5">
        <v>3947</v>
      </c>
      <c r="B5" t="s">
        <v>1197</v>
      </c>
      <c r="C5" t="s">
        <v>3282</v>
      </c>
      <c r="D5" t="s">
        <v>262</v>
      </c>
      <c r="E5">
        <v>2178</v>
      </c>
      <c r="F5" t="s">
        <v>76</v>
      </c>
      <c r="G5" s="1">
        <v>45652</v>
      </c>
      <c r="H5">
        <v>2</v>
      </c>
      <c r="I5" t="s">
        <v>32</v>
      </c>
      <c r="J5" t="s">
        <v>53</v>
      </c>
      <c r="K5">
        <v>0.25</v>
      </c>
      <c r="L5">
        <v>184.5</v>
      </c>
      <c r="M5">
        <v>738</v>
      </c>
      <c r="N5">
        <v>553.5</v>
      </c>
      <c r="O5">
        <v>1200</v>
      </c>
      <c r="P5" t="s">
        <v>3148</v>
      </c>
    </row>
    <row r="6" spans="1:16" x14ac:dyDescent="0.2">
      <c r="A6">
        <v>3943</v>
      </c>
      <c r="B6" t="s">
        <v>712</v>
      </c>
      <c r="C6" t="s">
        <v>3277</v>
      </c>
      <c r="D6" t="s">
        <v>922</v>
      </c>
      <c r="E6">
        <v>2174</v>
      </c>
      <c r="F6" t="s">
        <v>92</v>
      </c>
      <c r="G6" s="1">
        <v>45643</v>
      </c>
      <c r="H6">
        <v>3</v>
      </c>
      <c r="I6" t="s">
        <v>71</v>
      </c>
      <c r="J6" t="s">
        <v>53</v>
      </c>
      <c r="K6">
        <v>0.3</v>
      </c>
      <c r="L6">
        <v>282.59999999999997</v>
      </c>
      <c r="M6">
        <v>942</v>
      </c>
      <c r="N6">
        <v>659.40000000000009</v>
      </c>
      <c r="O6">
        <v>600</v>
      </c>
      <c r="P6" t="s">
        <v>3140</v>
      </c>
    </row>
    <row r="7" spans="1:16" x14ac:dyDescent="0.2">
      <c r="A7">
        <v>3916</v>
      </c>
      <c r="B7" t="s">
        <v>240</v>
      </c>
      <c r="C7" t="s">
        <v>3276</v>
      </c>
      <c r="D7" t="s">
        <v>1176</v>
      </c>
      <c r="E7">
        <v>2147</v>
      </c>
      <c r="F7" t="s">
        <v>31</v>
      </c>
      <c r="G7" s="1">
        <v>45647</v>
      </c>
      <c r="H7">
        <v>3</v>
      </c>
      <c r="I7" t="s">
        <v>52</v>
      </c>
      <c r="J7" t="s">
        <v>53</v>
      </c>
      <c r="K7">
        <v>0.1</v>
      </c>
      <c r="L7">
        <v>37</v>
      </c>
      <c r="M7">
        <v>370</v>
      </c>
      <c r="N7">
        <v>333</v>
      </c>
      <c r="O7">
        <v>250</v>
      </c>
      <c r="P7" t="s">
        <v>3086</v>
      </c>
    </row>
    <row r="8" spans="1:16" x14ac:dyDescent="0.2">
      <c r="A8">
        <v>3821</v>
      </c>
      <c r="B8" t="s">
        <v>1089</v>
      </c>
      <c r="C8" t="s">
        <v>3281</v>
      </c>
      <c r="D8" t="s">
        <v>1090</v>
      </c>
      <c r="E8">
        <v>2053</v>
      </c>
      <c r="F8" t="s">
        <v>37</v>
      </c>
      <c r="G8" s="1">
        <v>45642</v>
      </c>
      <c r="H8">
        <v>2</v>
      </c>
      <c r="I8" t="s">
        <v>38</v>
      </c>
      <c r="J8" t="s">
        <v>53</v>
      </c>
      <c r="K8">
        <v>0.3</v>
      </c>
      <c r="L8">
        <v>307.8</v>
      </c>
      <c r="M8">
        <v>1026</v>
      </c>
      <c r="N8">
        <v>718.2</v>
      </c>
      <c r="O8">
        <v>800</v>
      </c>
      <c r="P8" t="s">
        <v>2896</v>
      </c>
    </row>
    <row r="9" spans="1:16" x14ac:dyDescent="0.2">
      <c r="A9">
        <v>3477</v>
      </c>
      <c r="B9" t="s">
        <v>765</v>
      </c>
      <c r="C9" t="s">
        <v>3288</v>
      </c>
      <c r="D9" t="s">
        <v>201</v>
      </c>
      <c r="E9">
        <v>1709</v>
      </c>
      <c r="F9" t="s">
        <v>31</v>
      </c>
      <c r="G9" s="1">
        <v>45636</v>
      </c>
      <c r="H9">
        <v>1</v>
      </c>
      <c r="I9" t="s">
        <v>32</v>
      </c>
      <c r="J9" t="s">
        <v>53</v>
      </c>
      <c r="K9">
        <v>0.1</v>
      </c>
      <c r="L9">
        <v>184.5</v>
      </c>
      <c r="M9">
        <v>1845</v>
      </c>
      <c r="N9">
        <v>1660.5</v>
      </c>
      <c r="O9">
        <v>250</v>
      </c>
      <c r="P9" t="s">
        <v>2209</v>
      </c>
    </row>
    <row r="10" spans="1:16" x14ac:dyDescent="0.2">
      <c r="A10">
        <v>3368</v>
      </c>
      <c r="B10" t="s">
        <v>628</v>
      </c>
      <c r="C10" t="s">
        <v>3285</v>
      </c>
      <c r="D10" t="s">
        <v>629</v>
      </c>
      <c r="E10">
        <v>1601</v>
      </c>
      <c r="F10" t="s">
        <v>37</v>
      </c>
      <c r="G10" s="1">
        <v>45631</v>
      </c>
      <c r="H10">
        <v>3</v>
      </c>
      <c r="I10" t="s">
        <v>52</v>
      </c>
      <c r="J10" t="s">
        <v>53</v>
      </c>
      <c r="K10">
        <v>0.3</v>
      </c>
      <c r="L10">
        <v>499.5</v>
      </c>
      <c r="M10">
        <v>1665</v>
      </c>
      <c r="N10">
        <v>1165.5</v>
      </c>
      <c r="O10">
        <v>800</v>
      </c>
      <c r="P10" t="s">
        <v>1991</v>
      </c>
    </row>
    <row r="11" spans="1:16" x14ac:dyDescent="0.2">
      <c r="A11">
        <v>3303</v>
      </c>
      <c r="B11" t="s">
        <v>548</v>
      </c>
      <c r="C11" t="s">
        <v>3280</v>
      </c>
      <c r="D11" t="s">
        <v>194</v>
      </c>
      <c r="E11">
        <v>1536</v>
      </c>
      <c r="F11" t="s">
        <v>51</v>
      </c>
      <c r="G11" s="1">
        <v>45651</v>
      </c>
      <c r="H11">
        <v>1</v>
      </c>
      <c r="I11" t="s">
        <v>38</v>
      </c>
      <c r="J11" t="s">
        <v>53</v>
      </c>
      <c r="K11">
        <v>0.2</v>
      </c>
      <c r="L11">
        <v>84.600000000000009</v>
      </c>
      <c r="M11">
        <v>423</v>
      </c>
      <c r="N11">
        <v>338.4</v>
      </c>
      <c r="O11">
        <v>250</v>
      </c>
      <c r="P11" t="s">
        <v>1861</v>
      </c>
    </row>
    <row r="12" spans="1:16" x14ac:dyDescent="0.2">
      <c r="A12">
        <v>3300</v>
      </c>
      <c r="B12" t="s">
        <v>543</v>
      </c>
      <c r="C12" t="s">
        <v>3283</v>
      </c>
      <c r="D12" t="s">
        <v>544</v>
      </c>
      <c r="E12">
        <v>1533</v>
      </c>
      <c r="F12" t="s">
        <v>42</v>
      </c>
      <c r="G12" s="1">
        <v>45655</v>
      </c>
      <c r="H12">
        <v>1</v>
      </c>
      <c r="I12" t="s">
        <v>52</v>
      </c>
      <c r="J12" t="s">
        <v>53</v>
      </c>
      <c r="K12">
        <v>0.25</v>
      </c>
      <c r="L12">
        <v>120</v>
      </c>
      <c r="M12">
        <v>480</v>
      </c>
      <c r="N12">
        <v>360</v>
      </c>
      <c r="O12">
        <v>300</v>
      </c>
      <c r="P12" t="s">
        <v>1855</v>
      </c>
    </row>
    <row r="13" spans="1:16" x14ac:dyDescent="0.2">
      <c r="A13">
        <v>3243</v>
      </c>
      <c r="B13" t="s">
        <v>469</v>
      </c>
      <c r="C13" t="s">
        <v>3284</v>
      </c>
      <c r="D13" t="s">
        <v>470</v>
      </c>
      <c r="E13">
        <v>1476</v>
      </c>
      <c r="F13" t="s">
        <v>42</v>
      </c>
      <c r="G13" s="1">
        <v>45648</v>
      </c>
      <c r="H13">
        <v>2</v>
      </c>
      <c r="I13" t="s">
        <v>32</v>
      </c>
      <c r="J13" t="s">
        <v>53</v>
      </c>
      <c r="K13">
        <v>0.25</v>
      </c>
      <c r="L13">
        <v>219.75</v>
      </c>
      <c r="M13">
        <v>879</v>
      </c>
      <c r="N13">
        <v>659.25</v>
      </c>
      <c r="O13">
        <v>300</v>
      </c>
      <c r="P13" t="s">
        <v>1741</v>
      </c>
    </row>
    <row r="14" spans="1:16" x14ac:dyDescent="0.2">
      <c r="A14">
        <v>3187</v>
      </c>
      <c r="B14" t="s">
        <v>381</v>
      </c>
      <c r="C14" t="s">
        <v>3279</v>
      </c>
      <c r="D14" t="s">
        <v>382</v>
      </c>
      <c r="E14">
        <v>1420</v>
      </c>
      <c r="F14" t="s">
        <v>42</v>
      </c>
      <c r="G14" s="1">
        <v>45639</v>
      </c>
      <c r="H14">
        <v>1</v>
      </c>
      <c r="I14" t="s">
        <v>52</v>
      </c>
      <c r="J14" t="s">
        <v>53</v>
      </c>
      <c r="K14">
        <v>0.25</v>
      </c>
      <c r="L14">
        <v>151.75</v>
      </c>
      <c r="M14">
        <v>607</v>
      </c>
      <c r="N14">
        <v>455.25</v>
      </c>
      <c r="O14">
        <v>300</v>
      </c>
      <c r="P14" t="s">
        <v>1629</v>
      </c>
    </row>
    <row r="15" spans="1:16" x14ac:dyDescent="0.2">
      <c r="A15">
        <v>3113</v>
      </c>
      <c r="B15" t="s">
        <v>36</v>
      </c>
      <c r="C15" t="s">
        <v>3287</v>
      </c>
      <c r="D15" t="s">
        <v>94</v>
      </c>
      <c r="E15">
        <v>1346</v>
      </c>
      <c r="F15" t="s">
        <v>37</v>
      </c>
      <c r="G15" s="1">
        <v>45653</v>
      </c>
      <c r="H15">
        <v>2</v>
      </c>
      <c r="I15" t="s">
        <v>52</v>
      </c>
      <c r="J15" t="s">
        <v>53</v>
      </c>
      <c r="K15">
        <v>0.3</v>
      </c>
      <c r="L15">
        <v>143.1</v>
      </c>
      <c r="M15">
        <v>477</v>
      </c>
      <c r="N15">
        <v>333.9</v>
      </c>
      <c r="O15">
        <v>800</v>
      </c>
      <c r="P15" t="s">
        <v>1481</v>
      </c>
    </row>
    <row r="16" spans="1:16" x14ac:dyDescent="0.2">
      <c r="A16">
        <v>3031</v>
      </c>
      <c r="B16" t="s">
        <v>110</v>
      </c>
      <c r="C16" t="s">
        <v>3286</v>
      </c>
      <c r="D16" t="s">
        <v>111</v>
      </c>
      <c r="E16">
        <v>1264</v>
      </c>
      <c r="F16" t="s">
        <v>37</v>
      </c>
      <c r="G16" s="1">
        <v>45646</v>
      </c>
      <c r="H16">
        <v>3</v>
      </c>
      <c r="I16" t="s">
        <v>52</v>
      </c>
      <c r="J16" t="s">
        <v>53</v>
      </c>
      <c r="K16">
        <v>0.3</v>
      </c>
      <c r="L16">
        <v>280.5</v>
      </c>
      <c r="M16">
        <v>935</v>
      </c>
      <c r="N16">
        <v>654.5</v>
      </c>
      <c r="O16">
        <v>800</v>
      </c>
      <c r="P16" t="s">
        <v>1314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5FA8-4168-6E47-A5DE-3188BA20EB93}">
  <dimension ref="A1:P16"/>
  <sheetViews>
    <sheetView workbookViewId="0">
      <selection activeCell="A3" sqref="A3:P16"/>
    </sheetView>
  </sheetViews>
  <sheetFormatPr baseColWidth="10" defaultRowHeight="15" x14ac:dyDescent="0.2"/>
  <cols>
    <col min="1" max="1" width="11" bestFit="1" customWidth="1"/>
    <col min="2" max="2" width="19.5" bestFit="1" customWidth="1"/>
    <col min="3" max="3" width="16" bestFit="1" customWidth="1"/>
    <col min="4" max="4" width="19.83203125" bestFit="1" customWidth="1"/>
    <col min="5" max="5" width="13.1640625" bestFit="1" customWidth="1"/>
    <col min="6" max="6" width="20.5" bestFit="1" customWidth="1"/>
    <col min="7" max="7" width="12.1640625" bestFit="1" customWidth="1"/>
    <col min="8" max="8" width="17.33203125" bestFit="1" customWidth="1"/>
    <col min="9" max="9" width="13.1640625" bestFit="1" customWidth="1"/>
    <col min="10" max="11" width="11" bestFit="1" customWidth="1"/>
    <col min="12" max="12" width="23.1640625" bestFit="1" customWidth="1"/>
    <col min="13" max="13" width="11.5" bestFit="1" customWidth="1"/>
    <col min="14" max="14" width="19.1640625" bestFit="1" customWidth="1"/>
    <col min="15" max="15" width="19.5" bestFit="1" customWidth="1"/>
    <col min="16" max="16" width="14" bestFit="1" customWidth="1"/>
  </cols>
  <sheetData>
    <row r="1" spans="1:16" x14ac:dyDescent="0.2">
      <c r="A1" s="9" t="s">
        <v>3265</v>
      </c>
    </row>
    <row r="3" spans="1:16" x14ac:dyDescent="0.2">
      <c r="A3" t="s">
        <v>15</v>
      </c>
      <c r="B3" t="s">
        <v>16</v>
      </c>
      <c r="C3" t="s">
        <v>3275</v>
      </c>
      <c r="D3" t="s">
        <v>17</v>
      </c>
      <c r="E3" t="s">
        <v>18</v>
      </c>
      <c r="F3" t="s">
        <v>19</v>
      </c>
      <c r="G3" t="s">
        <v>20</v>
      </c>
      <c r="H3" t="s">
        <v>21</v>
      </c>
      <c r="I3" t="s">
        <v>22</v>
      </c>
      <c r="J3" t="s">
        <v>23</v>
      </c>
      <c r="K3" t="s">
        <v>24</v>
      </c>
      <c r="L3" t="s">
        <v>25</v>
      </c>
      <c r="M3" t="s">
        <v>26</v>
      </c>
      <c r="N3" t="s">
        <v>27</v>
      </c>
      <c r="O3" t="s">
        <v>1235</v>
      </c>
      <c r="P3" t="s">
        <v>1236</v>
      </c>
    </row>
    <row r="4" spans="1:16" x14ac:dyDescent="0.2">
      <c r="A4">
        <v>3996</v>
      </c>
      <c r="B4" t="s">
        <v>465</v>
      </c>
      <c r="C4" t="s">
        <v>3278</v>
      </c>
      <c r="D4" t="s">
        <v>1228</v>
      </c>
      <c r="E4">
        <v>2227</v>
      </c>
      <c r="F4" t="s">
        <v>76</v>
      </c>
      <c r="G4" s="1">
        <v>45640</v>
      </c>
      <c r="H4">
        <v>3</v>
      </c>
      <c r="I4" t="s">
        <v>52</v>
      </c>
      <c r="J4" t="s">
        <v>53</v>
      </c>
      <c r="K4">
        <v>0.25</v>
      </c>
      <c r="L4">
        <v>466.25</v>
      </c>
      <c r="M4">
        <v>1865</v>
      </c>
      <c r="N4">
        <v>1398.75</v>
      </c>
      <c r="O4">
        <v>1200</v>
      </c>
      <c r="P4" t="s">
        <v>3246</v>
      </c>
    </row>
    <row r="5" spans="1:16" x14ac:dyDescent="0.2">
      <c r="A5">
        <v>3947</v>
      </c>
      <c r="B5" t="s">
        <v>1197</v>
      </c>
      <c r="C5" t="s">
        <v>3282</v>
      </c>
      <c r="D5" t="s">
        <v>262</v>
      </c>
      <c r="E5">
        <v>2178</v>
      </c>
      <c r="F5" t="s">
        <v>76</v>
      </c>
      <c r="G5" s="1">
        <v>45652</v>
      </c>
      <c r="H5">
        <v>2</v>
      </c>
      <c r="I5" t="s">
        <v>32</v>
      </c>
      <c r="J5" t="s">
        <v>53</v>
      </c>
      <c r="K5">
        <v>0.25</v>
      </c>
      <c r="L5">
        <v>184.5</v>
      </c>
      <c r="M5">
        <v>738</v>
      </c>
      <c r="N5">
        <v>553.5</v>
      </c>
      <c r="O5">
        <v>1200</v>
      </c>
      <c r="P5" t="s">
        <v>3148</v>
      </c>
    </row>
    <row r="6" spans="1:16" x14ac:dyDescent="0.2">
      <c r="A6">
        <v>3943</v>
      </c>
      <c r="B6" t="s">
        <v>712</v>
      </c>
      <c r="C6" t="s">
        <v>3277</v>
      </c>
      <c r="D6" t="s">
        <v>922</v>
      </c>
      <c r="E6">
        <v>2174</v>
      </c>
      <c r="F6" t="s">
        <v>92</v>
      </c>
      <c r="G6" s="1">
        <v>45643</v>
      </c>
      <c r="H6">
        <v>3</v>
      </c>
      <c r="I6" t="s">
        <v>71</v>
      </c>
      <c r="J6" t="s">
        <v>53</v>
      </c>
      <c r="K6">
        <v>0.3</v>
      </c>
      <c r="L6">
        <v>282.59999999999997</v>
      </c>
      <c r="M6">
        <v>942</v>
      </c>
      <c r="N6">
        <v>659.40000000000009</v>
      </c>
      <c r="O6">
        <v>600</v>
      </c>
      <c r="P6" t="s">
        <v>3140</v>
      </c>
    </row>
    <row r="7" spans="1:16" x14ac:dyDescent="0.2">
      <c r="A7">
        <v>3916</v>
      </c>
      <c r="B7" t="s">
        <v>240</v>
      </c>
      <c r="C7" t="s">
        <v>3276</v>
      </c>
      <c r="D7" t="s">
        <v>1176</v>
      </c>
      <c r="E7">
        <v>2147</v>
      </c>
      <c r="F7" t="s">
        <v>31</v>
      </c>
      <c r="G7" s="1">
        <v>45647</v>
      </c>
      <c r="H7">
        <v>3</v>
      </c>
      <c r="I7" t="s">
        <v>52</v>
      </c>
      <c r="J7" t="s">
        <v>53</v>
      </c>
      <c r="K7">
        <v>0.1</v>
      </c>
      <c r="L7">
        <v>37</v>
      </c>
      <c r="M7">
        <v>370</v>
      </c>
      <c r="N7">
        <v>333</v>
      </c>
      <c r="O7">
        <v>250</v>
      </c>
      <c r="P7" t="s">
        <v>3086</v>
      </c>
    </row>
    <row r="8" spans="1:16" x14ac:dyDescent="0.2">
      <c r="A8">
        <v>3821</v>
      </c>
      <c r="B8" t="s">
        <v>1089</v>
      </c>
      <c r="C8" t="s">
        <v>3281</v>
      </c>
      <c r="D8" t="s">
        <v>1090</v>
      </c>
      <c r="E8">
        <v>2053</v>
      </c>
      <c r="F8" t="s">
        <v>37</v>
      </c>
      <c r="G8" s="1">
        <v>45642</v>
      </c>
      <c r="H8">
        <v>2</v>
      </c>
      <c r="I8" t="s">
        <v>38</v>
      </c>
      <c r="J8" t="s">
        <v>53</v>
      </c>
      <c r="K8">
        <v>0.3</v>
      </c>
      <c r="L8">
        <v>307.8</v>
      </c>
      <c r="M8">
        <v>1026</v>
      </c>
      <c r="N8">
        <v>718.2</v>
      </c>
      <c r="O8">
        <v>800</v>
      </c>
      <c r="P8" t="s">
        <v>2896</v>
      </c>
    </row>
    <row r="9" spans="1:16" x14ac:dyDescent="0.2">
      <c r="A9">
        <v>3477</v>
      </c>
      <c r="B9" t="s">
        <v>765</v>
      </c>
      <c r="C9" t="s">
        <v>3288</v>
      </c>
      <c r="D9" t="s">
        <v>201</v>
      </c>
      <c r="E9">
        <v>1709</v>
      </c>
      <c r="F9" t="s">
        <v>31</v>
      </c>
      <c r="G9" s="1">
        <v>45636</v>
      </c>
      <c r="H9">
        <v>1</v>
      </c>
      <c r="I9" t="s">
        <v>32</v>
      </c>
      <c r="J9" t="s">
        <v>53</v>
      </c>
      <c r="K9">
        <v>0.1</v>
      </c>
      <c r="L9">
        <v>184.5</v>
      </c>
      <c r="M9">
        <v>1845</v>
      </c>
      <c r="N9">
        <v>1660.5</v>
      </c>
      <c r="O9">
        <v>250</v>
      </c>
      <c r="P9" t="s">
        <v>2209</v>
      </c>
    </row>
    <row r="10" spans="1:16" x14ac:dyDescent="0.2">
      <c r="A10">
        <v>3368</v>
      </c>
      <c r="B10" t="s">
        <v>628</v>
      </c>
      <c r="C10" t="s">
        <v>3285</v>
      </c>
      <c r="D10" t="s">
        <v>629</v>
      </c>
      <c r="E10">
        <v>1601</v>
      </c>
      <c r="F10" t="s">
        <v>37</v>
      </c>
      <c r="G10" s="1">
        <v>45631</v>
      </c>
      <c r="H10">
        <v>3</v>
      </c>
      <c r="I10" t="s">
        <v>52</v>
      </c>
      <c r="J10" t="s">
        <v>53</v>
      </c>
      <c r="K10">
        <v>0.3</v>
      </c>
      <c r="L10">
        <v>499.5</v>
      </c>
      <c r="M10">
        <v>1665</v>
      </c>
      <c r="N10">
        <v>1165.5</v>
      </c>
      <c r="O10">
        <v>800</v>
      </c>
      <c r="P10" t="s">
        <v>1991</v>
      </c>
    </row>
    <row r="11" spans="1:16" x14ac:dyDescent="0.2">
      <c r="A11">
        <v>3303</v>
      </c>
      <c r="B11" t="s">
        <v>548</v>
      </c>
      <c r="C11" t="s">
        <v>3280</v>
      </c>
      <c r="D11" t="s">
        <v>194</v>
      </c>
      <c r="E11">
        <v>1536</v>
      </c>
      <c r="F11" t="s">
        <v>51</v>
      </c>
      <c r="G11" s="1">
        <v>45651</v>
      </c>
      <c r="H11">
        <v>1</v>
      </c>
      <c r="I11" t="s">
        <v>38</v>
      </c>
      <c r="J11" t="s">
        <v>53</v>
      </c>
      <c r="K11">
        <v>0.2</v>
      </c>
      <c r="L11">
        <v>84.600000000000009</v>
      </c>
      <c r="M11">
        <v>423</v>
      </c>
      <c r="N11">
        <v>338.4</v>
      </c>
      <c r="O11">
        <v>250</v>
      </c>
      <c r="P11" t="s">
        <v>1861</v>
      </c>
    </row>
    <row r="12" spans="1:16" x14ac:dyDescent="0.2">
      <c r="A12">
        <v>3300</v>
      </c>
      <c r="B12" t="s">
        <v>543</v>
      </c>
      <c r="C12" t="s">
        <v>3283</v>
      </c>
      <c r="D12" t="s">
        <v>544</v>
      </c>
      <c r="E12">
        <v>1533</v>
      </c>
      <c r="F12" t="s">
        <v>42</v>
      </c>
      <c r="G12" s="1">
        <v>45655</v>
      </c>
      <c r="H12">
        <v>1</v>
      </c>
      <c r="I12" t="s">
        <v>52</v>
      </c>
      <c r="J12" t="s">
        <v>53</v>
      </c>
      <c r="K12">
        <v>0.25</v>
      </c>
      <c r="L12">
        <v>120</v>
      </c>
      <c r="M12">
        <v>480</v>
      </c>
      <c r="N12">
        <v>360</v>
      </c>
      <c r="O12">
        <v>300</v>
      </c>
      <c r="P12" t="s">
        <v>1855</v>
      </c>
    </row>
    <row r="13" spans="1:16" x14ac:dyDescent="0.2">
      <c r="A13">
        <v>3243</v>
      </c>
      <c r="B13" t="s">
        <v>469</v>
      </c>
      <c r="C13" t="s">
        <v>3284</v>
      </c>
      <c r="D13" t="s">
        <v>470</v>
      </c>
      <c r="E13">
        <v>1476</v>
      </c>
      <c r="F13" t="s">
        <v>42</v>
      </c>
      <c r="G13" s="1">
        <v>45648</v>
      </c>
      <c r="H13">
        <v>2</v>
      </c>
      <c r="I13" t="s">
        <v>32</v>
      </c>
      <c r="J13" t="s">
        <v>53</v>
      </c>
      <c r="K13">
        <v>0.25</v>
      </c>
      <c r="L13">
        <v>219.75</v>
      </c>
      <c r="M13">
        <v>879</v>
      </c>
      <c r="N13">
        <v>659.25</v>
      </c>
      <c r="O13">
        <v>300</v>
      </c>
      <c r="P13" t="s">
        <v>1741</v>
      </c>
    </row>
    <row r="14" spans="1:16" x14ac:dyDescent="0.2">
      <c r="A14">
        <v>3187</v>
      </c>
      <c r="B14" t="s">
        <v>381</v>
      </c>
      <c r="C14" t="s">
        <v>3279</v>
      </c>
      <c r="D14" t="s">
        <v>382</v>
      </c>
      <c r="E14">
        <v>1420</v>
      </c>
      <c r="F14" t="s">
        <v>42</v>
      </c>
      <c r="G14" s="1">
        <v>45639</v>
      </c>
      <c r="H14">
        <v>1</v>
      </c>
      <c r="I14" t="s">
        <v>52</v>
      </c>
      <c r="J14" t="s">
        <v>53</v>
      </c>
      <c r="K14">
        <v>0.25</v>
      </c>
      <c r="L14">
        <v>151.75</v>
      </c>
      <c r="M14">
        <v>607</v>
      </c>
      <c r="N14">
        <v>455.25</v>
      </c>
      <c r="O14">
        <v>300</v>
      </c>
      <c r="P14" t="s">
        <v>1629</v>
      </c>
    </row>
    <row r="15" spans="1:16" x14ac:dyDescent="0.2">
      <c r="A15">
        <v>3113</v>
      </c>
      <c r="B15" t="s">
        <v>36</v>
      </c>
      <c r="C15" t="s">
        <v>3287</v>
      </c>
      <c r="D15" t="s">
        <v>94</v>
      </c>
      <c r="E15">
        <v>1346</v>
      </c>
      <c r="F15" t="s">
        <v>37</v>
      </c>
      <c r="G15" s="1">
        <v>45653</v>
      </c>
      <c r="H15">
        <v>2</v>
      </c>
      <c r="I15" t="s">
        <v>52</v>
      </c>
      <c r="J15" t="s">
        <v>53</v>
      </c>
      <c r="K15">
        <v>0.3</v>
      </c>
      <c r="L15">
        <v>143.1</v>
      </c>
      <c r="M15">
        <v>477</v>
      </c>
      <c r="N15">
        <v>333.9</v>
      </c>
      <c r="O15">
        <v>800</v>
      </c>
      <c r="P15" t="s">
        <v>1481</v>
      </c>
    </row>
    <row r="16" spans="1:16" x14ac:dyDescent="0.2">
      <c r="A16">
        <v>3031</v>
      </c>
      <c r="B16" t="s">
        <v>110</v>
      </c>
      <c r="C16" t="s">
        <v>3286</v>
      </c>
      <c r="D16" t="s">
        <v>111</v>
      </c>
      <c r="E16">
        <v>1264</v>
      </c>
      <c r="F16" t="s">
        <v>37</v>
      </c>
      <c r="G16" s="1">
        <v>45646</v>
      </c>
      <c r="H16">
        <v>3</v>
      </c>
      <c r="I16" t="s">
        <v>52</v>
      </c>
      <c r="J16" t="s">
        <v>53</v>
      </c>
      <c r="K16">
        <v>0.3</v>
      </c>
      <c r="L16">
        <v>280.5</v>
      </c>
      <c r="M16">
        <v>935</v>
      </c>
      <c r="N16">
        <v>654.5</v>
      </c>
      <c r="O16">
        <v>800</v>
      </c>
      <c r="P16" t="s">
        <v>1314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2B94-6362-4EF6-840B-CFB87F2CA4AE}">
  <dimension ref="A1:N1002"/>
  <sheetViews>
    <sheetView zoomScale="213" zoomScaleNormal="213" workbookViewId="0">
      <selection activeCell="B11" sqref="B11"/>
    </sheetView>
  </sheetViews>
  <sheetFormatPr baseColWidth="10" defaultColWidth="8.83203125" defaultRowHeight="15" x14ac:dyDescent="0.2"/>
  <cols>
    <col min="1" max="1" width="26.33203125" customWidth="1"/>
    <col min="2" max="2" width="24.5" style="3" customWidth="1"/>
    <col min="3" max="4" width="20" customWidth="1"/>
    <col min="5" max="5" width="18.33203125" customWidth="1"/>
    <col min="6" max="6" width="14.1640625" style="1" customWidth="1"/>
    <col min="7" max="7" width="18.6640625" style="2" customWidth="1"/>
    <col min="8" max="9" width="14.1640625" customWidth="1"/>
    <col min="10" max="10" width="26" bestFit="1" customWidth="1"/>
    <col min="11" max="11" width="14.1640625" customWidth="1"/>
    <col min="12" max="13" width="20.5" customWidth="1"/>
    <col min="14" max="14" width="12.1640625" customWidth="1"/>
    <col min="15" max="15" width="21.33203125" customWidth="1"/>
    <col min="16" max="16" width="19.33203125" customWidth="1"/>
    <col min="17" max="17" width="7.5" customWidth="1"/>
    <col min="18" max="18" width="11.6640625" customWidth="1"/>
    <col min="19" max="19" width="18.1640625" customWidth="1"/>
    <col min="22" max="22" width="15" customWidth="1"/>
  </cols>
  <sheetData>
    <row r="1" spans="1:14" x14ac:dyDescent="0.2">
      <c r="A1" t="s">
        <v>16</v>
      </c>
      <c r="B1" s="3" t="s">
        <v>17</v>
      </c>
      <c r="C1" t="s">
        <v>18</v>
      </c>
      <c r="D1" t="s">
        <v>19</v>
      </c>
      <c r="E1" t="s">
        <v>20</v>
      </c>
      <c r="F1" t="s">
        <v>21</v>
      </c>
      <c r="G1" t="s">
        <v>22</v>
      </c>
      <c r="H1" t="s">
        <v>23</v>
      </c>
      <c r="I1" t="s">
        <v>1232</v>
      </c>
      <c r="J1" t="s">
        <v>1233</v>
      </c>
      <c r="K1" t="s">
        <v>1234</v>
      </c>
      <c r="L1" t="s">
        <v>1235</v>
      </c>
      <c r="M1" t="s">
        <v>26</v>
      </c>
      <c r="N1" t="s">
        <v>1236</v>
      </c>
    </row>
    <row r="2" spans="1:14" x14ac:dyDescent="0.2">
      <c r="A2" t="s">
        <v>29</v>
      </c>
      <c r="B2" t="s">
        <v>30</v>
      </c>
      <c r="C2">
        <v>1234</v>
      </c>
      <c r="D2" t="s">
        <v>31</v>
      </c>
      <c r="E2" s="1">
        <v>45418</v>
      </c>
      <c r="F2" s="6">
        <v>1</v>
      </c>
      <c r="G2" t="s">
        <v>32</v>
      </c>
      <c r="H2" t="s">
        <v>33</v>
      </c>
      <c r="I2" t="s">
        <v>1237</v>
      </c>
      <c r="J2" t="s">
        <v>1238</v>
      </c>
      <c r="K2">
        <v>6725</v>
      </c>
      <c r="L2">
        <v>250</v>
      </c>
      <c r="M2">
        <f>Customers_Table[[#This Row],[Quantity Ordered]]*Customers_Table[[#This Row],[Sales Price (Per unit)]]</f>
        <v>250</v>
      </c>
      <c r="N2" t="s">
        <v>1239</v>
      </c>
    </row>
    <row r="3" spans="1:14" x14ac:dyDescent="0.2">
      <c r="A3" t="s">
        <v>35</v>
      </c>
      <c r="B3" t="s">
        <v>36</v>
      </c>
      <c r="C3">
        <v>1235</v>
      </c>
      <c r="D3" t="s">
        <v>37</v>
      </c>
      <c r="E3" s="1">
        <v>45491</v>
      </c>
      <c r="F3" s="6">
        <v>3</v>
      </c>
      <c r="G3" s="1" t="s">
        <v>38</v>
      </c>
      <c r="H3" t="s">
        <v>39</v>
      </c>
      <c r="I3" t="s">
        <v>1240</v>
      </c>
      <c r="J3" t="s">
        <v>1241</v>
      </c>
      <c r="K3">
        <v>2600</v>
      </c>
      <c r="L3">
        <v>800</v>
      </c>
      <c r="M3">
        <f>Customers_Table[[#This Row],[Quantity Ordered]]*Customers_Table[[#This Row],[Sales Price (Per unit)]]</f>
        <v>2400</v>
      </c>
      <c r="N3" t="s">
        <v>1242</v>
      </c>
    </row>
    <row r="4" spans="1:14" x14ac:dyDescent="0.2">
      <c r="A4" t="s">
        <v>40</v>
      </c>
      <c r="B4" t="s">
        <v>41</v>
      </c>
      <c r="C4">
        <v>1236</v>
      </c>
      <c r="D4" t="s">
        <v>42</v>
      </c>
      <c r="E4" s="1">
        <v>45487</v>
      </c>
      <c r="F4" s="6">
        <v>2</v>
      </c>
      <c r="G4" t="s">
        <v>32</v>
      </c>
      <c r="H4" s="1" t="s">
        <v>43</v>
      </c>
      <c r="I4" s="1" t="s">
        <v>1243</v>
      </c>
      <c r="J4" t="s">
        <v>1244</v>
      </c>
      <c r="K4">
        <v>2300</v>
      </c>
      <c r="L4">
        <v>300</v>
      </c>
      <c r="M4">
        <f>Customers_Table[[#This Row],[Quantity Ordered]]*Customers_Table[[#This Row],[Sales Price (Per unit)]]</f>
        <v>600</v>
      </c>
      <c r="N4" t="s">
        <v>1245</v>
      </c>
    </row>
    <row r="5" spans="1:14" x14ac:dyDescent="0.2">
      <c r="A5" t="s">
        <v>45</v>
      </c>
      <c r="B5" t="s">
        <v>46</v>
      </c>
      <c r="C5">
        <v>1237</v>
      </c>
      <c r="D5" t="s">
        <v>42</v>
      </c>
      <c r="E5" s="1">
        <v>45469</v>
      </c>
      <c r="F5" s="6">
        <v>3</v>
      </c>
      <c r="G5" t="s">
        <v>32</v>
      </c>
      <c r="H5" s="1" t="s">
        <v>47</v>
      </c>
      <c r="I5" s="1" t="s">
        <v>1246</v>
      </c>
      <c r="J5" t="s">
        <v>1247</v>
      </c>
      <c r="K5">
        <v>3350</v>
      </c>
      <c r="L5">
        <v>300</v>
      </c>
      <c r="M5">
        <f>Customers_Table[[#This Row],[Quantity Ordered]]*Customers_Table[[#This Row],[Sales Price (Per unit)]]</f>
        <v>900</v>
      </c>
      <c r="N5" t="s">
        <v>1248</v>
      </c>
    </row>
    <row r="6" spans="1:14" x14ac:dyDescent="0.2">
      <c r="A6" t="s">
        <v>49</v>
      </c>
      <c r="B6" t="s">
        <v>50</v>
      </c>
      <c r="C6">
        <v>1238</v>
      </c>
      <c r="D6" t="s">
        <v>51</v>
      </c>
      <c r="E6" s="1">
        <v>45624</v>
      </c>
      <c r="F6" s="6">
        <v>2</v>
      </c>
      <c r="G6" s="1" t="s">
        <v>52</v>
      </c>
      <c r="H6" s="1" t="s">
        <v>53</v>
      </c>
      <c r="I6" s="1" t="s">
        <v>1249</v>
      </c>
      <c r="J6" t="s">
        <v>1250</v>
      </c>
      <c r="K6">
        <v>4217</v>
      </c>
      <c r="L6">
        <v>250</v>
      </c>
      <c r="M6">
        <f>Customers_Table[[#This Row],[Quantity Ordered]]*Customers_Table[[#This Row],[Sales Price (Per unit)]]</f>
        <v>500</v>
      </c>
      <c r="N6" t="s">
        <v>1251</v>
      </c>
    </row>
    <row r="7" spans="1:14" x14ac:dyDescent="0.2">
      <c r="A7" t="s">
        <v>55</v>
      </c>
      <c r="B7" t="s">
        <v>56</v>
      </c>
      <c r="C7">
        <v>1239</v>
      </c>
      <c r="D7" t="s">
        <v>37</v>
      </c>
      <c r="E7" s="1">
        <v>45449</v>
      </c>
      <c r="F7" s="6">
        <v>1</v>
      </c>
      <c r="G7" s="1" t="s">
        <v>52</v>
      </c>
      <c r="H7" s="1" t="s">
        <v>57</v>
      </c>
      <c r="I7" t="s">
        <v>1252</v>
      </c>
      <c r="J7" t="s">
        <v>1253</v>
      </c>
      <c r="K7">
        <v>5290</v>
      </c>
      <c r="L7">
        <v>800</v>
      </c>
      <c r="M7">
        <f>Customers_Table[[#This Row],[Quantity Ordered]]*Customers_Table[[#This Row],[Sales Price (Per unit)]]</f>
        <v>800</v>
      </c>
      <c r="N7" t="s">
        <v>1254</v>
      </c>
    </row>
    <row r="8" spans="1:14" x14ac:dyDescent="0.2">
      <c r="A8" t="s">
        <v>58</v>
      </c>
      <c r="B8" t="s">
        <v>59</v>
      </c>
      <c r="C8">
        <v>1240</v>
      </c>
      <c r="D8" t="s">
        <v>51</v>
      </c>
      <c r="E8" s="1">
        <v>45369</v>
      </c>
      <c r="F8" s="6">
        <v>1</v>
      </c>
      <c r="G8" s="1" t="s">
        <v>52</v>
      </c>
      <c r="H8" s="1" t="s">
        <v>47</v>
      </c>
      <c r="I8" t="s">
        <v>1255</v>
      </c>
      <c r="J8" t="s">
        <v>1256</v>
      </c>
      <c r="K8">
        <v>3220</v>
      </c>
      <c r="L8">
        <v>250</v>
      </c>
      <c r="M8">
        <f>Customers_Table[[#This Row],[Quantity Ordered]]*Customers_Table[[#This Row],[Sales Price (Per unit)]]</f>
        <v>250</v>
      </c>
      <c r="N8" t="s">
        <v>1257</v>
      </c>
    </row>
    <row r="9" spans="1:14" x14ac:dyDescent="0.2">
      <c r="A9" t="s">
        <v>60</v>
      </c>
      <c r="B9" t="s">
        <v>61</v>
      </c>
      <c r="C9">
        <v>1241</v>
      </c>
      <c r="D9" t="s">
        <v>37</v>
      </c>
      <c r="E9" s="1">
        <v>45591</v>
      </c>
      <c r="F9" s="6">
        <v>2</v>
      </c>
      <c r="G9" t="s">
        <v>32</v>
      </c>
      <c r="H9" s="1" t="s">
        <v>33</v>
      </c>
      <c r="I9" t="s">
        <v>1258</v>
      </c>
      <c r="J9" t="s">
        <v>1259</v>
      </c>
      <c r="K9">
        <v>6160</v>
      </c>
      <c r="L9">
        <v>800</v>
      </c>
      <c r="M9">
        <f>Customers_Table[[#This Row],[Quantity Ordered]]*Customers_Table[[#This Row],[Sales Price (Per unit)]]</f>
        <v>1600</v>
      </c>
      <c r="N9" t="s">
        <v>1260</v>
      </c>
    </row>
    <row r="10" spans="1:14" x14ac:dyDescent="0.2">
      <c r="A10" t="s">
        <v>62</v>
      </c>
      <c r="B10" t="s">
        <v>63</v>
      </c>
      <c r="C10">
        <v>1242</v>
      </c>
      <c r="D10" t="s">
        <v>42</v>
      </c>
      <c r="E10" s="1">
        <v>45330</v>
      </c>
      <c r="F10" s="6">
        <v>3</v>
      </c>
      <c r="G10" s="1" t="s">
        <v>52</v>
      </c>
      <c r="H10" t="s">
        <v>64</v>
      </c>
      <c r="I10" t="s">
        <v>1261</v>
      </c>
      <c r="J10" t="s">
        <v>1262</v>
      </c>
      <c r="K10">
        <v>7250</v>
      </c>
      <c r="L10">
        <v>300</v>
      </c>
      <c r="M10">
        <f>Customers_Table[[#This Row],[Quantity Ordered]]*Customers_Table[[#This Row],[Sales Price (Per unit)]]</f>
        <v>900</v>
      </c>
      <c r="N10" t="s">
        <v>1263</v>
      </c>
    </row>
    <row r="11" spans="1:14" x14ac:dyDescent="0.2">
      <c r="A11" t="s">
        <v>65</v>
      </c>
      <c r="B11" t="s">
        <v>66</v>
      </c>
      <c r="C11">
        <v>1243</v>
      </c>
      <c r="D11" t="s">
        <v>37</v>
      </c>
      <c r="E11" s="1">
        <v>45635</v>
      </c>
      <c r="F11" s="6">
        <v>2</v>
      </c>
      <c r="G11" s="1" t="s">
        <v>52</v>
      </c>
      <c r="H11" t="s">
        <v>64</v>
      </c>
      <c r="I11" t="s">
        <v>1264</v>
      </c>
      <c r="J11" t="s">
        <v>1265</v>
      </c>
      <c r="K11">
        <v>7000</v>
      </c>
      <c r="L11">
        <v>800</v>
      </c>
      <c r="M11">
        <f>Customers_Table[[#This Row],[Quantity Ordered]]*Customers_Table[[#This Row],[Sales Price (Per unit)]]</f>
        <v>1600</v>
      </c>
      <c r="N11" t="s">
        <v>1266</v>
      </c>
    </row>
    <row r="12" spans="1:14" x14ac:dyDescent="0.2">
      <c r="A12" t="s">
        <v>67</v>
      </c>
      <c r="B12" t="s">
        <v>68</v>
      </c>
      <c r="C12">
        <v>1244</v>
      </c>
      <c r="D12" t="s">
        <v>31</v>
      </c>
      <c r="E12" s="1">
        <v>45414</v>
      </c>
      <c r="F12" s="6">
        <v>1</v>
      </c>
      <c r="G12" t="s">
        <v>32</v>
      </c>
      <c r="H12" t="s">
        <v>53</v>
      </c>
      <c r="I12" t="s">
        <v>1267</v>
      </c>
      <c r="J12" t="s">
        <v>1268</v>
      </c>
      <c r="K12">
        <v>4870</v>
      </c>
      <c r="L12">
        <v>250</v>
      </c>
      <c r="M12">
        <f>Customers_Table[[#This Row],[Quantity Ordered]]*Customers_Table[[#This Row],[Sales Price (Per unit)]]</f>
        <v>250</v>
      </c>
      <c r="N12" t="s">
        <v>1269</v>
      </c>
    </row>
    <row r="13" spans="1:14" x14ac:dyDescent="0.2">
      <c r="A13" t="s">
        <v>69</v>
      </c>
      <c r="B13" t="s">
        <v>70</v>
      </c>
      <c r="C13">
        <v>1245</v>
      </c>
      <c r="D13" t="s">
        <v>42</v>
      </c>
      <c r="E13" s="1">
        <v>45316</v>
      </c>
      <c r="F13" s="6">
        <v>1</v>
      </c>
      <c r="G13" t="s">
        <v>71</v>
      </c>
      <c r="H13" t="s">
        <v>57</v>
      </c>
      <c r="I13" t="s">
        <v>1270</v>
      </c>
      <c r="J13" t="s">
        <v>1095</v>
      </c>
      <c r="K13">
        <v>5000</v>
      </c>
      <c r="L13">
        <v>300</v>
      </c>
      <c r="M13">
        <f>Customers_Table[[#This Row],[Quantity Ordered]]*Customers_Table[[#This Row],[Sales Price (Per unit)]]</f>
        <v>300</v>
      </c>
      <c r="N13" t="s">
        <v>1271</v>
      </c>
    </row>
    <row r="14" spans="1:14" x14ac:dyDescent="0.2">
      <c r="A14" t="s">
        <v>72</v>
      </c>
      <c r="B14" t="s">
        <v>73</v>
      </c>
      <c r="C14">
        <v>1246</v>
      </c>
      <c r="D14" t="s">
        <v>42</v>
      </c>
      <c r="E14" s="1">
        <v>45486</v>
      </c>
      <c r="F14" s="6">
        <v>1</v>
      </c>
      <c r="G14" s="1" t="s">
        <v>52</v>
      </c>
      <c r="H14" t="s">
        <v>57</v>
      </c>
      <c r="I14" t="s">
        <v>1272</v>
      </c>
      <c r="J14" t="s">
        <v>1095</v>
      </c>
      <c r="K14">
        <v>5000</v>
      </c>
      <c r="L14">
        <v>300</v>
      </c>
      <c r="M14">
        <f>Customers_Table[[#This Row],[Quantity Ordered]]*Customers_Table[[#This Row],[Sales Price (Per unit)]]</f>
        <v>300</v>
      </c>
      <c r="N14" t="s">
        <v>1273</v>
      </c>
    </row>
    <row r="15" spans="1:14" x14ac:dyDescent="0.2">
      <c r="A15" t="s">
        <v>74</v>
      </c>
      <c r="B15" t="s">
        <v>75</v>
      </c>
      <c r="C15">
        <v>1247</v>
      </c>
      <c r="D15" t="s">
        <v>76</v>
      </c>
      <c r="E15" s="1">
        <v>45317</v>
      </c>
      <c r="F15" s="6">
        <v>3</v>
      </c>
      <c r="G15" t="s">
        <v>32</v>
      </c>
      <c r="H15" t="s">
        <v>47</v>
      </c>
      <c r="I15" t="s">
        <v>1274</v>
      </c>
      <c r="J15" t="s">
        <v>1275</v>
      </c>
      <c r="K15">
        <v>3000</v>
      </c>
      <c r="L15">
        <v>1200</v>
      </c>
      <c r="M15">
        <f>Customers_Table[[#This Row],[Quantity Ordered]]*Customers_Table[[#This Row],[Sales Price (Per unit)]]</f>
        <v>3600</v>
      </c>
      <c r="N15" t="s">
        <v>1276</v>
      </c>
    </row>
    <row r="16" spans="1:14" x14ac:dyDescent="0.2">
      <c r="A16" t="s">
        <v>77</v>
      </c>
      <c r="B16" t="s">
        <v>78</v>
      </c>
      <c r="C16">
        <v>1248</v>
      </c>
      <c r="D16" t="s">
        <v>31</v>
      </c>
      <c r="E16" s="1">
        <v>45473</v>
      </c>
      <c r="F16" s="6">
        <v>2</v>
      </c>
      <c r="G16" s="1" t="s">
        <v>52</v>
      </c>
      <c r="H16" t="s">
        <v>43</v>
      </c>
      <c r="I16" t="s">
        <v>1277</v>
      </c>
      <c r="J16" t="s">
        <v>1244</v>
      </c>
      <c r="K16">
        <v>2300</v>
      </c>
      <c r="L16">
        <v>250</v>
      </c>
      <c r="M16">
        <f>Customers_Table[[#This Row],[Quantity Ordered]]*Customers_Table[[#This Row],[Sales Price (Per unit)]]</f>
        <v>500</v>
      </c>
      <c r="N16" t="s">
        <v>1278</v>
      </c>
    </row>
    <row r="17" spans="1:14" x14ac:dyDescent="0.2">
      <c r="A17" t="s">
        <v>79</v>
      </c>
      <c r="B17" t="s">
        <v>80</v>
      </c>
      <c r="C17">
        <v>1249</v>
      </c>
      <c r="D17" t="s">
        <v>51</v>
      </c>
      <c r="E17" s="1">
        <v>45517</v>
      </c>
      <c r="F17" s="6">
        <v>3</v>
      </c>
      <c r="G17" t="s">
        <v>32</v>
      </c>
      <c r="H17" t="s">
        <v>81</v>
      </c>
      <c r="I17" t="s">
        <v>1279</v>
      </c>
      <c r="J17" t="s">
        <v>1280</v>
      </c>
      <c r="K17">
        <v>800</v>
      </c>
      <c r="L17">
        <v>250</v>
      </c>
      <c r="M17">
        <f>Customers_Table[[#This Row],[Quantity Ordered]]*Customers_Table[[#This Row],[Sales Price (Per unit)]]</f>
        <v>750</v>
      </c>
      <c r="N17" t="s">
        <v>1281</v>
      </c>
    </row>
    <row r="18" spans="1:14" x14ac:dyDescent="0.2">
      <c r="A18" t="s">
        <v>82</v>
      </c>
      <c r="B18" t="s">
        <v>83</v>
      </c>
      <c r="C18">
        <v>1250</v>
      </c>
      <c r="D18" t="s">
        <v>31</v>
      </c>
      <c r="E18" s="1">
        <v>45645</v>
      </c>
      <c r="F18" s="6">
        <v>1</v>
      </c>
      <c r="G18" t="s">
        <v>32</v>
      </c>
      <c r="H18" t="s">
        <v>43</v>
      </c>
      <c r="I18" t="s">
        <v>1282</v>
      </c>
      <c r="J18" t="s">
        <v>1244</v>
      </c>
      <c r="K18">
        <v>2300</v>
      </c>
      <c r="L18">
        <v>250</v>
      </c>
      <c r="M18">
        <f>Customers_Table[[#This Row],[Quantity Ordered]]*Customers_Table[[#This Row],[Sales Price (Per unit)]]</f>
        <v>250</v>
      </c>
      <c r="N18" t="s">
        <v>1283</v>
      </c>
    </row>
    <row r="19" spans="1:14" x14ac:dyDescent="0.2">
      <c r="A19" t="s">
        <v>84</v>
      </c>
      <c r="B19" t="s">
        <v>85</v>
      </c>
      <c r="C19">
        <v>1251</v>
      </c>
      <c r="D19" t="s">
        <v>51</v>
      </c>
      <c r="E19" s="1">
        <v>45524</v>
      </c>
      <c r="F19" s="6">
        <v>2</v>
      </c>
      <c r="G19" s="1" t="s">
        <v>38</v>
      </c>
      <c r="H19" t="s">
        <v>64</v>
      </c>
      <c r="I19" t="s">
        <v>1284</v>
      </c>
      <c r="J19" t="s">
        <v>1265</v>
      </c>
      <c r="K19">
        <v>7000</v>
      </c>
      <c r="L19">
        <v>250</v>
      </c>
      <c r="M19">
        <f>Customers_Table[[#This Row],[Quantity Ordered]]*Customers_Table[[#This Row],[Sales Price (Per unit)]]</f>
        <v>500</v>
      </c>
      <c r="N19" t="s">
        <v>1285</v>
      </c>
    </row>
    <row r="20" spans="1:14" x14ac:dyDescent="0.2">
      <c r="A20" t="s">
        <v>86</v>
      </c>
      <c r="B20" t="s">
        <v>87</v>
      </c>
      <c r="C20">
        <v>1252</v>
      </c>
      <c r="D20" t="s">
        <v>76</v>
      </c>
      <c r="E20" s="1">
        <v>45455</v>
      </c>
      <c r="F20" s="6">
        <v>3</v>
      </c>
      <c r="G20" s="1" t="s">
        <v>52</v>
      </c>
      <c r="H20" t="s">
        <v>39</v>
      </c>
      <c r="I20" t="s">
        <v>1286</v>
      </c>
      <c r="J20" t="s">
        <v>1241</v>
      </c>
      <c r="K20">
        <v>2600</v>
      </c>
      <c r="L20">
        <v>1200</v>
      </c>
      <c r="M20">
        <f>Customers_Table[[#This Row],[Quantity Ordered]]*Customers_Table[[#This Row],[Sales Price (Per unit)]]</f>
        <v>3600</v>
      </c>
      <c r="N20" t="s">
        <v>1287</v>
      </c>
    </row>
    <row r="21" spans="1:14" x14ac:dyDescent="0.2">
      <c r="A21" t="s">
        <v>88</v>
      </c>
      <c r="B21" t="s">
        <v>89</v>
      </c>
      <c r="C21">
        <v>1253</v>
      </c>
      <c r="D21" t="s">
        <v>37</v>
      </c>
      <c r="E21" s="1">
        <v>45308</v>
      </c>
      <c r="F21" s="6">
        <v>3</v>
      </c>
      <c r="G21" t="s">
        <v>32</v>
      </c>
      <c r="H21" t="s">
        <v>57</v>
      </c>
      <c r="I21" t="s">
        <v>1288</v>
      </c>
      <c r="J21" t="s">
        <v>1095</v>
      </c>
      <c r="K21">
        <v>5000</v>
      </c>
      <c r="L21">
        <v>800</v>
      </c>
      <c r="M21">
        <f>Customers_Table[[#This Row],[Quantity Ordered]]*Customers_Table[[#This Row],[Sales Price (Per unit)]]</f>
        <v>2400</v>
      </c>
      <c r="N21" t="s">
        <v>1289</v>
      </c>
    </row>
    <row r="22" spans="1:14" x14ac:dyDescent="0.2">
      <c r="A22" t="s">
        <v>90</v>
      </c>
      <c r="B22" t="s">
        <v>91</v>
      </c>
      <c r="C22">
        <v>1254</v>
      </c>
      <c r="D22" t="s">
        <v>92</v>
      </c>
      <c r="E22" s="1">
        <v>45615</v>
      </c>
      <c r="F22" s="6">
        <v>3</v>
      </c>
      <c r="G22" s="1" t="s">
        <v>52</v>
      </c>
      <c r="H22" t="s">
        <v>39</v>
      </c>
      <c r="I22" t="s">
        <v>1290</v>
      </c>
      <c r="J22" t="s">
        <v>1241</v>
      </c>
      <c r="K22">
        <v>2600</v>
      </c>
      <c r="L22">
        <v>600</v>
      </c>
      <c r="M22">
        <f>Customers_Table[[#This Row],[Quantity Ordered]]*Customers_Table[[#This Row],[Sales Price (Per unit)]]</f>
        <v>1800</v>
      </c>
      <c r="N22" t="s">
        <v>1291</v>
      </c>
    </row>
    <row r="23" spans="1:14" x14ac:dyDescent="0.2">
      <c r="A23" t="s">
        <v>93</v>
      </c>
      <c r="B23" t="s">
        <v>94</v>
      </c>
      <c r="C23">
        <v>1255</v>
      </c>
      <c r="D23" t="s">
        <v>37</v>
      </c>
      <c r="E23" s="1">
        <v>45458</v>
      </c>
      <c r="F23" s="6">
        <v>2</v>
      </c>
      <c r="G23" s="1" t="s">
        <v>52</v>
      </c>
      <c r="H23" t="s">
        <v>39</v>
      </c>
      <c r="I23" t="s">
        <v>1292</v>
      </c>
      <c r="J23" t="s">
        <v>1241</v>
      </c>
      <c r="K23">
        <v>2600</v>
      </c>
      <c r="L23">
        <v>800</v>
      </c>
      <c r="M23">
        <f>Customers_Table[[#This Row],[Quantity Ordered]]*Customers_Table[[#This Row],[Sales Price (Per unit)]]</f>
        <v>1600</v>
      </c>
      <c r="N23" t="s">
        <v>1293</v>
      </c>
    </row>
    <row r="24" spans="1:14" x14ac:dyDescent="0.2">
      <c r="A24" t="s">
        <v>95</v>
      </c>
      <c r="B24" t="s">
        <v>96</v>
      </c>
      <c r="C24">
        <v>1256</v>
      </c>
      <c r="D24" t="s">
        <v>76</v>
      </c>
      <c r="E24" s="1">
        <v>45400</v>
      </c>
      <c r="F24" s="6">
        <v>1</v>
      </c>
      <c r="G24" s="1" t="s">
        <v>52</v>
      </c>
      <c r="H24" t="s">
        <v>33</v>
      </c>
      <c r="I24" t="s">
        <v>1294</v>
      </c>
      <c r="J24" t="s">
        <v>1238</v>
      </c>
      <c r="K24">
        <v>6725</v>
      </c>
      <c r="L24">
        <v>1200</v>
      </c>
      <c r="M24">
        <f>Customers_Table[[#This Row],[Quantity Ordered]]*Customers_Table[[#This Row],[Sales Price (Per unit)]]</f>
        <v>1200</v>
      </c>
      <c r="N24" t="s">
        <v>1295</v>
      </c>
    </row>
    <row r="25" spans="1:14" x14ac:dyDescent="0.2">
      <c r="A25" t="s">
        <v>97</v>
      </c>
      <c r="B25" t="s">
        <v>98</v>
      </c>
      <c r="C25">
        <v>1257</v>
      </c>
      <c r="D25" t="s">
        <v>31</v>
      </c>
      <c r="E25" s="1">
        <v>45319</v>
      </c>
      <c r="F25" s="6">
        <v>3</v>
      </c>
      <c r="G25" t="s">
        <v>71</v>
      </c>
      <c r="H25" t="s">
        <v>39</v>
      </c>
      <c r="I25" t="s">
        <v>1296</v>
      </c>
      <c r="J25" t="s">
        <v>1241</v>
      </c>
      <c r="K25">
        <v>2600</v>
      </c>
      <c r="L25">
        <v>250</v>
      </c>
      <c r="M25">
        <f>Customers_Table[[#This Row],[Quantity Ordered]]*Customers_Table[[#This Row],[Sales Price (Per unit)]]</f>
        <v>750</v>
      </c>
      <c r="N25" t="s">
        <v>1297</v>
      </c>
    </row>
    <row r="26" spans="1:14" x14ac:dyDescent="0.2">
      <c r="A26" t="s">
        <v>99</v>
      </c>
      <c r="B26" t="s">
        <v>100</v>
      </c>
      <c r="C26">
        <v>1258</v>
      </c>
      <c r="D26" t="s">
        <v>31</v>
      </c>
      <c r="E26" s="1">
        <v>45558</v>
      </c>
      <c r="F26" s="6">
        <v>1</v>
      </c>
      <c r="G26" s="1" t="s">
        <v>38</v>
      </c>
      <c r="H26" t="s">
        <v>43</v>
      </c>
      <c r="I26" t="s">
        <v>1298</v>
      </c>
      <c r="J26" t="s">
        <v>1299</v>
      </c>
      <c r="K26">
        <v>2500</v>
      </c>
      <c r="L26">
        <v>250</v>
      </c>
      <c r="M26">
        <f>Customers_Table[[#This Row],[Quantity Ordered]]*Customers_Table[[#This Row],[Sales Price (Per unit)]]</f>
        <v>250</v>
      </c>
      <c r="N26" t="s">
        <v>1300</v>
      </c>
    </row>
    <row r="27" spans="1:14" x14ac:dyDescent="0.2">
      <c r="A27" t="s">
        <v>101</v>
      </c>
      <c r="B27" t="s">
        <v>102</v>
      </c>
      <c r="C27">
        <v>1259</v>
      </c>
      <c r="D27" t="s">
        <v>51</v>
      </c>
      <c r="E27" s="1">
        <v>45516</v>
      </c>
      <c r="F27" s="6">
        <v>2</v>
      </c>
      <c r="G27" t="s">
        <v>71</v>
      </c>
      <c r="H27" t="s">
        <v>33</v>
      </c>
      <c r="I27" t="s">
        <v>1301</v>
      </c>
      <c r="J27" t="s">
        <v>1302</v>
      </c>
      <c r="K27">
        <v>6000</v>
      </c>
      <c r="L27">
        <v>250</v>
      </c>
      <c r="M27">
        <f>Customers_Table[[#This Row],[Quantity Ordered]]*Customers_Table[[#This Row],[Sales Price (Per unit)]]</f>
        <v>500</v>
      </c>
      <c r="N27" t="s">
        <v>1303</v>
      </c>
    </row>
    <row r="28" spans="1:14" x14ac:dyDescent="0.2">
      <c r="A28" t="s">
        <v>103</v>
      </c>
      <c r="B28" t="s">
        <v>104</v>
      </c>
      <c r="C28">
        <v>1260</v>
      </c>
      <c r="D28" t="s">
        <v>76</v>
      </c>
      <c r="E28" s="1">
        <v>45301</v>
      </c>
      <c r="F28" s="6">
        <v>3</v>
      </c>
      <c r="G28" t="s">
        <v>32</v>
      </c>
      <c r="H28" t="s">
        <v>53</v>
      </c>
      <c r="I28" t="s">
        <v>1304</v>
      </c>
      <c r="J28" t="s">
        <v>1305</v>
      </c>
      <c r="K28">
        <v>4000</v>
      </c>
      <c r="L28">
        <v>1200</v>
      </c>
      <c r="M28">
        <f>Customers_Table[[#This Row],[Quantity Ordered]]*Customers_Table[[#This Row],[Sales Price (Per unit)]]</f>
        <v>3600</v>
      </c>
      <c r="N28" t="s">
        <v>1306</v>
      </c>
    </row>
    <row r="29" spans="1:14" x14ac:dyDescent="0.2">
      <c r="A29" t="s">
        <v>104</v>
      </c>
      <c r="B29" t="s">
        <v>105</v>
      </c>
      <c r="C29">
        <v>1261</v>
      </c>
      <c r="D29" t="s">
        <v>76</v>
      </c>
      <c r="E29" s="1">
        <v>45348</v>
      </c>
      <c r="F29" s="6">
        <v>1</v>
      </c>
      <c r="G29" s="1" t="s">
        <v>52</v>
      </c>
      <c r="H29" t="s">
        <v>81</v>
      </c>
      <c r="I29" t="s">
        <v>1307</v>
      </c>
      <c r="J29" t="s">
        <v>1280</v>
      </c>
      <c r="K29">
        <v>800</v>
      </c>
      <c r="L29">
        <v>1200</v>
      </c>
      <c r="M29">
        <f>Customers_Table[[#This Row],[Quantity Ordered]]*Customers_Table[[#This Row],[Sales Price (Per unit)]]</f>
        <v>1200</v>
      </c>
      <c r="N29" t="s">
        <v>1308</v>
      </c>
    </row>
    <row r="30" spans="1:14" x14ac:dyDescent="0.2">
      <c r="A30" t="s">
        <v>106</v>
      </c>
      <c r="B30" t="s">
        <v>107</v>
      </c>
      <c r="C30">
        <v>1262</v>
      </c>
      <c r="D30" t="s">
        <v>76</v>
      </c>
      <c r="E30" s="1">
        <v>45529</v>
      </c>
      <c r="F30" s="6">
        <v>2</v>
      </c>
      <c r="G30" s="1" t="s">
        <v>52</v>
      </c>
      <c r="H30" t="s">
        <v>43</v>
      </c>
      <c r="I30" t="s">
        <v>1309</v>
      </c>
      <c r="J30" t="s">
        <v>865</v>
      </c>
      <c r="K30">
        <v>2000</v>
      </c>
      <c r="L30">
        <v>1200</v>
      </c>
      <c r="M30">
        <f>Customers_Table[[#This Row],[Quantity Ordered]]*Customers_Table[[#This Row],[Sales Price (Per unit)]]</f>
        <v>2400</v>
      </c>
      <c r="N30" t="s">
        <v>1310</v>
      </c>
    </row>
    <row r="31" spans="1:14" x14ac:dyDescent="0.2">
      <c r="A31" t="s">
        <v>108</v>
      </c>
      <c r="B31" t="s">
        <v>109</v>
      </c>
      <c r="C31">
        <v>1263</v>
      </c>
      <c r="D31" t="s">
        <v>76</v>
      </c>
      <c r="E31" s="1">
        <v>45360</v>
      </c>
      <c r="F31" s="6">
        <v>3</v>
      </c>
      <c r="G31" t="s">
        <v>32</v>
      </c>
      <c r="H31" t="s">
        <v>43</v>
      </c>
      <c r="I31" t="s">
        <v>1311</v>
      </c>
      <c r="J31" t="s">
        <v>1299</v>
      </c>
      <c r="K31">
        <v>2500</v>
      </c>
      <c r="L31">
        <v>1200</v>
      </c>
      <c r="M31">
        <f>Customers_Table[[#This Row],[Quantity Ordered]]*Customers_Table[[#This Row],[Sales Price (Per unit)]]</f>
        <v>3600</v>
      </c>
      <c r="N31" t="s">
        <v>1312</v>
      </c>
    </row>
    <row r="32" spans="1:14" x14ac:dyDescent="0.2">
      <c r="A32" t="s">
        <v>110</v>
      </c>
      <c r="B32" t="s">
        <v>111</v>
      </c>
      <c r="C32">
        <v>1264</v>
      </c>
      <c r="D32" t="s">
        <v>37</v>
      </c>
      <c r="E32" s="1">
        <v>45646</v>
      </c>
      <c r="F32" s="6">
        <v>2</v>
      </c>
      <c r="G32" s="1" t="s">
        <v>52</v>
      </c>
      <c r="H32" t="s">
        <v>53</v>
      </c>
      <c r="I32" t="s">
        <v>1313</v>
      </c>
      <c r="J32" t="s">
        <v>1250</v>
      </c>
      <c r="K32">
        <v>4217</v>
      </c>
      <c r="L32">
        <v>800</v>
      </c>
      <c r="M32">
        <f>Customers_Table[[#This Row],[Quantity Ordered]]*Customers_Table[[#This Row],[Sales Price (Per unit)]]</f>
        <v>1600</v>
      </c>
      <c r="N32" t="s">
        <v>1314</v>
      </c>
    </row>
    <row r="33" spans="1:14" x14ac:dyDescent="0.2">
      <c r="A33" t="s">
        <v>112</v>
      </c>
      <c r="B33" t="s">
        <v>113</v>
      </c>
      <c r="C33">
        <v>1265</v>
      </c>
      <c r="D33" t="s">
        <v>42</v>
      </c>
      <c r="E33" s="1">
        <v>45588</v>
      </c>
      <c r="F33" s="6">
        <v>1</v>
      </c>
      <c r="G33" s="1" t="s">
        <v>52</v>
      </c>
      <c r="H33" t="s">
        <v>64</v>
      </c>
      <c r="I33" t="s">
        <v>1315</v>
      </c>
      <c r="J33" t="s">
        <v>1265</v>
      </c>
      <c r="K33">
        <v>7000</v>
      </c>
      <c r="L33">
        <v>300</v>
      </c>
      <c r="M33">
        <f>Customers_Table[[#This Row],[Quantity Ordered]]*Customers_Table[[#This Row],[Sales Price (Per unit)]]</f>
        <v>300</v>
      </c>
      <c r="N33" t="s">
        <v>1316</v>
      </c>
    </row>
    <row r="34" spans="1:14" x14ac:dyDescent="0.2">
      <c r="A34" t="s">
        <v>115</v>
      </c>
      <c r="B34" t="s">
        <v>116</v>
      </c>
      <c r="C34">
        <v>1266</v>
      </c>
      <c r="D34" t="s">
        <v>42</v>
      </c>
      <c r="E34" s="1">
        <v>45640</v>
      </c>
      <c r="F34" s="6">
        <v>2</v>
      </c>
      <c r="G34" s="1" t="s">
        <v>38</v>
      </c>
      <c r="H34" t="s">
        <v>47</v>
      </c>
      <c r="I34" t="s">
        <v>1317</v>
      </c>
      <c r="J34" t="s">
        <v>1256</v>
      </c>
      <c r="K34">
        <v>3220</v>
      </c>
      <c r="L34">
        <v>300</v>
      </c>
      <c r="M34">
        <f>Customers_Table[[#This Row],[Quantity Ordered]]*Customers_Table[[#This Row],[Sales Price (Per unit)]]</f>
        <v>600</v>
      </c>
      <c r="N34" t="s">
        <v>1318</v>
      </c>
    </row>
    <row r="35" spans="1:14" x14ac:dyDescent="0.2">
      <c r="A35" t="s">
        <v>117</v>
      </c>
      <c r="B35" t="s">
        <v>118</v>
      </c>
      <c r="C35">
        <v>1267</v>
      </c>
      <c r="D35" t="s">
        <v>76</v>
      </c>
      <c r="E35" s="1">
        <v>45530</v>
      </c>
      <c r="F35" s="6">
        <v>2</v>
      </c>
      <c r="G35" t="s">
        <v>71</v>
      </c>
      <c r="H35" t="s">
        <v>81</v>
      </c>
      <c r="I35" t="s">
        <v>1319</v>
      </c>
      <c r="J35" t="s">
        <v>1280</v>
      </c>
      <c r="K35">
        <v>800</v>
      </c>
      <c r="L35">
        <v>1200</v>
      </c>
      <c r="M35">
        <f>Customers_Table[[#This Row],[Quantity Ordered]]*Customers_Table[[#This Row],[Sales Price (Per unit)]]</f>
        <v>2400</v>
      </c>
      <c r="N35" t="s">
        <v>1320</v>
      </c>
    </row>
    <row r="36" spans="1:14" x14ac:dyDescent="0.2">
      <c r="A36" t="s">
        <v>119</v>
      </c>
      <c r="B36" t="s">
        <v>120</v>
      </c>
      <c r="C36">
        <v>1268</v>
      </c>
      <c r="D36" t="s">
        <v>51</v>
      </c>
      <c r="E36" s="1">
        <v>45536</v>
      </c>
      <c r="F36" s="6">
        <v>2</v>
      </c>
      <c r="G36" t="s">
        <v>32</v>
      </c>
      <c r="H36" t="s">
        <v>57</v>
      </c>
      <c r="I36" t="s">
        <v>1321</v>
      </c>
      <c r="J36" t="s">
        <v>1095</v>
      </c>
      <c r="K36">
        <v>5000</v>
      </c>
      <c r="L36">
        <v>250</v>
      </c>
      <c r="M36">
        <f>Customers_Table[[#This Row],[Quantity Ordered]]*Customers_Table[[#This Row],[Sales Price (Per unit)]]</f>
        <v>500</v>
      </c>
      <c r="N36" t="s">
        <v>1322</v>
      </c>
    </row>
    <row r="37" spans="1:14" x14ac:dyDescent="0.2">
      <c r="A37" t="s">
        <v>121</v>
      </c>
      <c r="B37" t="s">
        <v>122</v>
      </c>
      <c r="C37">
        <v>1269</v>
      </c>
      <c r="D37" t="s">
        <v>92</v>
      </c>
      <c r="E37" s="1">
        <v>45633</v>
      </c>
      <c r="F37" s="6">
        <v>1</v>
      </c>
      <c r="G37" t="s">
        <v>32</v>
      </c>
      <c r="H37" t="s">
        <v>47</v>
      </c>
      <c r="I37" t="s">
        <v>1323</v>
      </c>
      <c r="J37" t="s">
        <v>1247</v>
      </c>
      <c r="K37">
        <v>3350</v>
      </c>
      <c r="L37">
        <v>600</v>
      </c>
      <c r="M37">
        <f>Customers_Table[[#This Row],[Quantity Ordered]]*Customers_Table[[#This Row],[Sales Price (Per unit)]]</f>
        <v>600</v>
      </c>
      <c r="N37" t="s">
        <v>1324</v>
      </c>
    </row>
    <row r="38" spans="1:14" x14ac:dyDescent="0.2">
      <c r="A38" t="s">
        <v>123</v>
      </c>
      <c r="B38" t="s">
        <v>124</v>
      </c>
      <c r="C38">
        <v>1270</v>
      </c>
      <c r="D38" t="s">
        <v>76</v>
      </c>
      <c r="E38" s="1">
        <v>45297</v>
      </c>
      <c r="F38" s="6">
        <v>2</v>
      </c>
      <c r="G38" s="1" t="s">
        <v>52</v>
      </c>
      <c r="H38" t="s">
        <v>43</v>
      </c>
      <c r="I38" t="s">
        <v>1325</v>
      </c>
      <c r="J38" t="s">
        <v>1299</v>
      </c>
      <c r="K38">
        <v>2500</v>
      </c>
      <c r="L38">
        <v>1200</v>
      </c>
      <c r="M38">
        <f>Customers_Table[[#This Row],[Quantity Ordered]]*Customers_Table[[#This Row],[Sales Price (Per unit)]]</f>
        <v>2400</v>
      </c>
      <c r="N38" t="s">
        <v>1326</v>
      </c>
    </row>
    <row r="39" spans="1:14" x14ac:dyDescent="0.2">
      <c r="A39" t="s">
        <v>125</v>
      </c>
      <c r="B39" t="s">
        <v>126</v>
      </c>
      <c r="C39">
        <v>1271</v>
      </c>
      <c r="D39" t="s">
        <v>51</v>
      </c>
      <c r="E39" s="1">
        <v>45450</v>
      </c>
      <c r="F39" s="6">
        <v>1</v>
      </c>
      <c r="G39" t="s">
        <v>71</v>
      </c>
      <c r="H39" t="s">
        <v>33</v>
      </c>
      <c r="I39" t="s">
        <v>1327</v>
      </c>
      <c r="J39" t="s">
        <v>1238</v>
      </c>
      <c r="K39">
        <v>6725</v>
      </c>
      <c r="L39">
        <v>250</v>
      </c>
      <c r="M39">
        <f>Customers_Table[[#This Row],[Quantity Ordered]]*Customers_Table[[#This Row],[Sales Price (Per unit)]]</f>
        <v>250</v>
      </c>
      <c r="N39" t="s">
        <v>1328</v>
      </c>
    </row>
    <row r="40" spans="1:14" x14ac:dyDescent="0.2">
      <c r="A40" t="s">
        <v>127</v>
      </c>
      <c r="B40" t="s">
        <v>128</v>
      </c>
      <c r="C40">
        <v>1272</v>
      </c>
      <c r="D40" t="s">
        <v>31</v>
      </c>
      <c r="E40" s="1">
        <v>45555</v>
      </c>
      <c r="F40" s="6">
        <v>3</v>
      </c>
      <c r="G40" s="1" t="s">
        <v>52</v>
      </c>
      <c r="H40" t="s">
        <v>47</v>
      </c>
      <c r="I40" t="s">
        <v>1329</v>
      </c>
      <c r="J40" t="s">
        <v>1256</v>
      </c>
      <c r="K40">
        <v>3220</v>
      </c>
      <c r="L40">
        <v>250</v>
      </c>
      <c r="M40">
        <f>Customers_Table[[#This Row],[Quantity Ordered]]*Customers_Table[[#This Row],[Sales Price (Per unit)]]</f>
        <v>750</v>
      </c>
      <c r="N40" t="s">
        <v>1330</v>
      </c>
    </row>
    <row r="41" spans="1:14" x14ac:dyDescent="0.2">
      <c r="A41" t="s">
        <v>129</v>
      </c>
      <c r="B41" t="s">
        <v>130</v>
      </c>
      <c r="C41">
        <v>1273</v>
      </c>
      <c r="D41" t="s">
        <v>37</v>
      </c>
      <c r="E41" s="1">
        <v>45431</v>
      </c>
      <c r="F41" s="6">
        <v>3</v>
      </c>
      <c r="G41" s="1" t="s">
        <v>52</v>
      </c>
      <c r="H41" t="s">
        <v>47</v>
      </c>
      <c r="I41" t="s">
        <v>1331</v>
      </c>
      <c r="J41" t="s">
        <v>1275</v>
      </c>
      <c r="K41">
        <v>3000</v>
      </c>
      <c r="L41">
        <v>800</v>
      </c>
      <c r="M41">
        <f>Customers_Table[[#This Row],[Quantity Ordered]]*Customers_Table[[#This Row],[Sales Price (Per unit)]]</f>
        <v>2400</v>
      </c>
      <c r="N41" t="s">
        <v>1332</v>
      </c>
    </row>
    <row r="42" spans="1:14" x14ac:dyDescent="0.2">
      <c r="A42" t="s">
        <v>131</v>
      </c>
      <c r="B42" t="s">
        <v>132</v>
      </c>
      <c r="C42">
        <v>1274</v>
      </c>
      <c r="D42" t="s">
        <v>76</v>
      </c>
      <c r="E42" s="1">
        <v>45572</v>
      </c>
      <c r="F42" s="6">
        <v>1</v>
      </c>
      <c r="G42" s="1" t="s">
        <v>52</v>
      </c>
      <c r="H42" t="s">
        <v>53</v>
      </c>
      <c r="I42" t="s">
        <v>1333</v>
      </c>
      <c r="J42" t="s">
        <v>1250</v>
      </c>
      <c r="K42">
        <v>4217</v>
      </c>
      <c r="L42">
        <v>1200</v>
      </c>
      <c r="M42">
        <f>Customers_Table[[#This Row],[Quantity Ordered]]*Customers_Table[[#This Row],[Sales Price (Per unit)]]</f>
        <v>1200</v>
      </c>
      <c r="N42" t="s">
        <v>1334</v>
      </c>
    </row>
    <row r="43" spans="1:14" x14ac:dyDescent="0.2">
      <c r="A43" t="s">
        <v>133</v>
      </c>
      <c r="B43" t="s">
        <v>134</v>
      </c>
      <c r="C43">
        <v>1275</v>
      </c>
      <c r="D43" t="s">
        <v>42</v>
      </c>
      <c r="E43" s="1">
        <v>45550</v>
      </c>
      <c r="F43" s="6">
        <v>2</v>
      </c>
      <c r="G43" s="1" t="s">
        <v>52</v>
      </c>
      <c r="H43" t="s">
        <v>64</v>
      </c>
      <c r="I43" t="s">
        <v>1335</v>
      </c>
      <c r="J43" t="s">
        <v>1262</v>
      </c>
      <c r="K43">
        <v>7250</v>
      </c>
      <c r="L43">
        <v>300</v>
      </c>
      <c r="M43">
        <f>Customers_Table[[#This Row],[Quantity Ordered]]*Customers_Table[[#This Row],[Sales Price (Per unit)]]</f>
        <v>600</v>
      </c>
      <c r="N43" t="s">
        <v>1336</v>
      </c>
    </row>
    <row r="44" spans="1:14" x14ac:dyDescent="0.2">
      <c r="A44" t="s">
        <v>135</v>
      </c>
      <c r="B44" t="s">
        <v>136</v>
      </c>
      <c r="C44">
        <v>1276</v>
      </c>
      <c r="D44" t="s">
        <v>76</v>
      </c>
      <c r="E44" s="1">
        <v>45605</v>
      </c>
      <c r="F44" s="6">
        <v>1</v>
      </c>
      <c r="G44" t="s">
        <v>32</v>
      </c>
      <c r="H44" t="s">
        <v>39</v>
      </c>
      <c r="I44" t="s">
        <v>1337</v>
      </c>
      <c r="J44" t="s">
        <v>1241</v>
      </c>
      <c r="K44">
        <v>2600</v>
      </c>
      <c r="L44">
        <v>1200</v>
      </c>
      <c r="M44">
        <f>Customers_Table[[#This Row],[Quantity Ordered]]*Customers_Table[[#This Row],[Sales Price (Per unit)]]</f>
        <v>1200</v>
      </c>
      <c r="N44" t="s">
        <v>1338</v>
      </c>
    </row>
    <row r="45" spans="1:14" x14ac:dyDescent="0.2">
      <c r="A45" t="s">
        <v>137</v>
      </c>
      <c r="B45" t="s">
        <v>138</v>
      </c>
      <c r="C45">
        <v>1277</v>
      </c>
      <c r="D45" t="s">
        <v>76</v>
      </c>
      <c r="E45" s="1">
        <v>45648</v>
      </c>
      <c r="F45" s="6">
        <v>1</v>
      </c>
      <c r="G45" s="1" t="s">
        <v>38</v>
      </c>
      <c r="H45" t="s">
        <v>57</v>
      </c>
      <c r="I45" t="s">
        <v>1339</v>
      </c>
      <c r="J45" t="s">
        <v>1253</v>
      </c>
      <c r="K45">
        <v>5290</v>
      </c>
      <c r="L45">
        <v>1200</v>
      </c>
      <c r="M45">
        <f>Customers_Table[[#This Row],[Quantity Ordered]]*Customers_Table[[#This Row],[Sales Price (Per unit)]]</f>
        <v>1200</v>
      </c>
      <c r="N45" t="s">
        <v>1340</v>
      </c>
    </row>
    <row r="46" spans="1:14" x14ac:dyDescent="0.2">
      <c r="A46" t="s">
        <v>139</v>
      </c>
      <c r="B46" t="s">
        <v>140</v>
      </c>
      <c r="C46">
        <v>1278</v>
      </c>
      <c r="D46" t="s">
        <v>76</v>
      </c>
      <c r="E46" s="1">
        <v>45563</v>
      </c>
      <c r="F46" s="6">
        <v>2</v>
      </c>
      <c r="G46" t="s">
        <v>32</v>
      </c>
      <c r="H46" t="s">
        <v>43</v>
      </c>
      <c r="I46" t="s">
        <v>1341</v>
      </c>
      <c r="J46" t="s">
        <v>1299</v>
      </c>
      <c r="K46">
        <v>2500</v>
      </c>
      <c r="L46">
        <v>1200</v>
      </c>
      <c r="M46">
        <f>Customers_Table[[#This Row],[Quantity Ordered]]*Customers_Table[[#This Row],[Sales Price (Per unit)]]</f>
        <v>2400</v>
      </c>
      <c r="N46" t="s">
        <v>1342</v>
      </c>
    </row>
    <row r="47" spans="1:14" x14ac:dyDescent="0.2">
      <c r="A47" t="s">
        <v>141</v>
      </c>
      <c r="B47" t="s">
        <v>142</v>
      </c>
      <c r="C47">
        <v>1279</v>
      </c>
      <c r="D47" t="s">
        <v>31</v>
      </c>
      <c r="E47" s="1">
        <v>45331</v>
      </c>
      <c r="F47" s="6">
        <v>1</v>
      </c>
      <c r="G47" t="s">
        <v>32</v>
      </c>
      <c r="H47" t="s">
        <v>47</v>
      </c>
      <c r="I47" t="s">
        <v>1343</v>
      </c>
      <c r="J47" t="s">
        <v>1247</v>
      </c>
      <c r="K47">
        <v>3350</v>
      </c>
      <c r="L47">
        <v>250</v>
      </c>
      <c r="M47">
        <f>Customers_Table[[#This Row],[Quantity Ordered]]*Customers_Table[[#This Row],[Sales Price (Per unit)]]</f>
        <v>250</v>
      </c>
      <c r="N47" t="s">
        <v>1344</v>
      </c>
    </row>
    <row r="48" spans="1:14" x14ac:dyDescent="0.2">
      <c r="A48" t="s">
        <v>143</v>
      </c>
      <c r="B48" t="s">
        <v>104</v>
      </c>
      <c r="C48">
        <v>1280</v>
      </c>
      <c r="D48" t="s">
        <v>76</v>
      </c>
      <c r="E48" s="1">
        <v>45436</v>
      </c>
      <c r="F48" s="6">
        <v>2</v>
      </c>
      <c r="G48" t="s">
        <v>32</v>
      </c>
      <c r="H48" t="s">
        <v>53</v>
      </c>
      <c r="I48" t="s">
        <v>1345</v>
      </c>
      <c r="J48" t="s">
        <v>1305</v>
      </c>
      <c r="K48">
        <v>4000</v>
      </c>
      <c r="L48">
        <v>1200</v>
      </c>
      <c r="M48">
        <f>Customers_Table[[#This Row],[Quantity Ordered]]*Customers_Table[[#This Row],[Sales Price (Per unit)]]</f>
        <v>2400</v>
      </c>
      <c r="N48" t="s">
        <v>1346</v>
      </c>
    </row>
    <row r="49" spans="1:14" x14ac:dyDescent="0.2">
      <c r="A49" t="s">
        <v>144</v>
      </c>
      <c r="B49" t="s">
        <v>145</v>
      </c>
      <c r="C49">
        <v>1281</v>
      </c>
      <c r="D49" t="s">
        <v>51</v>
      </c>
      <c r="E49" s="1">
        <v>45505</v>
      </c>
      <c r="F49" s="6">
        <v>2</v>
      </c>
      <c r="G49" t="s">
        <v>32</v>
      </c>
      <c r="H49" t="s">
        <v>57</v>
      </c>
      <c r="I49" t="s">
        <v>1347</v>
      </c>
      <c r="J49" t="s">
        <v>1095</v>
      </c>
      <c r="K49">
        <v>5000</v>
      </c>
      <c r="L49">
        <v>250</v>
      </c>
      <c r="M49">
        <f>Customers_Table[[#This Row],[Quantity Ordered]]*Customers_Table[[#This Row],[Sales Price (Per unit)]]</f>
        <v>500</v>
      </c>
      <c r="N49" t="s">
        <v>1348</v>
      </c>
    </row>
    <row r="50" spans="1:14" x14ac:dyDescent="0.2">
      <c r="A50" t="s">
        <v>146</v>
      </c>
      <c r="B50" t="s">
        <v>147</v>
      </c>
      <c r="C50">
        <v>1282</v>
      </c>
      <c r="D50" t="s">
        <v>92</v>
      </c>
      <c r="E50" s="1">
        <v>45340</v>
      </c>
      <c r="F50" s="6">
        <v>3</v>
      </c>
      <c r="G50" t="s">
        <v>32</v>
      </c>
      <c r="H50" t="s">
        <v>57</v>
      </c>
      <c r="I50" t="s">
        <v>1349</v>
      </c>
      <c r="J50" t="s">
        <v>1350</v>
      </c>
      <c r="K50">
        <v>5600</v>
      </c>
      <c r="L50">
        <v>600</v>
      </c>
      <c r="M50">
        <f>Customers_Table[[#This Row],[Quantity Ordered]]*Customers_Table[[#This Row],[Sales Price (Per unit)]]</f>
        <v>1800</v>
      </c>
      <c r="N50" t="s">
        <v>1351</v>
      </c>
    </row>
    <row r="51" spans="1:14" x14ac:dyDescent="0.2">
      <c r="A51" t="s">
        <v>148</v>
      </c>
      <c r="B51" t="s">
        <v>149</v>
      </c>
      <c r="C51">
        <v>1283</v>
      </c>
      <c r="D51" t="s">
        <v>51</v>
      </c>
      <c r="E51" s="1">
        <v>45368</v>
      </c>
      <c r="F51" s="6">
        <v>1</v>
      </c>
      <c r="G51" t="s">
        <v>32</v>
      </c>
      <c r="H51" t="s">
        <v>43</v>
      </c>
      <c r="I51" t="s">
        <v>1352</v>
      </c>
      <c r="J51" t="s">
        <v>1299</v>
      </c>
      <c r="K51">
        <v>2500</v>
      </c>
      <c r="L51">
        <v>250</v>
      </c>
      <c r="M51">
        <f>Customers_Table[[#This Row],[Quantity Ordered]]*Customers_Table[[#This Row],[Sales Price (Per unit)]]</f>
        <v>250</v>
      </c>
      <c r="N51" t="s">
        <v>1353</v>
      </c>
    </row>
    <row r="52" spans="1:14" x14ac:dyDescent="0.2">
      <c r="A52" t="s">
        <v>150</v>
      </c>
      <c r="B52" t="s">
        <v>151</v>
      </c>
      <c r="C52">
        <v>1284</v>
      </c>
      <c r="D52" t="s">
        <v>37</v>
      </c>
      <c r="E52" s="1">
        <v>45324</v>
      </c>
      <c r="F52" s="6">
        <v>2</v>
      </c>
      <c r="G52" t="s">
        <v>32</v>
      </c>
      <c r="H52" t="s">
        <v>47</v>
      </c>
      <c r="I52" t="s">
        <v>1354</v>
      </c>
      <c r="J52" t="s">
        <v>1247</v>
      </c>
      <c r="K52">
        <v>3350</v>
      </c>
      <c r="L52">
        <v>800</v>
      </c>
      <c r="M52">
        <f>Customers_Table[[#This Row],[Quantity Ordered]]*Customers_Table[[#This Row],[Sales Price (Per unit)]]</f>
        <v>1600</v>
      </c>
      <c r="N52" t="s">
        <v>1355</v>
      </c>
    </row>
    <row r="53" spans="1:14" x14ac:dyDescent="0.2">
      <c r="A53" t="s">
        <v>152</v>
      </c>
      <c r="B53" t="s">
        <v>153</v>
      </c>
      <c r="C53">
        <v>1285</v>
      </c>
      <c r="D53" t="s">
        <v>31</v>
      </c>
      <c r="E53" s="1">
        <v>45321</v>
      </c>
      <c r="F53" s="6">
        <v>3</v>
      </c>
      <c r="G53" s="1" t="s">
        <v>52</v>
      </c>
      <c r="H53" t="s">
        <v>43</v>
      </c>
      <c r="I53" t="s">
        <v>1356</v>
      </c>
      <c r="J53" t="s">
        <v>1244</v>
      </c>
      <c r="K53">
        <v>2300</v>
      </c>
      <c r="L53">
        <v>250</v>
      </c>
      <c r="M53">
        <f>Customers_Table[[#This Row],[Quantity Ordered]]*Customers_Table[[#This Row],[Sales Price (Per unit)]]</f>
        <v>750</v>
      </c>
      <c r="N53" t="s">
        <v>1357</v>
      </c>
    </row>
    <row r="54" spans="1:14" x14ac:dyDescent="0.2">
      <c r="A54" t="s">
        <v>154</v>
      </c>
      <c r="B54" t="s">
        <v>155</v>
      </c>
      <c r="C54">
        <v>1286</v>
      </c>
      <c r="D54" t="s">
        <v>92</v>
      </c>
      <c r="E54" s="1">
        <v>45597</v>
      </c>
      <c r="F54" s="6">
        <v>2</v>
      </c>
      <c r="G54" s="1" t="s">
        <v>52</v>
      </c>
      <c r="H54" t="s">
        <v>43</v>
      </c>
      <c r="I54" t="s">
        <v>1358</v>
      </c>
      <c r="J54" t="s">
        <v>1299</v>
      </c>
      <c r="K54">
        <v>2500</v>
      </c>
      <c r="L54">
        <v>600</v>
      </c>
      <c r="M54">
        <f>Customers_Table[[#This Row],[Quantity Ordered]]*Customers_Table[[#This Row],[Sales Price (Per unit)]]</f>
        <v>1200</v>
      </c>
      <c r="N54" t="s">
        <v>1359</v>
      </c>
    </row>
    <row r="55" spans="1:14" x14ac:dyDescent="0.2">
      <c r="A55" t="s">
        <v>121</v>
      </c>
      <c r="B55" t="s">
        <v>156</v>
      </c>
      <c r="C55">
        <v>1287</v>
      </c>
      <c r="D55" t="s">
        <v>37</v>
      </c>
      <c r="E55" s="1">
        <v>45531</v>
      </c>
      <c r="F55" s="6">
        <v>3</v>
      </c>
      <c r="G55" s="1" t="s">
        <v>52</v>
      </c>
      <c r="H55" t="s">
        <v>81</v>
      </c>
      <c r="I55" t="s">
        <v>1360</v>
      </c>
      <c r="J55" t="s">
        <v>1361</v>
      </c>
      <c r="K55">
        <v>870</v>
      </c>
      <c r="L55">
        <v>800</v>
      </c>
      <c r="M55">
        <f>Customers_Table[[#This Row],[Quantity Ordered]]*Customers_Table[[#This Row],[Sales Price (Per unit)]]</f>
        <v>2400</v>
      </c>
      <c r="N55" t="s">
        <v>1362</v>
      </c>
    </row>
    <row r="56" spans="1:14" x14ac:dyDescent="0.2">
      <c r="A56" t="s">
        <v>157</v>
      </c>
      <c r="B56" t="s">
        <v>158</v>
      </c>
      <c r="C56">
        <v>1288</v>
      </c>
      <c r="D56" t="s">
        <v>31</v>
      </c>
      <c r="E56" s="1">
        <v>45589</v>
      </c>
      <c r="F56" s="6">
        <v>2</v>
      </c>
      <c r="G56" s="1" t="s">
        <v>52</v>
      </c>
      <c r="H56" t="s">
        <v>47</v>
      </c>
      <c r="I56" t="s">
        <v>1363</v>
      </c>
      <c r="J56" t="s">
        <v>1247</v>
      </c>
      <c r="K56">
        <v>3350</v>
      </c>
      <c r="L56">
        <v>250</v>
      </c>
      <c r="M56">
        <f>Customers_Table[[#This Row],[Quantity Ordered]]*Customers_Table[[#This Row],[Sales Price (Per unit)]]</f>
        <v>500</v>
      </c>
      <c r="N56" t="s">
        <v>1364</v>
      </c>
    </row>
    <row r="57" spans="1:14" x14ac:dyDescent="0.2">
      <c r="A57" t="s">
        <v>159</v>
      </c>
      <c r="B57" t="s">
        <v>160</v>
      </c>
      <c r="C57">
        <v>1289</v>
      </c>
      <c r="D57" t="s">
        <v>76</v>
      </c>
      <c r="E57" s="1">
        <v>45326</v>
      </c>
      <c r="F57" s="6">
        <v>2</v>
      </c>
      <c r="G57" s="1" t="s">
        <v>52</v>
      </c>
      <c r="H57" t="s">
        <v>43</v>
      </c>
      <c r="I57" t="s">
        <v>1365</v>
      </c>
      <c r="J57" t="s">
        <v>1299</v>
      </c>
      <c r="K57">
        <v>2500</v>
      </c>
      <c r="L57">
        <v>1200</v>
      </c>
      <c r="M57">
        <f>Customers_Table[[#This Row],[Quantity Ordered]]*Customers_Table[[#This Row],[Sales Price (Per unit)]]</f>
        <v>2400</v>
      </c>
      <c r="N57" t="s">
        <v>1366</v>
      </c>
    </row>
    <row r="58" spans="1:14" x14ac:dyDescent="0.2">
      <c r="A58" t="s">
        <v>161</v>
      </c>
      <c r="B58" t="s">
        <v>162</v>
      </c>
      <c r="C58">
        <v>1290</v>
      </c>
      <c r="D58" t="s">
        <v>42</v>
      </c>
      <c r="E58" s="1">
        <v>45371</v>
      </c>
      <c r="F58" s="6">
        <v>3</v>
      </c>
      <c r="G58" s="1" t="s">
        <v>38</v>
      </c>
      <c r="H58" t="s">
        <v>57</v>
      </c>
      <c r="I58" t="s">
        <v>1367</v>
      </c>
      <c r="J58" t="s">
        <v>1095</v>
      </c>
      <c r="K58">
        <v>5000</v>
      </c>
      <c r="L58">
        <v>300</v>
      </c>
      <c r="M58">
        <f>Customers_Table[[#This Row],[Quantity Ordered]]*Customers_Table[[#This Row],[Sales Price (Per unit)]]</f>
        <v>900</v>
      </c>
      <c r="N58" t="s">
        <v>1368</v>
      </c>
    </row>
    <row r="59" spans="1:14" x14ac:dyDescent="0.2">
      <c r="A59" t="s">
        <v>163</v>
      </c>
      <c r="B59" t="s">
        <v>164</v>
      </c>
      <c r="C59">
        <v>1291</v>
      </c>
      <c r="D59" t="s">
        <v>76</v>
      </c>
      <c r="E59" s="1">
        <v>45612</v>
      </c>
      <c r="F59" s="6">
        <v>1</v>
      </c>
      <c r="G59" s="1" t="s">
        <v>52</v>
      </c>
      <c r="H59" t="s">
        <v>39</v>
      </c>
      <c r="I59" t="s">
        <v>1369</v>
      </c>
      <c r="J59" t="s">
        <v>1241</v>
      </c>
      <c r="K59">
        <v>2600</v>
      </c>
      <c r="L59">
        <v>1200</v>
      </c>
      <c r="M59">
        <f>Customers_Table[[#This Row],[Quantity Ordered]]*Customers_Table[[#This Row],[Sales Price (Per unit)]]</f>
        <v>1200</v>
      </c>
      <c r="N59" t="s">
        <v>1370</v>
      </c>
    </row>
    <row r="60" spans="1:14" x14ac:dyDescent="0.2">
      <c r="A60" t="s">
        <v>150</v>
      </c>
      <c r="B60" t="s">
        <v>165</v>
      </c>
      <c r="C60">
        <v>1292</v>
      </c>
      <c r="D60" t="s">
        <v>51</v>
      </c>
      <c r="E60" s="1">
        <v>45447</v>
      </c>
      <c r="F60" s="6">
        <v>3</v>
      </c>
      <c r="G60" t="s">
        <v>32</v>
      </c>
      <c r="H60" t="s">
        <v>81</v>
      </c>
      <c r="I60" t="s">
        <v>1371</v>
      </c>
      <c r="J60" t="s">
        <v>1280</v>
      </c>
      <c r="K60">
        <v>800</v>
      </c>
      <c r="L60">
        <v>250</v>
      </c>
      <c r="M60">
        <f>Customers_Table[[#This Row],[Quantity Ordered]]*Customers_Table[[#This Row],[Sales Price (Per unit)]]</f>
        <v>750</v>
      </c>
      <c r="N60" t="s">
        <v>1372</v>
      </c>
    </row>
    <row r="61" spans="1:14" x14ac:dyDescent="0.2">
      <c r="A61" t="s">
        <v>166</v>
      </c>
      <c r="B61" t="s">
        <v>167</v>
      </c>
      <c r="C61">
        <v>1293</v>
      </c>
      <c r="D61" t="s">
        <v>76</v>
      </c>
      <c r="E61" s="1">
        <v>45404</v>
      </c>
      <c r="F61" s="6">
        <v>2</v>
      </c>
      <c r="G61" s="1" t="s">
        <v>52</v>
      </c>
      <c r="H61" t="s">
        <v>43</v>
      </c>
      <c r="I61" t="s">
        <v>1373</v>
      </c>
      <c r="J61" t="s">
        <v>865</v>
      </c>
      <c r="K61">
        <v>2000</v>
      </c>
      <c r="L61">
        <v>1200</v>
      </c>
      <c r="M61">
        <f>Customers_Table[[#This Row],[Quantity Ordered]]*Customers_Table[[#This Row],[Sales Price (Per unit)]]</f>
        <v>2400</v>
      </c>
      <c r="N61" t="s">
        <v>1374</v>
      </c>
    </row>
    <row r="62" spans="1:14" x14ac:dyDescent="0.2">
      <c r="A62" t="s">
        <v>168</v>
      </c>
      <c r="B62" t="s">
        <v>49</v>
      </c>
      <c r="C62">
        <v>1294</v>
      </c>
      <c r="D62" t="s">
        <v>76</v>
      </c>
      <c r="E62" s="1">
        <v>45556</v>
      </c>
      <c r="F62" s="6">
        <v>3</v>
      </c>
      <c r="G62" s="1" t="s">
        <v>52</v>
      </c>
      <c r="H62" t="s">
        <v>33</v>
      </c>
      <c r="I62" t="s">
        <v>1375</v>
      </c>
      <c r="J62" t="s">
        <v>1302</v>
      </c>
      <c r="K62">
        <v>6000</v>
      </c>
      <c r="L62">
        <v>1200</v>
      </c>
      <c r="M62">
        <f>Customers_Table[[#This Row],[Quantity Ordered]]*Customers_Table[[#This Row],[Sales Price (Per unit)]]</f>
        <v>3600</v>
      </c>
      <c r="N62" t="s">
        <v>1376</v>
      </c>
    </row>
    <row r="63" spans="1:14" x14ac:dyDescent="0.2">
      <c r="A63" t="s">
        <v>169</v>
      </c>
      <c r="B63" t="s">
        <v>170</v>
      </c>
      <c r="C63">
        <v>1295</v>
      </c>
      <c r="D63" t="s">
        <v>92</v>
      </c>
      <c r="E63" s="1">
        <v>45540</v>
      </c>
      <c r="F63" s="6">
        <v>3</v>
      </c>
      <c r="G63" s="1" t="s">
        <v>52</v>
      </c>
      <c r="H63" t="s">
        <v>43</v>
      </c>
      <c r="I63" t="s">
        <v>1377</v>
      </c>
      <c r="J63" t="s">
        <v>1244</v>
      </c>
      <c r="K63">
        <v>2300</v>
      </c>
      <c r="L63">
        <v>600</v>
      </c>
      <c r="M63">
        <f>Customers_Table[[#This Row],[Quantity Ordered]]*Customers_Table[[#This Row],[Sales Price (Per unit)]]</f>
        <v>1800</v>
      </c>
      <c r="N63" t="s">
        <v>1378</v>
      </c>
    </row>
    <row r="64" spans="1:14" x14ac:dyDescent="0.2">
      <c r="A64" t="s">
        <v>171</v>
      </c>
      <c r="B64" t="s">
        <v>172</v>
      </c>
      <c r="C64">
        <v>1296</v>
      </c>
      <c r="D64" t="s">
        <v>51</v>
      </c>
      <c r="E64" s="1">
        <v>45540</v>
      </c>
      <c r="F64" s="6">
        <v>1</v>
      </c>
      <c r="G64" t="s">
        <v>32</v>
      </c>
      <c r="H64" t="s">
        <v>53</v>
      </c>
      <c r="I64" t="s">
        <v>1379</v>
      </c>
      <c r="J64" t="s">
        <v>1250</v>
      </c>
      <c r="K64">
        <v>4217</v>
      </c>
      <c r="L64">
        <v>250</v>
      </c>
      <c r="M64">
        <f>Customers_Table[[#This Row],[Quantity Ordered]]*Customers_Table[[#This Row],[Sales Price (Per unit)]]</f>
        <v>250</v>
      </c>
      <c r="N64" t="s">
        <v>1380</v>
      </c>
    </row>
    <row r="65" spans="1:14" x14ac:dyDescent="0.2">
      <c r="A65" t="s">
        <v>173</v>
      </c>
      <c r="B65" t="s">
        <v>174</v>
      </c>
      <c r="C65">
        <v>1297</v>
      </c>
      <c r="D65" t="s">
        <v>51</v>
      </c>
      <c r="E65" s="1">
        <v>45382</v>
      </c>
      <c r="F65" s="6">
        <v>3</v>
      </c>
      <c r="G65" t="s">
        <v>32</v>
      </c>
      <c r="H65" t="s">
        <v>81</v>
      </c>
      <c r="I65" t="s">
        <v>1381</v>
      </c>
      <c r="J65" t="s">
        <v>1280</v>
      </c>
      <c r="K65">
        <v>800</v>
      </c>
      <c r="L65">
        <v>250</v>
      </c>
      <c r="M65">
        <f>Customers_Table[[#This Row],[Quantity Ordered]]*Customers_Table[[#This Row],[Sales Price (Per unit)]]</f>
        <v>750</v>
      </c>
      <c r="N65" t="s">
        <v>1382</v>
      </c>
    </row>
    <row r="66" spans="1:14" x14ac:dyDescent="0.2">
      <c r="A66" t="s">
        <v>175</v>
      </c>
      <c r="B66" t="s">
        <v>176</v>
      </c>
      <c r="C66">
        <v>1298</v>
      </c>
      <c r="D66" t="s">
        <v>76</v>
      </c>
      <c r="E66" s="1">
        <v>45313</v>
      </c>
      <c r="F66" s="6">
        <v>3</v>
      </c>
      <c r="G66" s="1" t="s">
        <v>52</v>
      </c>
      <c r="H66" t="s">
        <v>64</v>
      </c>
      <c r="I66" t="s">
        <v>1383</v>
      </c>
      <c r="J66" t="s">
        <v>1262</v>
      </c>
      <c r="K66">
        <v>7250</v>
      </c>
      <c r="L66">
        <v>1200</v>
      </c>
      <c r="M66">
        <f>Customers_Table[[#This Row],[Quantity Ordered]]*Customers_Table[[#This Row],[Sales Price (Per unit)]]</f>
        <v>3600</v>
      </c>
      <c r="N66" t="s">
        <v>1384</v>
      </c>
    </row>
    <row r="67" spans="1:14" x14ac:dyDescent="0.2">
      <c r="A67" t="s">
        <v>56</v>
      </c>
      <c r="B67" t="s">
        <v>177</v>
      </c>
      <c r="C67">
        <v>1299</v>
      </c>
      <c r="D67" t="s">
        <v>76</v>
      </c>
      <c r="E67" s="1">
        <v>45636</v>
      </c>
      <c r="F67" s="6">
        <v>3</v>
      </c>
      <c r="G67" s="1" t="s">
        <v>52</v>
      </c>
      <c r="H67" t="s">
        <v>81</v>
      </c>
      <c r="I67" t="s">
        <v>1385</v>
      </c>
      <c r="J67" t="s">
        <v>1361</v>
      </c>
      <c r="K67">
        <v>870</v>
      </c>
      <c r="L67">
        <v>1200</v>
      </c>
      <c r="M67">
        <f>Customers_Table[[#This Row],[Quantity Ordered]]*Customers_Table[[#This Row],[Sales Price (Per unit)]]</f>
        <v>3600</v>
      </c>
      <c r="N67" t="s">
        <v>1386</v>
      </c>
    </row>
    <row r="68" spans="1:14" x14ac:dyDescent="0.2">
      <c r="A68" t="s">
        <v>178</v>
      </c>
      <c r="B68" t="s">
        <v>179</v>
      </c>
      <c r="C68">
        <v>1300</v>
      </c>
      <c r="D68" t="s">
        <v>42</v>
      </c>
      <c r="E68" s="1">
        <v>45440</v>
      </c>
      <c r="F68" s="6">
        <v>1</v>
      </c>
      <c r="G68" t="s">
        <v>32</v>
      </c>
      <c r="H68" t="s">
        <v>39</v>
      </c>
      <c r="I68" t="s">
        <v>1387</v>
      </c>
      <c r="J68" t="s">
        <v>1241</v>
      </c>
      <c r="K68">
        <v>2600</v>
      </c>
      <c r="L68">
        <v>300</v>
      </c>
      <c r="M68">
        <f>Customers_Table[[#This Row],[Quantity Ordered]]*Customers_Table[[#This Row],[Sales Price (Per unit)]]</f>
        <v>300</v>
      </c>
      <c r="N68" t="s">
        <v>1388</v>
      </c>
    </row>
    <row r="69" spans="1:14" x14ac:dyDescent="0.2">
      <c r="A69" t="s">
        <v>180</v>
      </c>
      <c r="B69" t="s">
        <v>181</v>
      </c>
      <c r="C69">
        <v>1301</v>
      </c>
      <c r="D69" t="s">
        <v>92</v>
      </c>
      <c r="E69" s="1">
        <v>45354</v>
      </c>
      <c r="F69" s="6">
        <v>2</v>
      </c>
      <c r="G69" t="s">
        <v>32</v>
      </c>
      <c r="H69" t="s">
        <v>33</v>
      </c>
      <c r="I69" t="s">
        <v>1389</v>
      </c>
      <c r="J69" t="s">
        <v>1238</v>
      </c>
      <c r="K69">
        <v>6725</v>
      </c>
      <c r="L69">
        <v>600</v>
      </c>
      <c r="M69">
        <f>Customers_Table[[#This Row],[Quantity Ordered]]*Customers_Table[[#This Row],[Sales Price (Per unit)]]</f>
        <v>1200</v>
      </c>
      <c r="N69" t="s">
        <v>1390</v>
      </c>
    </row>
    <row r="70" spans="1:14" x14ac:dyDescent="0.2">
      <c r="A70" t="s">
        <v>182</v>
      </c>
      <c r="B70" t="s">
        <v>183</v>
      </c>
      <c r="C70">
        <v>1302</v>
      </c>
      <c r="D70" t="s">
        <v>51</v>
      </c>
      <c r="E70" s="1">
        <v>45475</v>
      </c>
      <c r="F70" s="6">
        <v>1</v>
      </c>
      <c r="G70" s="1" t="s">
        <v>52</v>
      </c>
      <c r="H70" t="s">
        <v>64</v>
      </c>
      <c r="I70" t="s">
        <v>1391</v>
      </c>
      <c r="J70" t="s">
        <v>1262</v>
      </c>
      <c r="K70">
        <v>7250</v>
      </c>
      <c r="L70">
        <v>250</v>
      </c>
      <c r="M70">
        <f>Customers_Table[[#This Row],[Quantity Ordered]]*Customers_Table[[#This Row],[Sales Price (Per unit)]]</f>
        <v>250</v>
      </c>
      <c r="N70" t="s">
        <v>1392</v>
      </c>
    </row>
    <row r="71" spans="1:14" x14ac:dyDescent="0.2">
      <c r="A71" t="s">
        <v>184</v>
      </c>
      <c r="B71" t="s">
        <v>185</v>
      </c>
      <c r="C71">
        <v>1303</v>
      </c>
      <c r="D71" t="s">
        <v>76</v>
      </c>
      <c r="E71" s="1">
        <v>45594</v>
      </c>
      <c r="F71" s="6">
        <v>3</v>
      </c>
      <c r="G71" t="s">
        <v>32</v>
      </c>
      <c r="H71" t="s">
        <v>43</v>
      </c>
      <c r="I71" t="s">
        <v>1393</v>
      </c>
      <c r="J71" t="s">
        <v>1299</v>
      </c>
      <c r="K71">
        <v>2500</v>
      </c>
      <c r="L71">
        <v>1200</v>
      </c>
      <c r="M71">
        <f>Customers_Table[[#This Row],[Quantity Ordered]]*Customers_Table[[#This Row],[Sales Price (Per unit)]]</f>
        <v>3600</v>
      </c>
      <c r="N71" t="s">
        <v>1394</v>
      </c>
    </row>
    <row r="72" spans="1:14" x14ac:dyDescent="0.2">
      <c r="A72" t="s">
        <v>133</v>
      </c>
      <c r="B72" t="s">
        <v>186</v>
      </c>
      <c r="C72">
        <v>1304</v>
      </c>
      <c r="D72" t="s">
        <v>92</v>
      </c>
      <c r="E72" s="1">
        <v>45657</v>
      </c>
      <c r="F72" s="6">
        <v>1</v>
      </c>
      <c r="G72" t="s">
        <v>32</v>
      </c>
      <c r="H72" t="s">
        <v>81</v>
      </c>
      <c r="I72" t="s">
        <v>1395</v>
      </c>
      <c r="J72" t="s">
        <v>1361</v>
      </c>
      <c r="K72">
        <v>870</v>
      </c>
      <c r="L72">
        <v>600</v>
      </c>
      <c r="M72">
        <f>Customers_Table[[#This Row],[Quantity Ordered]]*Customers_Table[[#This Row],[Sales Price (Per unit)]]</f>
        <v>600</v>
      </c>
      <c r="N72" t="s">
        <v>1396</v>
      </c>
    </row>
    <row r="73" spans="1:14" x14ac:dyDescent="0.2">
      <c r="A73" t="s">
        <v>187</v>
      </c>
      <c r="B73" t="s">
        <v>188</v>
      </c>
      <c r="C73">
        <v>1305</v>
      </c>
      <c r="D73" t="s">
        <v>42</v>
      </c>
      <c r="E73" s="1">
        <v>45485</v>
      </c>
      <c r="F73" s="6">
        <v>1</v>
      </c>
      <c r="G73" t="s">
        <v>32</v>
      </c>
      <c r="H73" t="s">
        <v>47</v>
      </c>
      <c r="I73" t="s">
        <v>1397</v>
      </c>
      <c r="J73" t="s">
        <v>1247</v>
      </c>
      <c r="K73">
        <v>3350</v>
      </c>
      <c r="L73">
        <v>300</v>
      </c>
      <c r="M73">
        <f>Customers_Table[[#This Row],[Quantity Ordered]]*Customers_Table[[#This Row],[Sales Price (Per unit)]]</f>
        <v>300</v>
      </c>
      <c r="N73" t="s">
        <v>1398</v>
      </c>
    </row>
    <row r="74" spans="1:14" x14ac:dyDescent="0.2">
      <c r="A74" t="s">
        <v>189</v>
      </c>
      <c r="B74" t="s">
        <v>190</v>
      </c>
      <c r="C74">
        <v>1306</v>
      </c>
      <c r="D74" t="s">
        <v>76</v>
      </c>
      <c r="E74" s="1">
        <v>45542</v>
      </c>
      <c r="F74" s="6">
        <v>1</v>
      </c>
      <c r="G74" t="s">
        <v>32</v>
      </c>
      <c r="H74" t="s">
        <v>64</v>
      </c>
      <c r="I74" t="s">
        <v>1399</v>
      </c>
      <c r="J74" t="s">
        <v>1400</v>
      </c>
      <c r="K74">
        <v>7310</v>
      </c>
      <c r="L74">
        <v>1200</v>
      </c>
      <c r="M74">
        <f>Customers_Table[[#This Row],[Quantity Ordered]]*Customers_Table[[#This Row],[Sales Price (Per unit)]]</f>
        <v>1200</v>
      </c>
      <c r="N74" t="s">
        <v>1401</v>
      </c>
    </row>
    <row r="75" spans="1:14" x14ac:dyDescent="0.2">
      <c r="A75" t="s">
        <v>191</v>
      </c>
      <c r="B75" t="s">
        <v>192</v>
      </c>
      <c r="C75">
        <v>1307</v>
      </c>
      <c r="D75" t="s">
        <v>31</v>
      </c>
      <c r="E75" s="1">
        <v>45313</v>
      </c>
      <c r="F75" s="6">
        <v>1</v>
      </c>
      <c r="G75" s="1" t="s">
        <v>38</v>
      </c>
      <c r="H75" t="s">
        <v>57</v>
      </c>
      <c r="I75" t="s">
        <v>1402</v>
      </c>
      <c r="J75" t="s">
        <v>1095</v>
      </c>
      <c r="K75">
        <v>5000</v>
      </c>
      <c r="L75">
        <v>250</v>
      </c>
      <c r="M75">
        <f>Customers_Table[[#This Row],[Quantity Ordered]]*Customers_Table[[#This Row],[Sales Price (Per unit)]]</f>
        <v>250</v>
      </c>
      <c r="N75" t="s">
        <v>1403</v>
      </c>
    </row>
    <row r="76" spans="1:14" x14ac:dyDescent="0.2">
      <c r="A76" t="s">
        <v>193</v>
      </c>
      <c r="B76" t="s">
        <v>194</v>
      </c>
      <c r="C76">
        <v>1308</v>
      </c>
      <c r="D76" t="s">
        <v>51</v>
      </c>
      <c r="E76" s="1">
        <v>45396</v>
      </c>
      <c r="F76" s="6">
        <v>3</v>
      </c>
      <c r="G76" t="s">
        <v>32</v>
      </c>
      <c r="H76" t="s">
        <v>81</v>
      </c>
      <c r="I76" t="s">
        <v>1404</v>
      </c>
      <c r="J76" t="s">
        <v>1361</v>
      </c>
      <c r="K76">
        <v>870</v>
      </c>
      <c r="L76">
        <v>250</v>
      </c>
      <c r="M76">
        <f>Customers_Table[[#This Row],[Quantity Ordered]]*Customers_Table[[#This Row],[Sales Price (Per unit)]]</f>
        <v>750</v>
      </c>
      <c r="N76" t="s">
        <v>1405</v>
      </c>
    </row>
    <row r="77" spans="1:14" x14ac:dyDescent="0.2">
      <c r="A77" t="s">
        <v>195</v>
      </c>
      <c r="B77" t="s">
        <v>196</v>
      </c>
      <c r="C77">
        <v>1309</v>
      </c>
      <c r="D77" t="s">
        <v>31</v>
      </c>
      <c r="E77" s="1">
        <v>45533</v>
      </c>
      <c r="F77" s="6">
        <v>2</v>
      </c>
      <c r="G77" t="s">
        <v>32</v>
      </c>
      <c r="H77" t="s">
        <v>47</v>
      </c>
      <c r="I77" t="s">
        <v>1406</v>
      </c>
      <c r="J77" t="s">
        <v>1256</v>
      </c>
      <c r="K77">
        <v>3220</v>
      </c>
      <c r="L77">
        <v>250</v>
      </c>
      <c r="M77">
        <f>Customers_Table[[#This Row],[Quantity Ordered]]*Customers_Table[[#This Row],[Sales Price (Per unit)]]</f>
        <v>500</v>
      </c>
      <c r="N77" t="s">
        <v>1407</v>
      </c>
    </row>
    <row r="78" spans="1:14" x14ac:dyDescent="0.2">
      <c r="A78" t="s">
        <v>197</v>
      </c>
      <c r="B78" t="s">
        <v>120</v>
      </c>
      <c r="C78">
        <v>1310</v>
      </c>
      <c r="D78" t="s">
        <v>37</v>
      </c>
      <c r="E78" s="1">
        <v>45361</v>
      </c>
      <c r="F78" s="6">
        <v>1</v>
      </c>
      <c r="G78" t="s">
        <v>32</v>
      </c>
      <c r="H78" t="s">
        <v>39</v>
      </c>
      <c r="I78" t="s">
        <v>1408</v>
      </c>
      <c r="J78" t="s">
        <v>1241</v>
      </c>
      <c r="K78">
        <v>2600</v>
      </c>
      <c r="L78">
        <v>800</v>
      </c>
      <c r="M78">
        <f>Customers_Table[[#This Row],[Quantity Ordered]]*Customers_Table[[#This Row],[Sales Price (Per unit)]]</f>
        <v>800</v>
      </c>
      <c r="N78" t="s">
        <v>1409</v>
      </c>
    </row>
    <row r="79" spans="1:14" x14ac:dyDescent="0.2">
      <c r="A79" t="s">
        <v>198</v>
      </c>
      <c r="B79" t="s">
        <v>199</v>
      </c>
      <c r="C79">
        <v>1311</v>
      </c>
      <c r="D79" t="s">
        <v>76</v>
      </c>
      <c r="E79" s="1">
        <v>45561</v>
      </c>
      <c r="F79" s="6">
        <v>2</v>
      </c>
      <c r="G79" t="s">
        <v>32</v>
      </c>
      <c r="H79" t="s">
        <v>81</v>
      </c>
      <c r="I79" t="s">
        <v>1410</v>
      </c>
      <c r="J79" t="s">
        <v>1280</v>
      </c>
      <c r="K79">
        <v>800</v>
      </c>
      <c r="L79">
        <v>1200</v>
      </c>
      <c r="M79">
        <f>Customers_Table[[#This Row],[Quantity Ordered]]*Customers_Table[[#This Row],[Sales Price (Per unit)]]</f>
        <v>2400</v>
      </c>
      <c r="N79" t="s">
        <v>1411</v>
      </c>
    </row>
    <row r="80" spans="1:14" x14ac:dyDescent="0.2">
      <c r="A80" t="s">
        <v>200</v>
      </c>
      <c r="B80" t="s">
        <v>201</v>
      </c>
      <c r="C80">
        <v>1312</v>
      </c>
      <c r="D80" t="s">
        <v>51</v>
      </c>
      <c r="E80" s="1">
        <v>45642</v>
      </c>
      <c r="F80" s="6">
        <v>2</v>
      </c>
      <c r="G80" s="1" t="s">
        <v>52</v>
      </c>
      <c r="H80" t="s">
        <v>47</v>
      </c>
      <c r="I80" t="s">
        <v>1412</v>
      </c>
      <c r="J80" t="s">
        <v>1275</v>
      </c>
      <c r="K80">
        <v>3000</v>
      </c>
      <c r="L80">
        <v>250</v>
      </c>
      <c r="M80">
        <f>Customers_Table[[#This Row],[Quantity Ordered]]*Customers_Table[[#This Row],[Sales Price (Per unit)]]</f>
        <v>500</v>
      </c>
      <c r="N80" t="s">
        <v>1413</v>
      </c>
    </row>
    <row r="81" spans="1:14" x14ac:dyDescent="0.2">
      <c r="A81" t="s">
        <v>202</v>
      </c>
      <c r="B81" t="s">
        <v>203</v>
      </c>
      <c r="C81">
        <v>1313</v>
      </c>
      <c r="D81" t="s">
        <v>76</v>
      </c>
      <c r="E81" s="1">
        <v>45527</v>
      </c>
      <c r="F81" s="6">
        <v>1</v>
      </c>
      <c r="G81" s="1" t="s">
        <v>38</v>
      </c>
      <c r="H81" t="s">
        <v>43</v>
      </c>
      <c r="I81" t="s">
        <v>1414</v>
      </c>
      <c r="J81" t="s">
        <v>1299</v>
      </c>
      <c r="K81">
        <v>2500</v>
      </c>
      <c r="L81">
        <v>1200</v>
      </c>
      <c r="M81">
        <f>Customers_Table[[#This Row],[Quantity Ordered]]*Customers_Table[[#This Row],[Sales Price (Per unit)]]</f>
        <v>1200</v>
      </c>
      <c r="N81" t="s">
        <v>1415</v>
      </c>
    </row>
    <row r="82" spans="1:14" x14ac:dyDescent="0.2">
      <c r="A82" t="s">
        <v>204</v>
      </c>
      <c r="B82" t="s">
        <v>205</v>
      </c>
      <c r="C82">
        <v>1314</v>
      </c>
      <c r="D82" t="s">
        <v>51</v>
      </c>
      <c r="E82" s="1">
        <v>45514</v>
      </c>
      <c r="F82" s="6">
        <v>3</v>
      </c>
      <c r="G82" s="1" t="s">
        <v>52</v>
      </c>
      <c r="H82" t="s">
        <v>47</v>
      </c>
      <c r="I82" t="s">
        <v>1416</v>
      </c>
      <c r="J82" t="s">
        <v>1275</v>
      </c>
      <c r="K82">
        <v>3000</v>
      </c>
      <c r="L82">
        <v>250</v>
      </c>
      <c r="M82">
        <f>Customers_Table[[#This Row],[Quantity Ordered]]*Customers_Table[[#This Row],[Sales Price (Per unit)]]</f>
        <v>750</v>
      </c>
      <c r="N82" t="s">
        <v>1417</v>
      </c>
    </row>
    <row r="83" spans="1:14" x14ac:dyDescent="0.2">
      <c r="A83" t="s">
        <v>77</v>
      </c>
      <c r="B83" t="s">
        <v>206</v>
      </c>
      <c r="C83">
        <v>1315</v>
      </c>
      <c r="D83" t="s">
        <v>42</v>
      </c>
      <c r="E83" s="1">
        <v>45518</v>
      </c>
      <c r="F83" s="6">
        <v>3</v>
      </c>
      <c r="G83" s="1" t="s">
        <v>52</v>
      </c>
      <c r="H83" t="s">
        <v>53</v>
      </c>
      <c r="I83" t="s">
        <v>1418</v>
      </c>
      <c r="J83" t="s">
        <v>1250</v>
      </c>
      <c r="K83">
        <v>4217</v>
      </c>
      <c r="L83">
        <v>300</v>
      </c>
      <c r="M83">
        <f>Customers_Table[[#This Row],[Quantity Ordered]]*Customers_Table[[#This Row],[Sales Price (Per unit)]]</f>
        <v>900</v>
      </c>
      <c r="N83" t="s">
        <v>1419</v>
      </c>
    </row>
    <row r="84" spans="1:14" x14ac:dyDescent="0.2">
      <c r="A84" t="s">
        <v>207</v>
      </c>
      <c r="B84" t="s">
        <v>208</v>
      </c>
      <c r="C84">
        <v>1316</v>
      </c>
      <c r="D84" t="s">
        <v>31</v>
      </c>
      <c r="E84" s="1">
        <v>45626</v>
      </c>
      <c r="F84" s="6">
        <v>1</v>
      </c>
      <c r="G84" s="1" t="s">
        <v>52</v>
      </c>
      <c r="H84" t="s">
        <v>47</v>
      </c>
      <c r="I84" t="s">
        <v>1420</v>
      </c>
      <c r="J84" t="s">
        <v>1247</v>
      </c>
      <c r="K84">
        <v>3350</v>
      </c>
      <c r="L84">
        <v>250</v>
      </c>
      <c r="M84">
        <f>Customers_Table[[#This Row],[Quantity Ordered]]*Customers_Table[[#This Row],[Sales Price (Per unit)]]</f>
        <v>250</v>
      </c>
      <c r="N84" t="s">
        <v>1421</v>
      </c>
    </row>
    <row r="85" spans="1:14" x14ac:dyDescent="0.2">
      <c r="A85" t="s">
        <v>209</v>
      </c>
      <c r="B85" t="s">
        <v>210</v>
      </c>
      <c r="C85">
        <v>1317</v>
      </c>
      <c r="D85" t="s">
        <v>76</v>
      </c>
      <c r="E85" s="1">
        <v>45630</v>
      </c>
      <c r="F85" s="6">
        <v>3</v>
      </c>
      <c r="G85" t="s">
        <v>32</v>
      </c>
      <c r="H85" t="s">
        <v>39</v>
      </c>
      <c r="I85" t="s">
        <v>1422</v>
      </c>
      <c r="J85" t="s">
        <v>1241</v>
      </c>
      <c r="K85">
        <v>2600</v>
      </c>
      <c r="L85">
        <v>1200</v>
      </c>
      <c r="M85">
        <f>Customers_Table[[#This Row],[Quantity Ordered]]*Customers_Table[[#This Row],[Sales Price (Per unit)]]</f>
        <v>3600</v>
      </c>
      <c r="N85" t="s">
        <v>1423</v>
      </c>
    </row>
    <row r="86" spans="1:14" x14ac:dyDescent="0.2">
      <c r="A86" t="s">
        <v>211</v>
      </c>
      <c r="B86" t="s">
        <v>212</v>
      </c>
      <c r="C86">
        <v>1318</v>
      </c>
      <c r="D86" t="s">
        <v>76</v>
      </c>
      <c r="E86" s="1">
        <v>45488</v>
      </c>
      <c r="F86" s="6">
        <v>2</v>
      </c>
      <c r="G86" s="1" t="s">
        <v>52</v>
      </c>
      <c r="H86" t="s">
        <v>53</v>
      </c>
      <c r="I86" t="s">
        <v>1424</v>
      </c>
      <c r="J86" t="s">
        <v>1250</v>
      </c>
      <c r="K86">
        <v>4217</v>
      </c>
      <c r="L86">
        <v>1200</v>
      </c>
      <c r="M86">
        <f>Customers_Table[[#This Row],[Quantity Ordered]]*Customers_Table[[#This Row],[Sales Price (Per unit)]]</f>
        <v>2400</v>
      </c>
      <c r="N86" t="s">
        <v>1425</v>
      </c>
    </row>
    <row r="87" spans="1:14" x14ac:dyDescent="0.2">
      <c r="A87" t="s">
        <v>213</v>
      </c>
      <c r="B87" t="s">
        <v>214</v>
      </c>
      <c r="C87">
        <v>1319</v>
      </c>
      <c r="D87" t="s">
        <v>76</v>
      </c>
      <c r="E87" s="1">
        <v>45411</v>
      </c>
      <c r="F87" s="6">
        <v>2</v>
      </c>
      <c r="G87" t="s">
        <v>32</v>
      </c>
      <c r="H87" t="s">
        <v>64</v>
      </c>
      <c r="I87" t="s">
        <v>1426</v>
      </c>
      <c r="J87" t="s">
        <v>1262</v>
      </c>
      <c r="K87">
        <v>7250</v>
      </c>
      <c r="L87">
        <v>1200</v>
      </c>
      <c r="M87">
        <f>Customers_Table[[#This Row],[Quantity Ordered]]*Customers_Table[[#This Row],[Sales Price (Per unit)]]</f>
        <v>2400</v>
      </c>
      <c r="N87" t="s">
        <v>1427</v>
      </c>
    </row>
    <row r="88" spans="1:14" x14ac:dyDescent="0.2">
      <c r="A88" t="s">
        <v>215</v>
      </c>
      <c r="B88" t="s">
        <v>216</v>
      </c>
      <c r="C88">
        <v>1320</v>
      </c>
      <c r="D88" t="s">
        <v>92</v>
      </c>
      <c r="E88" s="1">
        <v>45314</v>
      </c>
      <c r="F88" s="6">
        <v>1</v>
      </c>
      <c r="G88" s="1" t="s">
        <v>38</v>
      </c>
      <c r="H88" t="s">
        <v>81</v>
      </c>
      <c r="I88" t="s">
        <v>1428</v>
      </c>
      <c r="J88" t="s">
        <v>1361</v>
      </c>
      <c r="K88">
        <v>870</v>
      </c>
      <c r="L88">
        <v>600</v>
      </c>
      <c r="M88">
        <f>Customers_Table[[#This Row],[Quantity Ordered]]*Customers_Table[[#This Row],[Sales Price (Per unit)]]</f>
        <v>600</v>
      </c>
      <c r="N88" t="s">
        <v>1429</v>
      </c>
    </row>
    <row r="89" spans="1:14" x14ac:dyDescent="0.2">
      <c r="A89" t="s">
        <v>217</v>
      </c>
      <c r="B89" t="s">
        <v>218</v>
      </c>
      <c r="C89">
        <v>1321</v>
      </c>
      <c r="D89" t="s">
        <v>31</v>
      </c>
      <c r="E89" s="1">
        <v>45398</v>
      </c>
      <c r="F89" s="6">
        <v>1</v>
      </c>
      <c r="G89" t="s">
        <v>32</v>
      </c>
      <c r="H89" t="s">
        <v>64</v>
      </c>
      <c r="I89" t="s">
        <v>1430</v>
      </c>
      <c r="J89" t="s">
        <v>1265</v>
      </c>
      <c r="K89">
        <v>7000</v>
      </c>
      <c r="L89">
        <v>250</v>
      </c>
      <c r="M89">
        <f>Customers_Table[[#This Row],[Quantity Ordered]]*Customers_Table[[#This Row],[Sales Price (Per unit)]]</f>
        <v>250</v>
      </c>
      <c r="N89" t="s">
        <v>1431</v>
      </c>
    </row>
    <row r="90" spans="1:14" x14ac:dyDescent="0.2">
      <c r="A90" t="s">
        <v>219</v>
      </c>
      <c r="B90" t="s">
        <v>152</v>
      </c>
      <c r="C90">
        <v>1322</v>
      </c>
      <c r="D90" t="s">
        <v>51</v>
      </c>
      <c r="E90" s="1">
        <v>45474</v>
      </c>
      <c r="F90" s="6">
        <v>3</v>
      </c>
      <c r="G90" t="s">
        <v>32</v>
      </c>
      <c r="H90" t="s">
        <v>43</v>
      </c>
      <c r="I90" t="s">
        <v>1432</v>
      </c>
      <c r="J90" t="s">
        <v>1299</v>
      </c>
      <c r="K90">
        <v>2500</v>
      </c>
      <c r="L90">
        <v>250</v>
      </c>
      <c r="M90">
        <f>Customers_Table[[#This Row],[Quantity Ordered]]*Customers_Table[[#This Row],[Sales Price (Per unit)]]</f>
        <v>750</v>
      </c>
      <c r="N90" t="s">
        <v>1433</v>
      </c>
    </row>
    <row r="91" spans="1:14" x14ac:dyDescent="0.2">
      <c r="A91" t="s">
        <v>220</v>
      </c>
      <c r="B91" t="s">
        <v>221</v>
      </c>
      <c r="C91">
        <v>1323</v>
      </c>
      <c r="D91" t="s">
        <v>92</v>
      </c>
      <c r="E91" s="1">
        <v>45560</v>
      </c>
      <c r="F91" s="6">
        <v>3</v>
      </c>
      <c r="G91" t="s">
        <v>32</v>
      </c>
      <c r="H91" t="s">
        <v>57</v>
      </c>
      <c r="I91" t="s">
        <v>1434</v>
      </c>
      <c r="J91" t="s">
        <v>1253</v>
      </c>
      <c r="K91">
        <v>5290</v>
      </c>
      <c r="L91">
        <v>600</v>
      </c>
      <c r="M91">
        <f>Customers_Table[[#This Row],[Quantity Ordered]]*Customers_Table[[#This Row],[Sales Price (Per unit)]]</f>
        <v>1800</v>
      </c>
      <c r="N91" t="s">
        <v>1435</v>
      </c>
    </row>
    <row r="92" spans="1:14" x14ac:dyDescent="0.2">
      <c r="A92" t="s">
        <v>222</v>
      </c>
      <c r="B92" t="s">
        <v>223</v>
      </c>
      <c r="C92">
        <v>1324</v>
      </c>
      <c r="D92" t="s">
        <v>92</v>
      </c>
      <c r="E92" s="1">
        <v>45609</v>
      </c>
      <c r="F92" s="6">
        <v>1</v>
      </c>
      <c r="G92" t="s">
        <v>32</v>
      </c>
      <c r="H92" t="s">
        <v>81</v>
      </c>
      <c r="I92" t="s">
        <v>1436</v>
      </c>
      <c r="J92" t="s">
        <v>1280</v>
      </c>
      <c r="K92">
        <v>800</v>
      </c>
      <c r="L92">
        <v>600</v>
      </c>
      <c r="M92">
        <f>Customers_Table[[#This Row],[Quantity Ordered]]*Customers_Table[[#This Row],[Sales Price (Per unit)]]</f>
        <v>600</v>
      </c>
      <c r="N92" t="s">
        <v>1437</v>
      </c>
    </row>
    <row r="93" spans="1:14" x14ac:dyDescent="0.2">
      <c r="A93" t="s">
        <v>224</v>
      </c>
      <c r="B93" t="s">
        <v>181</v>
      </c>
      <c r="C93">
        <v>1325</v>
      </c>
      <c r="D93" t="s">
        <v>31</v>
      </c>
      <c r="E93" s="1">
        <v>45359</v>
      </c>
      <c r="F93" s="6">
        <v>2</v>
      </c>
      <c r="G93" s="1" t="s">
        <v>52</v>
      </c>
      <c r="H93" t="s">
        <v>57</v>
      </c>
      <c r="I93" t="s">
        <v>1438</v>
      </c>
      <c r="J93" t="s">
        <v>1095</v>
      </c>
      <c r="K93">
        <v>5000</v>
      </c>
      <c r="L93">
        <v>250</v>
      </c>
      <c r="M93">
        <f>Customers_Table[[#This Row],[Quantity Ordered]]*Customers_Table[[#This Row],[Sales Price (Per unit)]]</f>
        <v>500</v>
      </c>
      <c r="N93" t="s">
        <v>1439</v>
      </c>
    </row>
    <row r="94" spans="1:14" x14ac:dyDescent="0.2">
      <c r="A94" t="s">
        <v>225</v>
      </c>
      <c r="B94" t="s">
        <v>226</v>
      </c>
      <c r="C94">
        <v>1326</v>
      </c>
      <c r="D94" t="s">
        <v>31</v>
      </c>
      <c r="E94" s="1">
        <v>45378</v>
      </c>
      <c r="F94" s="6">
        <v>3</v>
      </c>
      <c r="G94" t="s">
        <v>32</v>
      </c>
      <c r="H94" t="s">
        <v>64</v>
      </c>
      <c r="I94" t="s">
        <v>1440</v>
      </c>
      <c r="J94" t="s">
        <v>1265</v>
      </c>
      <c r="K94">
        <v>7000</v>
      </c>
      <c r="L94">
        <v>250</v>
      </c>
      <c r="M94">
        <f>Customers_Table[[#This Row],[Quantity Ordered]]*Customers_Table[[#This Row],[Sales Price (Per unit)]]</f>
        <v>750</v>
      </c>
      <c r="N94" t="s">
        <v>1441</v>
      </c>
    </row>
    <row r="95" spans="1:14" x14ac:dyDescent="0.2">
      <c r="A95" t="s">
        <v>227</v>
      </c>
      <c r="B95" t="s">
        <v>228</v>
      </c>
      <c r="C95">
        <v>1327</v>
      </c>
      <c r="D95" t="s">
        <v>37</v>
      </c>
      <c r="E95" s="1">
        <v>45519</v>
      </c>
      <c r="F95" s="6">
        <v>2</v>
      </c>
      <c r="G95" s="1" t="s">
        <v>52</v>
      </c>
      <c r="H95" t="s">
        <v>47</v>
      </c>
      <c r="I95" t="s">
        <v>1442</v>
      </c>
      <c r="J95" t="s">
        <v>1256</v>
      </c>
      <c r="K95">
        <v>3220</v>
      </c>
      <c r="L95">
        <v>800</v>
      </c>
      <c r="M95">
        <f>Customers_Table[[#This Row],[Quantity Ordered]]*Customers_Table[[#This Row],[Sales Price (Per unit)]]</f>
        <v>1600</v>
      </c>
      <c r="N95" t="s">
        <v>1443</v>
      </c>
    </row>
    <row r="96" spans="1:14" x14ac:dyDescent="0.2">
      <c r="A96" t="s">
        <v>229</v>
      </c>
      <c r="B96" t="s">
        <v>230</v>
      </c>
      <c r="C96">
        <v>1328</v>
      </c>
      <c r="D96" t="s">
        <v>76</v>
      </c>
      <c r="E96" s="1">
        <v>45406</v>
      </c>
      <c r="F96" s="6">
        <v>3</v>
      </c>
      <c r="G96" t="s">
        <v>71</v>
      </c>
      <c r="H96" t="s">
        <v>81</v>
      </c>
      <c r="I96" t="s">
        <v>1444</v>
      </c>
      <c r="J96" t="s">
        <v>1280</v>
      </c>
      <c r="K96">
        <v>800</v>
      </c>
      <c r="L96">
        <v>1200</v>
      </c>
      <c r="M96">
        <f>Customers_Table[[#This Row],[Quantity Ordered]]*Customers_Table[[#This Row],[Sales Price (Per unit)]]</f>
        <v>3600</v>
      </c>
      <c r="N96" t="s">
        <v>1445</v>
      </c>
    </row>
    <row r="97" spans="1:14" x14ac:dyDescent="0.2">
      <c r="A97" t="s">
        <v>231</v>
      </c>
      <c r="B97" t="s">
        <v>232</v>
      </c>
      <c r="C97">
        <v>1329</v>
      </c>
      <c r="D97" t="s">
        <v>42</v>
      </c>
      <c r="E97" s="1">
        <v>45396</v>
      </c>
      <c r="F97" s="6">
        <v>2</v>
      </c>
      <c r="G97" t="s">
        <v>32</v>
      </c>
      <c r="H97" t="s">
        <v>53</v>
      </c>
      <c r="I97" t="s">
        <v>1446</v>
      </c>
      <c r="J97" t="s">
        <v>1268</v>
      </c>
      <c r="K97">
        <v>4870</v>
      </c>
      <c r="L97">
        <v>300</v>
      </c>
      <c r="M97">
        <f>Customers_Table[[#This Row],[Quantity Ordered]]*Customers_Table[[#This Row],[Sales Price (Per unit)]]</f>
        <v>600</v>
      </c>
      <c r="N97" t="s">
        <v>1447</v>
      </c>
    </row>
    <row r="98" spans="1:14" x14ac:dyDescent="0.2">
      <c r="A98" t="s">
        <v>233</v>
      </c>
      <c r="B98" t="s">
        <v>234</v>
      </c>
      <c r="C98">
        <v>1330</v>
      </c>
      <c r="D98" t="s">
        <v>31</v>
      </c>
      <c r="E98" s="1">
        <v>45430</v>
      </c>
      <c r="F98" s="6">
        <v>1</v>
      </c>
      <c r="G98" s="1" t="s">
        <v>52</v>
      </c>
      <c r="H98" t="s">
        <v>64</v>
      </c>
      <c r="I98" t="s">
        <v>1448</v>
      </c>
      <c r="J98" t="s">
        <v>1265</v>
      </c>
      <c r="K98">
        <v>7000</v>
      </c>
      <c r="L98">
        <v>250</v>
      </c>
      <c r="M98">
        <f>Customers_Table[[#This Row],[Quantity Ordered]]*Customers_Table[[#This Row],[Sales Price (Per unit)]]</f>
        <v>250</v>
      </c>
      <c r="N98" t="s">
        <v>1449</v>
      </c>
    </row>
    <row r="99" spans="1:14" x14ac:dyDescent="0.2">
      <c r="A99" t="s">
        <v>235</v>
      </c>
      <c r="B99" t="s">
        <v>236</v>
      </c>
      <c r="C99">
        <v>1331</v>
      </c>
      <c r="D99" t="s">
        <v>76</v>
      </c>
      <c r="E99" s="1">
        <v>45619</v>
      </c>
      <c r="F99" s="6">
        <v>2</v>
      </c>
      <c r="G99" s="1" t="s">
        <v>52</v>
      </c>
      <c r="H99" t="s">
        <v>53</v>
      </c>
      <c r="I99" t="s">
        <v>1450</v>
      </c>
      <c r="J99" t="s">
        <v>1268</v>
      </c>
      <c r="K99">
        <v>4870</v>
      </c>
      <c r="L99">
        <v>1200</v>
      </c>
      <c r="M99">
        <f>Customers_Table[[#This Row],[Quantity Ordered]]*Customers_Table[[#This Row],[Sales Price (Per unit)]]</f>
        <v>2400</v>
      </c>
      <c r="N99" t="s">
        <v>1451</v>
      </c>
    </row>
    <row r="100" spans="1:14" x14ac:dyDescent="0.2">
      <c r="A100" t="s">
        <v>237</v>
      </c>
      <c r="B100" t="s">
        <v>238</v>
      </c>
      <c r="C100">
        <v>1332</v>
      </c>
      <c r="D100" t="s">
        <v>76</v>
      </c>
      <c r="E100" s="1">
        <v>45438</v>
      </c>
      <c r="F100" s="6">
        <v>2</v>
      </c>
      <c r="G100" t="s">
        <v>32</v>
      </c>
      <c r="H100" t="s">
        <v>43</v>
      </c>
      <c r="I100" t="s">
        <v>1452</v>
      </c>
      <c r="J100" t="s">
        <v>1299</v>
      </c>
      <c r="K100">
        <v>2500</v>
      </c>
      <c r="L100">
        <v>1200</v>
      </c>
      <c r="M100">
        <f>Customers_Table[[#This Row],[Quantity Ordered]]*Customers_Table[[#This Row],[Sales Price (Per unit)]]</f>
        <v>2400</v>
      </c>
      <c r="N100" t="s">
        <v>1453</v>
      </c>
    </row>
    <row r="101" spans="1:14" x14ac:dyDescent="0.2">
      <c r="A101" t="s">
        <v>239</v>
      </c>
      <c r="B101" t="s">
        <v>240</v>
      </c>
      <c r="C101">
        <v>1333</v>
      </c>
      <c r="D101" t="s">
        <v>42</v>
      </c>
      <c r="E101" s="1">
        <v>45616</v>
      </c>
      <c r="F101" s="6">
        <v>2</v>
      </c>
      <c r="G101" s="1" t="s">
        <v>52</v>
      </c>
      <c r="H101" t="s">
        <v>57</v>
      </c>
      <c r="I101" t="s">
        <v>1454</v>
      </c>
      <c r="J101" t="s">
        <v>1253</v>
      </c>
      <c r="K101">
        <v>5290</v>
      </c>
      <c r="L101">
        <v>300</v>
      </c>
      <c r="M101">
        <f>Customers_Table[[#This Row],[Quantity Ordered]]*Customers_Table[[#This Row],[Sales Price (Per unit)]]</f>
        <v>600</v>
      </c>
      <c r="N101" t="s">
        <v>1455</v>
      </c>
    </row>
    <row r="102" spans="1:14" x14ac:dyDescent="0.2">
      <c r="A102" t="s">
        <v>241</v>
      </c>
      <c r="B102" t="s">
        <v>242</v>
      </c>
      <c r="C102">
        <v>1334</v>
      </c>
      <c r="D102" t="s">
        <v>31</v>
      </c>
      <c r="E102" s="1">
        <v>45407</v>
      </c>
      <c r="F102" s="6">
        <v>2</v>
      </c>
      <c r="G102" t="s">
        <v>32</v>
      </c>
      <c r="H102" t="s">
        <v>81</v>
      </c>
      <c r="I102" t="s">
        <v>1456</v>
      </c>
      <c r="J102" t="s">
        <v>1280</v>
      </c>
      <c r="K102">
        <v>800</v>
      </c>
      <c r="L102">
        <v>250</v>
      </c>
      <c r="M102">
        <f>Customers_Table[[#This Row],[Quantity Ordered]]*Customers_Table[[#This Row],[Sales Price (Per unit)]]</f>
        <v>500</v>
      </c>
      <c r="N102" t="s">
        <v>1457</v>
      </c>
    </row>
    <row r="103" spans="1:14" x14ac:dyDescent="0.2">
      <c r="A103" t="s">
        <v>137</v>
      </c>
      <c r="B103" t="s">
        <v>243</v>
      </c>
      <c r="C103">
        <v>1335</v>
      </c>
      <c r="D103" t="s">
        <v>51</v>
      </c>
      <c r="E103" s="1">
        <v>45431</v>
      </c>
      <c r="F103" s="6">
        <v>3</v>
      </c>
      <c r="G103" t="s">
        <v>32</v>
      </c>
      <c r="H103" t="s">
        <v>33</v>
      </c>
      <c r="I103" t="s">
        <v>1458</v>
      </c>
      <c r="J103" t="s">
        <v>1302</v>
      </c>
      <c r="K103">
        <v>6000</v>
      </c>
      <c r="L103">
        <v>250</v>
      </c>
      <c r="M103">
        <f>Customers_Table[[#This Row],[Quantity Ordered]]*Customers_Table[[#This Row],[Sales Price (Per unit)]]</f>
        <v>750</v>
      </c>
      <c r="N103" t="s">
        <v>1459</v>
      </c>
    </row>
    <row r="104" spans="1:14" x14ac:dyDescent="0.2">
      <c r="A104" t="s">
        <v>244</v>
      </c>
      <c r="B104" t="s">
        <v>245</v>
      </c>
      <c r="C104">
        <v>1336</v>
      </c>
      <c r="D104" t="s">
        <v>92</v>
      </c>
      <c r="E104" s="1">
        <v>45651</v>
      </c>
      <c r="F104" s="6">
        <v>1</v>
      </c>
      <c r="G104" s="1" t="s">
        <v>52</v>
      </c>
      <c r="H104" t="s">
        <v>57</v>
      </c>
      <c r="I104" t="s">
        <v>1460</v>
      </c>
      <c r="J104" t="s">
        <v>1350</v>
      </c>
      <c r="K104">
        <v>5600</v>
      </c>
      <c r="L104">
        <v>600</v>
      </c>
      <c r="M104">
        <f>Customers_Table[[#This Row],[Quantity Ordered]]*Customers_Table[[#This Row],[Sales Price (Per unit)]]</f>
        <v>600</v>
      </c>
      <c r="N104" t="s">
        <v>1461</v>
      </c>
    </row>
    <row r="105" spans="1:14" x14ac:dyDescent="0.2">
      <c r="A105" t="s">
        <v>239</v>
      </c>
      <c r="B105" t="s">
        <v>246</v>
      </c>
      <c r="C105">
        <v>1337</v>
      </c>
      <c r="D105" t="s">
        <v>76</v>
      </c>
      <c r="E105" s="1">
        <v>45493</v>
      </c>
      <c r="F105" s="6">
        <v>3</v>
      </c>
      <c r="G105" t="s">
        <v>32</v>
      </c>
      <c r="H105" t="s">
        <v>53</v>
      </c>
      <c r="I105" t="s">
        <v>1462</v>
      </c>
      <c r="J105" t="s">
        <v>1268</v>
      </c>
      <c r="K105">
        <v>4870</v>
      </c>
      <c r="L105">
        <v>1200</v>
      </c>
      <c r="M105">
        <f>Customers_Table[[#This Row],[Quantity Ordered]]*Customers_Table[[#This Row],[Sales Price (Per unit)]]</f>
        <v>3600</v>
      </c>
      <c r="N105" t="s">
        <v>1463</v>
      </c>
    </row>
    <row r="106" spans="1:14" x14ac:dyDescent="0.2">
      <c r="A106" t="s">
        <v>247</v>
      </c>
      <c r="B106" t="s">
        <v>248</v>
      </c>
      <c r="C106">
        <v>1338</v>
      </c>
      <c r="D106" t="s">
        <v>31</v>
      </c>
      <c r="E106" s="1">
        <v>45453</v>
      </c>
      <c r="F106" s="6">
        <v>2</v>
      </c>
      <c r="G106" t="s">
        <v>32</v>
      </c>
      <c r="H106" t="s">
        <v>43</v>
      </c>
      <c r="I106" t="s">
        <v>1464</v>
      </c>
      <c r="J106" t="s">
        <v>1244</v>
      </c>
      <c r="K106">
        <v>2300</v>
      </c>
      <c r="L106">
        <v>250</v>
      </c>
      <c r="M106">
        <f>Customers_Table[[#This Row],[Quantity Ordered]]*Customers_Table[[#This Row],[Sales Price (Per unit)]]</f>
        <v>500</v>
      </c>
      <c r="N106" t="s">
        <v>1465</v>
      </c>
    </row>
    <row r="107" spans="1:14" x14ac:dyDescent="0.2">
      <c r="A107" t="s">
        <v>249</v>
      </c>
      <c r="B107" t="s">
        <v>250</v>
      </c>
      <c r="C107">
        <v>1339</v>
      </c>
      <c r="D107" t="s">
        <v>51</v>
      </c>
      <c r="E107" s="1">
        <v>45490</v>
      </c>
      <c r="F107" s="6">
        <v>2</v>
      </c>
      <c r="G107" t="s">
        <v>32</v>
      </c>
      <c r="H107" t="s">
        <v>33</v>
      </c>
      <c r="I107" t="s">
        <v>1466</v>
      </c>
      <c r="J107" t="s">
        <v>1238</v>
      </c>
      <c r="K107">
        <v>6725</v>
      </c>
      <c r="L107">
        <v>250</v>
      </c>
      <c r="M107">
        <f>Customers_Table[[#This Row],[Quantity Ordered]]*Customers_Table[[#This Row],[Sales Price (Per unit)]]</f>
        <v>500</v>
      </c>
      <c r="N107" t="s">
        <v>1467</v>
      </c>
    </row>
    <row r="108" spans="1:14" x14ac:dyDescent="0.2">
      <c r="A108" t="s">
        <v>251</v>
      </c>
      <c r="B108" t="s">
        <v>252</v>
      </c>
      <c r="C108">
        <v>1340</v>
      </c>
      <c r="D108" t="s">
        <v>51</v>
      </c>
      <c r="E108" s="1">
        <v>45400</v>
      </c>
      <c r="F108" s="6">
        <v>3</v>
      </c>
      <c r="G108" t="s">
        <v>32</v>
      </c>
      <c r="H108" t="s">
        <v>33</v>
      </c>
      <c r="I108" t="s">
        <v>1468</v>
      </c>
      <c r="J108" t="s">
        <v>1238</v>
      </c>
      <c r="K108">
        <v>6725</v>
      </c>
      <c r="L108">
        <v>250</v>
      </c>
      <c r="M108">
        <f>Customers_Table[[#This Row],[Quantity Ordered]]*Customers_Table[[#This Row],[Sales Price (Per unit)]]</f>
        <v>750</v>
      </c>
      <c r="N108" t="s">
        <v>1469</v>
      </c>
    </row>
    <row r="109" spans="1:14" x14ac:dyDescent="0.2">
      <c r="A109" t="s">
        <v>253</v>
      </c>
      <c r="B109" t="s">
        <v>80</v>
      </c>
      <c r="C109">
        <v>1341</v>
      </c>
      <c r="D109" t="s">
        <v>37</v>
      </c>
      <c r="E109" s="1">
        <v>45581</v>
      </c>
      <c r="F109" s="6">
        <v>3</v>
      </c>
      <c r="G109" s="1" t="s">
        <v>52</v>
      </c>
      <c r="H109" t="s">
        <v>43</v>
      </c>
      <c r="I109" t="s">
        <v>1470</v>
      </c>
      <c r="J109" t="s">
        <v>1299</v>
      </c>
      <c r="K109">
        <v>2500</v>
      </c>
      <c r="L109">
        <v>800</v>
      </c>
      <c r="M109">
        <f>Customers_Table[[#This Row],[Quantity Ordered]]*Customers_Table[[#This Row],[Sales Price (Per unit)]]</f>
        <v>2400</v>
      </c>
      <c r="N109" t="s">
        <v>1471</v>
      </c>
    </row>
    <row r="110" spans="1:14" x14ac:dyDescent="0.2">
      <c r="A110" t="s">
        <v>254</v>
      </c>
      <c r="B110" t="s">
        <v>255</v>
      </c>
      <c r="C110">
        <v>1342</v>
      </c>
      <c r="D110" t="s">
        <v>76</v>
      </c>
      <c r="E110" s="1">
        <v>45412</v>
      </c>
      <c r="F110" s="6">
        <v>1</v>
      </c>
      <c r="G110" s="1" t="s">
        <v>52</v>
      </c>
      <c r="H110" t="s">
        <v>53</v>
      </c>
      <c r="I110" t="s">
        <v>1472</v>
      </c>
      <c r="J110" t="s">
        <v>1305</v>
      </c>
      <c r="K110">
        <v>4000</v>
      </c>
      <c r="L110">
        <v>1200</v>
      </c>
      <c r="M110">
        <f>Customers_Table[[#This Row],[Quantity Ordered]]*Customers_Table[[#This Row],[Sales Price (Per unit)]]</f>
        <v>1200</v>
      </c>
      <c r="N110" t="s">
        <v>1473</v>
      </c>
    </row>
    <row r="111" spans="1:14" x14ac:dyDescent="0.2">
      <c r="A111" t="s">
        <v>256</v>
      </c>
      <c r="B111" t="s">
        <v>257</v>
      </c>
      <c r="C111">
        <v>1343</v>
      </c>
      <c r="D111" t="s">
        <v>51</v>
      </c>
      <c r="E111" s="1">
        <v>45343</v>
      </c>
      <c r="F111" s="6">
        <v>3</v>
      </c>
      <c r="G111" s="1" t="s">
        <v>52</v>
      </c>
      <c r="H111" t="s">
        <v>57</v>
      </c>
      <c r="I111" t="s">
        <v>1474</v>
      </c>
      <c r="J111" t="s">
        <v>1095</v>
      </c>
      <c r="K111">
        <v>5000</v>
      </c>
      <c r="L111">
        <v>250</v>
      </c>
      <c r="M111">
        <f>Customers_Table[[#This Row],[Quantity Ordered]]*Customers_Table[[#This Row],[Sales Price (Per unit)]]</f>
        <v>750</v>
      </c>
      <c r="N111" t="s">
        <v>1475</v>
      </c>
    </row>
    <row r="112" spans="1:14" x14ac:dyDescent="0.2">
      <c r="A112" t="s">
        <v>258</v>
      </c>
      <c r="B112" t="s">
        <v>259</v>
      </c>
      <c r="C112">
        <v>1344</v>
      </c>
      <c r="D112" t="s">
        <v>76</v>
      </c>
      <c r="E112" s="1">
        <v>45489</v>
      </c>
      <c r="F112" s="6">
        <v>3</v>
      </c>
      <c r="G112" t="s">
        <v>71</v>
      </c>
      <c r="H112" t="s">
        <v>57</v>
      </c>
      <c r="I112" t="s">
        <v>1476</v>
      </c>
      <c r="J112" t="s">
        <v>1095</v>
      </c>
      <c r="K112">
        <v>5000</v>
      </c>
      <c r="L112">
        <v>1200</v>
      </c>
      <c r="M112">
        <f>Customers_Table[[#This Row],[Quantity Ordered]]*Customers_Table[[#This Row],[Sales Price (Per unit)]]</f>
        <v>3600</v>
      </c>
      <c r="N112" t="s">
        <v>1477</v>
      </c>
    </row>
    <row r="113" spans="1:14" x14ac:dyDescent="0.2">
      <c r="A113" t="s">
        <v>224</v>
      </c>
      <c r="B113" t="s">
        <v>260</v>
      </c>
      <c r="C113">
        <v>1345</v>
      </c>
      <c r="D113" t="s">
        <v>31</v>
      </c>
      <c r="E113" s="1">
        <v>45480</v>
      </c>
      <c r="F113" s="6">
        <v>1</v>
      </c>
      <c r="G113" s="1" t="s">
        <v>52</v>
      </c>
      <c r="H113" t="s">
        <v>53</v>
      </c>
      <c r="I113" t="s">
        <v>1478</v>
      </c>
      <c r="J113" t="s">
        <v>1250</v>
      </c>
      <c r="K113">
        <v>4217</v>
      </c>
      <c r="L113">
        <v>250</v>
      </c>
      <c r="M113">
        <f>Customers_Table[[#This Row],[Quantity Ordered]]*Customers_Table[[#This Row],[Sales Price (Per unit)]]</f>
        <v>250</v>
      </c>
      <c r="N113" t="s">
        <v>1479</v>
      </c>
    </row>
    <row r="114" spans="1:14" x14ac:dyDescent="0.2">
      <c r="A114" t="s">
        <v>36</v>
      </c>
      <c r="B114" t="s">
        <v>94</v>
      </c>
      <c r="C114">
        <v>1346</v>
      </c>
      <c r="D114" t="s">
        <v>37</v>
      </c>
      <c r="E114" s="1">
        <v>45653</v>
      </c>
      <c r="F114" s="6">
        <v>2</v>
      </c>
      <c r="G114" s="1" t="s">
        <v>52</v>
      </c>
      <c r="H114" t="s">
        <v>53</v>
      </c>
      <c r="I114" t="s">
        <v>1480</v>
      </c>
      <c r="J114" t="s">
        <v>1268</v>
      </c>
      <c r="K114">
        <v>4870</v>
      </c>
      <c r="L114">
        <v>800</v>
      </c>
      <c r="M114">
        <f>Customers_Table[[#This Row],[Quantity Ordered]]*Customers_Table[[#This Row],[Sales Price (Per unit)]]</f>
        <v>1600</v>
      </c>
      <c r="N114" t="s">
        <v>1481</v>
      </c>
    </row>
    <row r="115" spans="1:14" x14ac:dyDescent="0.2">
      <c r="A115" t="s">
        <v>261</v>
      </c>
      <c r="B115" t="s">
        <v>262</v>
      </c>
      <c r="C115">
        <v>1347</v>
      </c>
      <c r="D115" t="s">
        <v>42</v>
      </c>
      <c r="E115" s="1">
        <v>45481</v>
      </c>
      <c r="F115" s="6">
        <v>3</v>
      </c>
      <c r="G115" t="s">
        <v>32</v>
      </c>
      <c r="H115" t="s">
        <v>64</v>
      </c>
      <c r="I115" t="s">
        <v>1482</v>
      </c>
      <c r="J115" t="s">
        <v>1262</v>
      </c>
      <c r="K115">
        <v>7250</v>
      </c>
      <c r="L115">
        <v>300</v>
      </c>
      <c r="M115">
        <f>Customers_Table[[#This Row],[Quantity Ordered]]*Customers_Table[[#This Row],[Sales Price (Per unit)]]</f>
        <v>900</v>
      </c>
      <c r="N115" t="s">
        <v>1483</v>
      </c>
    </row>
    <row r="116" spans="1:14" x14ac:dyDescent="0.2">
      <c r="A116" t="s">
        <v>222</v>
      </c>
      <c r="B116" t="s">
        <v>263</v>
      </c>
      <c r="C116">
        <v>1348</v>
      </c>
      <c r="D116" t="s">
        <v>37</v>
      </c>
      <c r="E116" s="1">
        <v>45305</v>
      </c>
      <c r="F116" s="6">
        <v>1</v>
      </c>
      <c r="G116" s="1" t="s">
        <v>52</v>
      </c>
      <c r="H116" t="s">
        <v>57</v>
      </c>
      <c r="I116" t="s">
        <v>1484</v>
      </c>
      <c r="J116" t="s">
        <v>1095</v>
      </c>
      <c r="K116">
        <v>5000</v>
      </c>
      <c r="L116">
        <v>800</v>
      </c>
      <c r="M116">
        <f>Customers_Table[[#This Row],[Quantity Ordered]]*Customers_Table[[#This Row],[Sales Price (Per unit)]]</f>
        <v>800</v>
      </c>
      <c r="N116" t="s">
        <v>1485</v>
      </c>
    </row>
    <row r="117" spans="1:14" x14ac:dyDescent="0.2">
      <c r="A117" t="s">
        <v>264</v>
      </c>
      <c r="B117" t="s">
        <v>265</v>
      </c>
      <c r="C117">
        <v>1349</v>
      </c>
      <c r="D117" t="s">
        <v>92</v>
      </c>
      <c r="E117" s="1">
        <v>45365</v>
      </c>
      <c r="F117" s="6">
        <v>1</v>
      </c>
      <c r="G117" t="s">
        <v>32</v>
      </c>
      <c r="H117" t="s">
        <v>39</v>
      </c>
      <c r="I117" t="s">
        <v>1486</v>
      </c>
      <c r="J117" t="s">
        <v>1241</v>
      </c>
      <c r="K117">
        <v>2600</v>
      </c>
      <c r="L117">
        <v>600</v>
      </c>
      <c r="M117">
        <f>Customers_Table[[#This Row],[Quantity Ordered]]*Customers_Table[[#This Row],[Sales Price (Per unit)]]</f>
        <v>600</v>
      </c>
      <c r="N117" t="s">
        <v>1487</v>
      </c>
    </row>
    <row r="118" spans="1:14" x14ac:dyDescent="0.2">
      <c r="A118" t="s">
        <v>161</v>
      </c>
      <c r="B118" t="s">
        <v>266</v>
      </c>
      <c r="C118">
        <v>1350</v>
      </c>
      <c r="D118" t="s">
        <v>76</v>
      </c>
      <c r="E118" s="1">
        <v>45645</v>
      </c>
      <c r="F118" s="6">
        <v>2</v>
      </c>
      <c r="G118" s="1" t="s">
        <v>52</v>
      </c>
      <c r="H118" t="s">
        <v>43</v>
      </c>
      <c r="I118" t="s">
        <v>1488</v>
      </c>
      <c r="J118" t="s">
        <v>1299</v>
      </c>
      <c r="K118">
        <v>2500</v>
      </c>
      <c r="L118">
        <v>1200</v>
      </c>
      <c r="M118">
        <f>Customers_Table[[#This Row],[Quantity Ordered]]*Customers_Table[[#This Row],[Sales Price (Per unit)]]</f>
        <v>2400</v>
      </c>
      <c r="N118" t="s">
        <v>1489</v>
      </c>
    </row>
    <row r="119" spans="1:14" x14ac:dyDescent="0.2">
      <c r="A119" t="s">
        <v>267</v>
      </c>
      <c r="B119" t="s">
        <v>268</v>
      </c>
      <c r="C119">
        <v>1351</v>
      </c>
      <c r="D119" t="s">
        <v>92</v>
      </c>
      <c r="E119" s="1">
        <v>45371</v>
      </c>
      <c r="F119" s="6">
        <v>3</v>
      </c>
      <c r="G119" s="1" t="s">
        <v>52</v>
      </c>
      <c r="H119" t="s">
        <v>64</v>
      </c>
      <c r="I119" t="s">
        <v>1490</v>
      </c>
      <c r="J119" t="s">
        <v>1400</v>
      </c>
      <c r="K119">
        <v>7310</v>
      </c>
      <c r="L119">
        <v>600</v>
      </c>
      <c r="M119">
        <f>Customers_Table[[#This Row],[Quantity Ordered]]*Customers_Table[[#This Row],[Sales Price (Per unit)]]</f>
        <v>1800</v>
      </c>
      <c r="N119" t="s">
        <v>1491</v>
      </c>
    </row>
    <row r="120" spans="1:14" x14ac:dyDescent="0.2">
      <c r="A120" t="s">
        <v>269</v>
      </c>
      <c r="B120" t="s">
        <v>270</v>
      </c>
      <c r="C120">
        <v>1352</v>
      </c>
      <c r="D120" t="s">
        <v>42</v>
      </c>
      <c r="E120" s="1">
        <v>45621</v>
      </c>
      <c r="F120" s="6">
        <v>3</v>
      </c>
      <c r="G120" s="1" t="s">
        <v>38</v>
      </c>
      <c r="H120" t="s">
        <v>57</v>
      </c>
      <c r="I120" t="s">
        <v>1492</v>
      </c>
      <c r="J120" t="s">
        <v>1095</v>
      </c>
      <c r="K120">
        <v>5000</v>
      </c>
      <c r="L120">
        <v>300</v>
      </c>
      <c r="M120">
        <f>Customers_Table[[#This Row],[Quantity Ordered]]*Customers_Table[[#This Row],[Sales Price (Per unit)]]</f>
        <v>900</v>
      </c>
      <c r="N120" t="s">
        <v>1493</v>
      </c>
    </row>
    <row r="121" spans="1:14" x14ac:dyDescent="0.2">
      <c r="A121" t="s">
        <v>271</v>
      </c>
      <c r="B121" t="s">
        <v>272</v>
      </c>
      <c r="C121">
        <v>1353</v>
      </c>
      <c r="D121" t="s">
        <v>76</v>
      </c>
      <c r="E121" s="1">
        <v>45448</v>
      </c>
      <c r="F121" s="6">
        <v>2</v>
      </c>
      <c r="G121" t="s">
        <v>32</v>
      </c>
      <c r="H121" t="s">
        <v>57</v>
      </c>
      <c r="I121" t="s">
        <v>1494</v>
      </c>
      <c r="J121" t="s">
        <v>1253</v>
      </c>
      <c r="K121">
        <v>5290</v>
      </c>
      <c r="L121">
        <v>1200</v>
      </c>
      <c r="M121">
        <f>Customers_Table[[#This Row],[Quantity Ordered]]*Customers_Table[[#This Row],[Sales Price (Per unit)]]</f>
        <v>2400</v>
      </c>
      <c r="N121" t="s">
        <v>1495</v>
      </c>
    </row>
    <row r="122" spans="1:14" x14ac:dyDescent="0.2">
      <c r="A122" t="s">
        <v>273</v>
      </c>
      <c r="B122" t="s">
        <v>221</v>
      </c>
      <c r="C122">
        <v>1354</v>
      </c>
      <c r="D122" t="s">
        <v>92</v>
      </c>
      <c r="E122" s="1">
        <v>45505</v>
      </c>
      <c r="F122" s="6">
        <v>2</v>
      </c>
      <c r="G122" t="s">
        <v>32</v>
      </c>
      <c r="H122" t="s">
        <v>53</v>
      </c>
      <c r="I122" t="s">
        <v>1496</v>
      </c>
      <c r="J122" t="s">
        <v>1250</v>
      </c>
      <c r="K122">
        <v>4217</v>
      </c>
      <c r="L122">
        <v>600</v>
      </c>
      <c r="M122">
        <f>Customers_Table[[#This Row],[Quantity Ordered]]*Customers_Table[[#This Row],[Sales Price (Per unit)]]</f>
        <v>1200</v>
      </c>
      <c r="N122" t="s">
        <v>1497</v>
      </c>
    </row>
    <row r="123" spans="1:14" x14ac:dyDescent="0.2">
      <c r="A123" t="s">
        <v>180</v>
      </c>
      <c r="B123" t="s">
        <v>274</v>
      </c>
      <c r="C123">
        <v>1355</v>
      </c>
      <c r="D123" t="s">
        <v>42</v>
      </c>
      <c r="E123" s="1">
        <v>45518</v>
      </c>
      <c r="F123" s="6">
        <v>2</v>
      </c>
      <c r="G123" t="s">
        <v>32</v>
      </c>
      <c r="H123" t="s">
        <v>81</v>
      </c>
      <c r="I123" t="s">
        <v>1498</v>
      </c>
      <c r="J123" t="s">
        <v>1361</v>
      </c>
      <c r="K123">
        <v>870</v>
      </c>
      <c r="L123">
        <v>300</v>
      </c>
      <c r="M123">
        <f>Customers_Table[[#This Row],[Quantity Ordered]]*Customers_Table[[#This Row],[Sales Price (Per unit)]]</f>
        <v>600</v>
      </c>
      <c r="N123" t="s">
        <v>1499</v>
      </c>
    </row>
    <row r="124" spans="1:14" x14ac:dyDescent="0.2">
      <c r="A124" t="s">
        <v>275</v>
      </c>
      <c r="B124" t="s">
        <v>276</v>
      </c>
      <c r="C124">
        <v>1356</v>
      </c>
      <c r="D124" t="s">
        <v>51</v>
      </c>
      <c r="E124" s="1">
        <v>45399</v>
      </c>
      <c r="F124" s="6">
        <v>1</v>
      </c>
      <c r="G124" s="1" t="s">
        <v>52</v>
      </c>
      <c r="H124" t="s">
        <v>39</v>
      </c>
      <c r="I124" t="s">
        <v>1500</v>
      </c>
      <c r="J124" t="s">
        <v>1241</v>
      </c>
      <c r="K124">
        <v>2600</v>
      </c>
      <c r="L124">
        <v>250</v>
      </c>
      <c r="M124">
        <f>Customers_Table[[#This Row],[Quantity Ordered]]*Customers_Table[[#This Row],[Sales Price (Per unit)]]</f>
        <v>250</v>
      </c>
      <c r="N124" t="s">
        <v>1501</v>
      </c>
    </row>
    <row r="125" spans="1:14" x14ac:dyDescent="0.2">
      <c r="A125" t="s">
        <v>277</v>
      </c>
      <c r="B125" t="s">
        <v>278</v>
      </c>
      <c r="C125">
        <v>1357</v>
      </c>
      <c r="D125" t="s">
        <v>31</v>
      </c>
      <c r="E125" s="1">
        <v>45532</v>
      </c>
      <c r="F125" s="6">
        <v>1</v>
      </c>
      <c r="G125" t="s">
        <v>32</v>
      </c>
      <c r="H125" t="s">
        <v>33</v>
      </c>
      <c r="I125" t="s">
        <v>1502</v>
      </c>
      <c r="J125" t="s">
        <v>1259</v>
      </c>
      <c r="K125">
        <v>6160</v>
      </c>
      <c r="L125">
        <v>250</v>
      </c>
      <c r="M125">
        <f>Customers_Table[[#This Row],[Quantity Ordered]]*Customers_Table[[#This Row],[Sales Price (Per unit)]]</f>
        <v>250</v>
      </c>
      <c r="N125" t="s">
        <v>1503</v>
      </c>
    </row>
    <row r="126" spans="1:14" x14ac:dyDescent="0.2">
      <c r="A126" t="s">
        <v>279</v>
      </c>
      <c r="B126" t="s">
        <v>280</v>
      </c>
      <c r="C126">
        <v>1358</v>
      </c>
      <c r="D126" t="s">
        <v>42</v>
      </c>
      <c r="E126" s="1">
        <v>45332</v>
      </c>
      <c r="F126" s="6">
        <v>3</v>
      </c>
      <c r="G126" s="1" t="s">
        <v>38</v>
      </c>
      <c r="H126" t="s">
        <v>47</v>
      </c>
      <c r="I126" t="s">
        <v>1504</v>
      </c>
      <c r="J126" t="s">
        <v>1247</v>
      </c>
      <c r="K126">
        <v>3350</v>
      </c>
      <c r="L126">
        <v>300</v>
      </c>
      <c r="M126">
        <f>Customers_Table[[#This Row],[Quantity Ordered]]*Customers_Table[[#This Row],[Sales Price (Per unit)]]</f>
        <v>900</v>
      </c>
      <c r="N126" t="s">
        <v>1505</v>
      </c>
    </row>
    <row r="127" spans="1:14" x14ac:dyDescent="0.2">
      <c r="A127" t="s">
        <v>281</v>
      </c>
      <c r="B127" t="s">
        <v>282</v>
      </c>
      <c r="C127">
        <v>1359</v>
      </c>
      <c r="D127" t="s">
        <v>76</v>
      </c>
      <c r="E127" s="1">
        <v>45469</v>
      </c>
      <c r="F127" s="6">
        <v>3</v>
      </c>
      <c r="G127" s="1" t="s">
        <v>52</v>
      </c>
      <c r="H127" t="s">
        <v>64</v>
      </c>
      <c r="I127" t="s">
        <v>1506</v>
      </c>
      <c r="J127" t="s">
        <v>1400</v>
      </c>
      <c r="K127">
        <v>7310</v>
      </c>
      <c r="L127">
        <v>1200</v>
      </c>
      <c r="M127">
        <f>Customers_Table[[#This Row],[Quantity Ordered]]*Customers_Table[[#This Row],[Sales Price (Per unit)]]</f>
        <v>3600</v>
      </c>
      <c r="N127" t="s">
        <v>1507</v>
      </c>
    </row>
    <row r="128" spans="1:14" x14ac:dyDescent="0.2">
      <c r="A128" t="s">
        <v>253</v>
      </c>
      <c r="B128" t="s">
        <v>283</v>
      </c>
      <c r="C128">
        <v>1360</v>
      </c>
      <c r="D128" t="s">
        <v>76</v>
      </c>
      <c r="E128" s="1">
        <v>45388</v>
      </c>
      <c r="F128" s="6">
        <v>3</v>
      </c>
      <c r="G128" t="s">
        <v>32</v>
      </c>
      <c r="H128" t="s">
        <v>39</v>
      </c>
      <c r="I128" t="s">
        <v>1508</v>
      </c>
      <c r="J128" t="s">
        <v>1241</v>
      </c>
      <c r="K128">
        <v>2600</v>
      </c>
      <c r="L128">
        <v>1200</v>
      </c>
      <c r="M128">
        <f>Customers_Table[[#This Row],[Quantity Ordered]]*Customers_Table[[#This Row],[Sales Price (Per unit)]]</f>
        <v>3600</v>
      </c>
      <c r="N128" t="s">
        <v>1509</v>
      </c>
    </row>
    <row r="129" spans="1:14" x14ac:dyDescent="0.2">
      <c r="A129" t="s">
        <v>284</v>
      </c>
      <c r="B129" t="s">
        <v>285</v>
      </c>
      <c r="C129">
        <v>1361</v>
      </c>
      <c r="D129" t="s">
        <v>51</v>
      </c>
      <c r="E129" s="1">
        <v>45572</v>
      </c>
      <c r="F129" s="6">
        <v>3</v>
      </c>
      <c r="G129" s="1" t="s">
        <v>38</v>
      </c>
      <c r="H129" t="s">
        <v>39</v>
      </c>
      <c r="I129" t="s">
        <v>1510</v>
      </c>
      <c r="J129" t="s">
        <v>1241</v>
      </c>
      <c r="K129">
        <v>2600</v>
      </c>
      <c r="L129">
        <v>250</v>
      </c>
      <c r="M129">
        <f>Customers_Table[[#This Row],[Quantity Ordered]]*Customers_Table[[#This Row],[Sales Price (Per unit)]]</f>
        <v>750</v>
      </c>
      <c r="N129" t="s">
        <v>1511</v>
      </c>
    </row>
    <row r="130" spans="1:14" x14ac:dyDescent="0.2">
      <c r="A130" t="s">
        <v>286</v>
      </c>
      <c r="B130" t="s">
        <v>287</v>
      </c>
      <c r="C130">
        <v>1362</v>
      </c>
      <c r="D130" t="s">
        <v>76</v>
      </c>
      <c r="E130" s="1">
        <v>45639</v>
      </c>
      <c r="F130" s="6">
        <v>2</v>
      </c>
      <c r="G130" s="1" t="s">
        <v>52</v>
      </c>
      <c r="H130" t="s">
        <v>33</v>
      </c>
      <c r="I130" t="s">
        <v>1512</v>
      </c>
      <c r="J130" t="s">
        <v>1259</v>
      </c>
      <c r="K130">
        <v>6160</v>
      </c>
      <c r="L130">
        <v>1200</v>
      </c>
      <c r="M130">
        <f>Customers_Table[[#This Row],[Quantity Ordered]]*Customers_Table[[#This Row],[Sales Price (Per unit)]]</f>
        <v>2400</v>
      </c>
      <c r="N130" t="s">
        <v>1513</v>
      </c>
    </row>
    <row r="131" spans="1:14" x14ac:dyDescent="0.2">
      <c r="A131" t="s">
        <v>288</v>
      </c>
      <c r="B131" t="s">
        <v>289</v>
      </c>
      <c r="C131">
        <v>1363</v>
      </c>
      <c r="D131" t="s">
        <v>76</v>
      </c>
      <c r="E131" s="1">
        <v>45354</v>
      </c>
      <c r="F131" s="6">
        <v>2</v>
      </c>
      <c r="G131" s="1" t="s">
        <v>38</v>
      </c>
      <c r="H131" t="s">
        <v>53</v>
      </c>
      <c r="I131" t="s">
        <v>1514</v>
      </c>
      <c r="J131" t="s">
        <v>1268</v>
      </c>
      <c r="K131">
        <v>4870</v>
      </c>
      <c r="L131">
        <v>1200</v>
      </c>
      <c r="M131">
        <f>Customers_Table[[#This Row],[Quantity Ordered]]*Customers_Table[[#This Row],[Sales Price (Per unit)]]</f>
        <v>2400</v>
      </c>
      <c r="N131" t="s">
        <v>1515</v>
      </c>
    </row>
    <row r="132" spans="1:14" x14ac:dyDescent="0.2">
      <c r="A132" t="s">
        <v>290</v>
      </c>
      <c r="B132" t="s">
        <v>291</v>
      </c>
      <c r="C132">
        <v>1364</v>
      </c>
      <c r="D132" t="s">
        <v>76</v>
      </c>
      <c r="E132" s="1">
        <v>45292</v>
      </c>
      <c r="F132" s="6">
        <v>3</v>
      </c>
      <c r="G132" s="1" t="s">
        <v>52</v>
      </c>
      <c r="H132" t="s">
        <v>57</v>
      </c>
      <c r="I132" t="s">
        <v>1516</v>
      </c>
      <c r="J132" t="s">
        <v>1350</v>
      </c>
      <c r="K132">
        <v>5600</v>
      </c>
      <c r="L132">
        <v>1200</v>
      </c>
      <c r="M132">
        <f>Customers_Table[[#This Row],[Quantity Ordered]]*Customers_Table[[#This Row],[Sales Price (Per unit)]]</f>
        <v>3600</v>
      </c>
      <c r="N132" t="s">
        <v>1517</v>
      </c>
    </row>
    <row r="133" spans="1:14" x14ac:dyDescent="0.2">
      <c r="A133" t="s">
        <v>292</v>
      </c>
      <c r="B133" t="s">
        <v>293</v>
      </c>
      <c r="C133">
        <v>1365</v>
      </c>
      <c r="D133" t="s">
        <v>42</v>
      </c>
      <c r="E133" s="1">
        <v>45310</v>
      </c>
      <c r="F133" s="6">
        <v>3</v>
      </c>
      <c r="G133" s="1" t="s">
        <v>52</v>
      </c>
      <c r="H133" t="s">
        <v>39</v>
      </c>
      <c r="I133" t="s">
        <v>1518</v>
      </c>
      <c r="J133" t="s">
        <v>1241</v>
      </c>
      <c r="K133">
        <v>2600</v>
      </c>
      <c r="L133">
        <v>300</v>
      </c>
      <c r="M133">
        <f>Customers_Table[[#This Row],[Quantity Ordered]]*Customers_Table[[#This Row],[Sales Price (Per unit)]]</f>
        <v>900</v>
      </c>
      <c r="N133" t="s">
        <v>1519</v>
      </c>
    </row>
    <row r="134" spans="1:14" x14ac:dyDescent="0.2">
      <c r="A134" t="s">
        <v>294</v>
      </c>
      <c r="B134" t="s">
        <v>295</v>
      </c>
      <c r="C134">
        <v>1366</v>
      </c>
      <c r="D134" t="s">
        <v>76</v>
      </c>
      <c r="E134" s="1">
        <v>45612</v>
      </c>
      <c r="F134" s="6">
        <v>3</v>
      </c>
      <c r="G134" t="s">
        <v>71</v>
      </c>
      <c r="H134" t="s">
        <v>64</v>
      </c>
      <c r="I134" t="s">
        <v>1520</v>
      </c>
      <c r="J134" t="s">
        <v>1265</v>
      </c>
      <c r="K134">
        <v>7000</v>
      </c>
      <c r="L134">
        <v>1200</v>
      </c>
      <c r="M134">
        <f>Customers_Table[[#This Row],[Quantity Ordered]]*Customers_Table[[#This Row],[Sales Price (Per unit)]]</f>
        <v>3600</v>
      </c>
      <c r="N134" t="s">
        <v>1521</v>
      </c>
    </row>
    <row r="135" spans="1:14" x14ac:dyDescent="0.2">
      <c r="A135" t="s">
        <v>296</v>
      </c>
      <c r="B135" t="s">
        <v>297</v>
      </c>
      <c r="C135">
        <v>1367</v>
      </c>
      <c r="D135" t="s">
        <v>37</v>
      </c>
      <c r="E135" s="1">
        <v>45521</v>
      </c>
      <c r="F135" s="6">
        <v>2</v>
      </c>
      <c r="G135" s="1" t="s">
        <v>52</v>
      </c>
      <c r="H135" t="s">
        <v>57</v>
      </c>
      <c r="I135" t="s">
        <v>1522</v>
      </c>
      <c r="J135" t="s">
        <v>1350</v>
      </c>
      <c r="K135">
        <v>5600</v>
      </c>
      <c r="L135">
        <v>800</v>
      </c>
      <c r="M135">
        <f>Customers_Table[[#This Row],[Quantity Ordered]]*Customers_Table[[#This Row],[Sales Price (Per unit)]]</f>
        <v>1600</v>
      </c>
      <c r="N135" t="s">
        <v>1523</v>
      </c>
    </row>
    <row r="136" spans="1:14" x14ac:dyDescent="0.2">
      <c r="A136" t="s">
        <v>261</v>
      </c>
      <c r="B136" t="s">
        <v>298</v>
      </c>
      <c r="C136">
        <v>1368</v>
      </c>
      <c r="D136" t="s">
        <v>37</v>
      </c>
      <c r="E136" s="1">
        <v>45485</v>
      </c>
      <c r="F136" s="6">
        <v>3</v>
      </c>
      <c r="G136" s="1" t="s">
        <v>38</v>
      </c>
      <c r="H136" t="s">
        <v>64</v>
      </c>
      <c r="I136" t="s">
        <v>1524</v>
      </c>
      <c r="J136" t="s">
        <v>1265</v>
      </c>
      <c r="K136">
        <v>7000</v>
      </c>
      <c r="L136">
        <v>800</v>
      </c>
      <c r="M136">
        <f>Customers_Table[[#This Row],[Quantity Ordered]]*Customers_Table[[#This Row],[Sales Price (Per unit)]]</f>
        <v>2400</v>
      </c>
      <c r="N136" t="s">
        <v>1525</v>
      </c>
    </row>
    <row r="137" spans="1:14" x14ac:dyDescent="0.2">
      <c r="A137" t="s">
        <v>299</v>
      </c>
      <c r="B137" t="s">
        <v>152</v>
      </c>
      <c r="C137">
        <v>1369</v>
      </c>
      <c r="D137" t="s">
        <v>76</v>
      </c>
      <c r="E137" s="1">
        <v>45546</v>
      </c>
      <c r="F137" s="6">
        <v>2</v>
      </c>
      <c r="G137" s="1" t="s">
        <v>52</v>
      </c>
      <c r="H137" t="s">
        <v>53</v>
      </c>
      <c r="I137" t="s">
        <v>1526</v>
      </c>
      <c r="J137" t="s">
        <v>1305</v>
      </c>
      <c r="K137">
        <v>4000</v>
      </c>
      <c r="L137">
        <v>1200</v>
      </c>
      <c r="M137">
        <f>Customers_Table[[#This Row],[Quantity Ordered]]*Customers_Table[[#This Row],[Sales Price (Per unit)]]</f>
        <v>2400</v>
      </c>
      <c r="N137" t="s">
        <v>1527</v>
      </c>
    </row>
    <row r="138" spans="1:14" x14ac:dyDescent="0.2">
      <c r="A138" t="s">
        <v>300</v>
      </c>
      <c r="B138" t="s">
        <v>301</v>
      </c>
      <c r="C138">
        <v>1370</v>
      </c>
      <c r="D138" t="s">
        <v>76</v>
      </c>
      <c r="E138" s="1">
        <v>45568</v>
      </c>
      <c r="F138" s="6">
        <v>2</v>
      </c>
      <c r="G138" s="1" t="s">
        <v>38</v>
      </c>
      <c r="H138" t="s">
        <v>81</v>
      </c>
      <c r="I138" t="s">
        <v>1528</v>
      </c>
      <c r="J138" t="s">
        <v>1361</v>
      </c>
      <c r="K138">
        <v>870</v>
      </c>
      <c r="L138">
        <v>1200</v>
      </c>
      <c r="M138">
        <f>Customers_Table[[#This Row],[Quantity Ordered]]*Customers_Table[[#This Row],[Sales Price (Per unit)]]</f>
        <v>2400</v>
      </c>
      <c r="N138" t="s">
        <v>1529</v>
      </c>
    </row>
    <row r="139" spans="1:14" x14ac:dyDescent="0.2">
      <c r="A139" t="s">
        <v>302</v>
      </c>
      <c r="B139" t="s">
        <v>303</v>
      </c>
      <c r="C139">
        <v>1371</v>
      </c>
      <c r="D139" t="s">
        <v>92</v>
      </c>
      <c r="E139" s="1">
        <v>45429</v>
      </c>
      <c r="F139" s="6">
        <v>3</v>
      </c>
      <c r="G139" t="s">
        <v>32</v>
      </c>
      <c r="H139" t="s">
        <v>43</v>
      </c>
      <c r="I139" t="s">
        <v>1530</v>
      </c>
      <c r="J139" t="s">
        <v>1299</v>
      </c>
      <c r="K139">
        <v>2500</v>
      </c>
      <c r="L139">
        <v>600</v>
      </c>
      <c r="M139">
        <f>Customers_Table[[#This Row],[Quantity Ordered]]*Customers_Table[[#This Row],[Sales Price (Per unit)]]</f>
        <v>1800</v>
      </c>
      <c r="N139" t="s">
        <v>1531</v>
      </c>
    </row>
    <row r="140" spans="1:14" x14ac:dyDescent="0.2">
      <c r="A140" t="s">
        <v>304</v>
      </c>
      <c r="B140" t="s">
        <v>305</v>
      </c>
      <c r="C140">
        <v>1372</v>
      </c>
      <c r="D140" t="s">
        <v>37</v>
      </c>
      <c r="E140" s="1">
        <v>45466</v>
      </c>
      <c r="F140" s="6">
        <v>1</v>
      </c>
      <c r="G140" t="s">
        <v>32</v>
      </c>
      <c r="H140" t="s">
        <v>81</v>
      </c>
      <c r="I140" t="s">
        <v>1532</v>
      </c>
      <c r="J140" t="s">
        <v>1361</v>
      </c>
      <c r="K140">
        <v>870</v>
      </c>
      <c r="L140">
        <v>800</v>
      </c>
      <c r="M140">
        <f>Customers_Table[[#This Row],[Quantity Ordered]]*Customers_Table[[#This Row],[Sales Price (Per unit)]]</f>
        <v>800</v>
      </c>
      <c r="N140" t="s">
        <v>1533</v>
      </c>
    </row>
    <row r="141" spans="1:14" x14ac:dyDescent="0.2">
      <c r="A141" t="s">
        <v>306</v>
      </c>
      <c r="B141" t="s">
        <v>307</v>
      </c>
      <c r="C141">
        <v>1373</v>
      </c>
      <c r="D141" t="s">
        <v>31</v>
      </c>
      <c r="E141" s="1">
        <v>45344</v>
      </c>
      <c r="F141" s="6">
        <v>1</v>
      </c>
      <c r="G141" s="1" t="s">
        <v>38</v>
      </c>
      <c r="H141" t="s">
        <v>39</v>
      </c>
      <c r="I141" t="s">
        <v>1534</v>
      </c>
      <c r="J141" t="s">
        <v>1241</v>
      </c>
      <c r="K141">
        <v>2600</v>
      </c>
      <c r="L141">
        <v>250</v>
      </c>
      <c r="M141">
        <f>Customers_Table[[#This Row],[Quantity Ordered]]*Customers_Table[[#This Row],[Sales Price (Per unit)]]</f>
        <v>250</v>
      </c>
      <c r="N141" t="s">
        <v>1535</v>
      </c>
    </row>
    <row r="142" spans="1:14" x14ac:dyDescent="0.2">
      <c r="A142" t="s">
        <v>308</v>
      </c>
      <c r="B142" t="s">
        <v>309</v>
      </c>
      <c r="C142">
        <v>1374</v>
      </c>
      <c r="D142" t="s">
        <v>31</v>
      </c>
      <c r="E142" s="1">
        <v>45354</v>
      </c>
      <c r="F142" s="6">
        <v>2</v>
      </c>
      <c r="G142" t="s">
        <v>32</v>
      </c>
      <c r="H142" t="s">
        <v>39</v>
      </c>
      <c r="I142" t="s">
        <v>1536</v>
      </c>
      <c r="J142" t="s">
        <v>1241</v>
      </c>
      <c r="K142">
        <v>2600</v>
      </c>
      <c r="L142">
        <v>250</v>
      </c>
      <c r="M142">
        <f>Customers_Table[[#This Row],[Quantity Ordered]]*Customers_Table[[#This Row],[Sales Price (Per unit)]]</f>
        <v>500</v>
      </c>
      <c r="N142" t="s">
        <v>1537</v>
      </c>
    </row>
    <row r="143" spans="1:14" x14ac:dyDescent="0.2">
      <c r="A143" t="s">
        <v>310</v>
      </c>
      <c r="B143" t="s">
        <v>59</v>
      </c>
      <c r="C143">
        <v>1375</v>
      </c>
      <c r="D143" t="s">
        <v>42</v>
      </c>
      <c r="E143" s="1">
        <v>45500</v>
      </c>
      <c r="F143" s="6">
        <v>3</v>
      </c>
      <c r="G143" t="s">
        <v>32</v>
      </c>
      <c r="H143" t="s">
        <v>81</v>
      </c>
      <c r="I143" t="s">
        <v>1538</v>
      </c>
      <c r="J143" t="s">
        <v>1361</v>
      </c>
      <c r="K143">
        <v>870</v>
      </c>
      <c r="L143">
        <v>300</v>
      </c>
      <c r="M143">
        <f>Customers_Table[[#This Row],[Quantity Ordered]]*Customers_Table[[#This Row],[Sales Price (Per unit)]]</f>
        <v>900</v>
      </c>
      <c r="N143" t="s">
        <v>1539</v>
      </c>
    </row>
    <row r="144" spans="1:14" x14ac:dyDescent="0.2">
      <c r="A144" t="s">
        <v>311</v>
      </c>
      <c r="B144" t="s">
        <v>312</v>
      </c>
      <c r="C144">
        <v>1376</v>
      </c>
      <c r="D144" t="s">
        <v>42</v>
      </c>
      <c r="E144" s="1">
        <v>45495</v>
      </c>
      <c r="F144" s="6">
        <v>2</v>
      </c>
      <c r="G144" s="1" t="s">
        <v>38</v>
      </c>
      <c r="H144" t="s">
        <v>43</v>
      </c>
      <c r="I144" t="s">
        <v>1540</v>
      </c>
      <c r="J144" t="s">
        <v>1244</v>
      </c>
      <c r="K144">
        <v>2300</v>
      </c>
      <c r="L144">
        <v>300</v>
      </c>
      <c r="M144">
        <f>Customers_Table[[#This Row],[Quantity Ordered]]*Customers_Table[[#This Row],[Sales Price (Per unit)]]</f>
        <v>600</v>
      </c>
      <c r="N144" t="s">
        <v>1541</v>
      </c>
    </row>
    <row r="145" spans="1:14" x14ac:dyDescent="0.2">
      <c r="A145" t="s">
        <v>313</v>
      </c>
      <c r="B145" t="s">
        <v>314</v>
      </c>
      <c r="C145">
        <v>1377</v>
      </c>
      <c r="D145" t="s">
        <v>92</v>
      </c>
      <c r="E145" s="1">
        <v>45650</v>
      </c>
      <c r="F145" s="6">
        <v>3</v>
      </c>
      <c r="G145" s="1" t="s">
        <v>52</v>
      </c>
      <c r="H145" t="s">
        <v>81</v>
      </c>
      <c r="I145" t="s">
        <v>1542</v>
      </c>
      <c r="J145" t="s">
        <v>1280</v>
      </c>
      <c r="K145">
        <v>800</v>
      </c>
      <c r="L145">
        <v>600</v>
      </c>
      <c r="M145">
        <f>Customers_Table[[#This Row],[Quantity Ordered]]*Customers_Table[[#This Row],[Sales Price (Per unit)]]</f>
        <v>1800</v>
      </c>
      <c r="N145" t="s">
        <v>1543</v>
      </c>
    </row>
    <row r="146" spans="1:14" x14ac:dyDescent="0.2">
      <c r="A146" t="s">
        <v>315</v>
      </c>
      <c r="B146" t="s">
        <v>316</v>
      </c>
      <c r="C146">
        <v>1378</v>
      </c>
      <c r="D146" t="s">
        <v>76</v>
      </c>
      <c r="E146" s="1">
        <v>45637</v>
      </c>
      <c r="F146" s="6">
        <v>3</v>
      </c>
      <c r="G146" t="s">
        <v>32</v>
      </c>
      <c r="H146" t="s">
        <v>57</v>
      </c>
      <c r="I146" t="s">
        <v>1544</v>
      </c>
      <c r="J146" t="s">
        <v>1350</v>
      </c>
      <c r="K146">
        <v>5600</v>
      </c>
      <c r="L146">
        <v>1200</v>
      </c>
      <c r="M146">
        <f>Customers_Table[[#This Row],[Quantity Ordered]]*Customers_Table[[#This Row],[Sales Price (Per unit)]]</f>
        <v>3600</v>
      </c>
      <c r="N146" t="s">
        <v>1545</v>
      </c>
    </row>
    <row r="147" spans="1:14" x14ac:dyDescent="0.2">
      <c r="A147" t="s">
        <v>317</v>
      </c>
      <c r="B147" t="s">
        <v>318</v>
      </c>
      <c r="C147">
        <v>1379</v>
      </c>
      <c r="D147" t="s">
        <v>42</v>
      </c>
      <c r="E147" s="1">
        <v>45345</v>
      </c>
      <c r="F147" s="6">
        <v>2</v>
      </c>
      <c r="G147" t="s">
        <v>32</v>
      </c>
      <c r="H147" t="s">
        <v>81</v>
      </c>
      <c r="I147" t="s">
        <v>1546</v>
      </c>
      <c r="J147" t="s">
        <v>1280</v>
      </c>
      <c r="K147">
        <v>800</v>
      </c>
      <c r="L147">
        <v>300</v>
      </c>
      <c r="M147">
        <f>Customers_Table[[#This Row],[Quantity Ordered]]*Customers_Table[[#This Row],[Sales Price (Per unit)]]</f>
        <v>600</v>
      </c>
      <c r="N147" t="s">
        <v>1547</v>
      </c>
    </row>
    <row r="148" spans="1:14" x14ac:dyDescent="0.2">
      <c r="A148" t="s">
        <v>68</v>
      </c>
      <c r="B148" t="s">
        <v>319</v>
      </c>
      <c r="C148">
        <v>1380</v>
      </c>
      <c r="D148" t="s">
        <v>31</v>
      </c>
      <c r="E148" s="1">
        <v>45309</v>
      </c>
      <c r="F148" s="6">
        <v>3</v>
      </c>
      <c r="G148" s="1" t="s">
        <v>52</v>
      </c>
      <c r="H148" t="s">
        <v>47</v>
      </c>
      <c r="I148" t="s">
        <v>1548</v>
      </c>
      <c r="J148" t="s">
        <v>1247</v>
      </c>
      <c r="K148">
        <v>3350</v>
      </c>
      <c r="L148">
        <v>250</v>
      </c>
      <c r="M148">
        <f>Customers_Table[[#This Row],[Quantity Ordered]]*Customers_Table[[#This Row],[Sales Price (Per unit)]]</f>
        <v>750</v>
      </c>
      <c r="N148" t="s">
        <v>1549</v>
      </c>
    </row>
    <row r="149" spans="1:14" x14ac:dyDescent="0.2">
      <c r="A149" t="s">
        <v>320</v>
      </c>
      <c r="B149" t="s">
        <v>321</v>
      </c>
      <c r="C149">
        <v>1381</v>
      </c>
      <c r="D149" t="s">
        <v>37</v>
      </c>
      <c r="E149" s="1">
        <v>45540</v>
      </c>
      <c r="F149" s="6">
        <v>3</v>
      </c>
      <c r="G149" s="1" t="s">
        <v>52</v>
      </c>
      <c r="H149" t="s">
        <v>43</v>
      </c>
      <c r="I149" t="s">
        <v>1550</v>
      </c>
      <c r="J149" t="s">
        <v>865</v>
      </c>
      <c r="K149">
        <v>2000</v>
      </c>
      <c r="L149">
        <v>800</v>
      </c>
      <c r="M149">
        <f>Customers_Table[[#This Row],[Quantity Ordered]]*Customers_Table[[#This Row],[Sales Price (Per unit)]]</f>
        <v>2400</v>
      </c>
      <c r="N149" t="s">
        <v>1551</v>
      </c>
    </row>
    <row r="150" spans="1:14" x14ac:dyDescent="0.2">
      <c r="A150" t="s">
        <v>322</v>
      </c>
      <c r="B150" t="s">
        <v>323</v>
      </c>
      <c r="C150">
        <v>1382</v>
      </c>
      <c r="D150" t="s">
        <v>76</v>
      </c>
      <c r="E150" s="1">
        <v>45614</v>
      </c>
      <c r="F150" s="6">
        <v>2</v>
      </c>
      <c r="G150" s="1" t="s">
        <v>52</v>
      </c>
      <c r="H150" t="s">
        <v>43</v>
      </c>
      <c r="I150" t="s">
        <v>1552</v>
      </c>
      <c r="J150" t="s">
        <v>865</v>
      </c>
      <c r="K150">
        <v>2000</v>
      </c>
      <c r="L150">
        <v>1200</v>
      </c>
      <c r="M150">
        <f>Customers_Table[[#This Row],[Quantity Ordered]]*Customers_Table[[#This Row],[Sales Price (Per unit)]]</f>
        <v>2400</v>
      </c>
      <c r="N150" t="s">
        <v>1553</v>
      </c>
    </row>
    <row r="151" spans="1:14" x14ac:dyDescent="0.2">
      <c r="A151" t="s">
        <v>275</v>
      </c>
      <c r="B151" t="s">
        <v>324</v>
      </c>
      <c r="C151">
        <v>1383</v>
      </c>
      <c r="D151" t="s">
        <v>42</v>
      </c>
      <c r="E151" s="1">
        <v>45543</v>
      </c>
      <c r="F151" s="6">
        <v>3</v>
      </c>
      <c r="G151" s="1" t="s">
        <v>52</v>
      </c>
      <c r="H151" t="s">
        <v>43</v>
      </c>
      <c r="I151" t="s">
        <v>1554</v>
      </c>
      <c r="J151" t="s">
        <v>1299</v>
      </c>
      <c r="K151">
        <v>2500</v>
      </c>
      <c r="L151">
        <v>300</v>
      </c>
      <c r="M151">
        <f>Customers_Table[[#This Row],[Quantity Ordered]]*Customers_Table[[#This Row],[Sales Price (Per unit)]]</f>
        <v>900</v>
      </c>
      <c r="N151" t="s">
        <v>1555</v>
      </c>
    </row>
    <row r="152" spans="1:14" x14ac:dyDescent="0.2">
      <c r="A152" t="s">
        <v>325</v>
      </c>
      <c r="B152" t="s">
        <v>326</v>
      </c>
      <c r="C152">
        <v>1384</v>
      </c>
      <c r="D152" t="s">
        <v>76</v>
      </c>
      <c r="E152" s="1">
        <v>45520</v>
      </c>
      <c r="F152" s="6">
        <v>1</v>
      </c>
      <c r="G152" s="1" t="s">
        <v>52</v>
      </c>
      <c r="H152" t="s">
        <v>43</v>
      </c>
      <c r="I152" t="s">
        <v>1556</v>
      </c>
      <c r="J152" t="s">
        <v>1244</v>
      </c>
      <c r="K152">
        <v>2300</v>
      </c>
      <c r="L152">
        <v>1200</v>
      </c>
      <c r="M152">
        <f>Customers_Table[[#This Row],[Quantity Ordered]]*Customers_Table[[#This Row],[Sales Price (Per unit)]]</f>
        <v>1200</v>
      </c>
      <c r="N152" t="s">
        <v>1557</v>
      </c>
    </row>
    <row r="153" spans="1:14" x14ac:dyDescent="0.2">
      <c r="A153" t="s">
        <v>55</v>
      </c>
      <c r="B153" t="s">
        <v>327</v>
      </c>
      <c r="C153">
        <v>1385</v>
      </c>
      <c r="D153" t="s">
        <v>92</v>
      </c>
      <c r="E153" s="1">
        <v>45390</v>
      </c>
      <c r="F153" s="6">
        <v>2</v>
      </c>
      <c r="G153" s="1" t="s">
        <v>52</v>
      </c>
      <c r="H153" t="s">
        <v>33</v>
      </c>
      <c r="I153" t="s">
        <v>1558</v>
      </c>
      <c r="J153" t="s">
        <v>1238</v>
      </c>
      <c r="K153">
        <v>6725</v>
      </c>
      <c r="L153">
        <v>600</v>
      </c>
      <c r="M153">
        <f>Customers_Table[[#This Row],[Quantity Ordered]]*Customers_Table[[#This Row],[Sales Price (Per unit)]]</f>
        <v>1200</v>
      </c>
      <c r="N153" t="s">
        <v>1559</v>
      </c>
    </row>
    <row r="154" spans="1:14" x14ac:dyDescent="0.2">
      <c r="A154" t="s">
        <v>328</v>
      </c>
      <c r="B154" t="s">
        <v>30</v>
      </c>
      <c r="C154">
        <v>1386</v>
      </c>
      <c r="D154" t="s">
        <v>42</v>
      </c>
      <c r="E154" s="1">
        <v>45621</v>
      </c>
      <c r="F154" s="6">
        <v>2</v>
      </c>
      <c r="G154" t="s">
        <v>32</v>
      </c>
      <c r="H154" t="s">
        <v>39</v>
      </c>
      <c r="I154" t="s">
        <v>1560</v>
      </c>
      <c r="J154" t="s">
        <v>1241</v>
      </c>
      <c r="K154">
        <v>2600</v>
      </c>
      <c r="L154">
        <v>300</v>
      </c>
      <c r="M154">
        <f>Customers_Table[[#This Row],[Quantity Ordered]]*Customers_Table[[#This Row],[Sales Price (Per unit)]]</f>
        <v>600</v>
      </c>
      <c r="N154" t="s">
        <v>1561</v>
      </c>
    </row>
    <row r="155" spans="1:14" x14ac:dyDescent="0.2">
      <c r="A155" t="s">
        <v>258</v>
      </c>
      <c r="B155" t="s">
        <v>329</v>
      </c>
      <c r="C155">
        <v>1387</v>
      </c>
      <c r="D155" t="s">
        <v>31</v>
      </c>
      <c r="E155" s="1">
        <v>45629</v>
      </c>
      <c r="F155" s="6">
        <v>2</v>
      </c>
      <c r="G155" s="1" t="s">
        <v>52</v>
      </c>
      <c r="H155" t="s">
        <v>47</v>
      </c>
      <c r="I155" t="s">
        <v>1562</v>
      </c>
      <c r="J155" t="s">
        <v>1256</v>
      </c>
      <c r="K155">
        <v>3220</v>
      </c>
      <c r="L155">
        <v>250</v>
      </c>
      <c r="M155">
        <f>Customers_Table[[#This Row],[Quantity Ordered]]*Customers_Table[[#This Row],[Sales Price (Per unit)]]</f>
        <v>500</v>
      </c>
      <c r="N155" t="s">
        <v>1563</v>
      </c>
    </row>
    <row r="156" spans="1:14" x14ac:dyDescent="0.2">
      <c r="A156" t="s">
        <v>330</v>
      </c>
      <c r="B156" t="s">
        <v>331</v>
      </c>
      <c r="C156">
        <v>1388</v>
      </c>
      <c r="D156" t="s">
        <v>42</v>
      </c>
      <c r="E156" s="1">
        <v>45462</v>
      </c>
      <c r="F156" s="6">
        <v>2</v>
      </c>
      <c r="G156" t="s">
        <v>71</v>
      </c>
      <c r="H156" t="s">
        <v>81</v>
      </c>
      <c r="I156" t="s">
        <v>1564</v>
      </c>
      <c r="J156" t="s">
        <v>1361</v>
      </c>
      <c r="K156">
        <v>870</v>
      </c>
      <c r="L156">
        <v>300</v>
      </c>
      <c r="M156">
        <f>Customers_Table[[#This Row],[Quantity Ordered]]*Customers_Table[[#This Row],[Sales Price (Per unit)]]</f>
        <v>600</v>
      </c>
      <c r="N156" t="s">
        <v>1565</v>
      </c>
    </row>
    <row r="157" spans="1:14" x14ac:dyDescent="0.2">
      <c r="A157" t="s">
        <v>332</v>
      </c>
      <c r="B157" t="s">
        <v>333</v>
      </c>
      <c r="C157">
        <v>1389</v>
      </c>
      <c r="D157" t="s">
        <v>92</v>
      </c>
      <c r="E157" s="1">
        <v>45310</v>
      </c>
      <c r="F157" s="6">
        <v>2</v>
      </c>
      <c r="G157" s="1" t="s">
        <v>52</v>
      </c>
      <c r="H157" t="s">
        <v>33</v>
      </c>
      <c r="I157" t="s">
        <v>1566</v>
      </c>
      <c r="J157" t="s">
        <v>1302</v>
      </c>
      <c r="K157">
        <v>6000</v>
      </c>
      <c r="L157">
        <v>600</v>
      </c>
      <c r="M157">
        <f>Customers_Table[[#This Row],[Quantity Ordered]]*Customers_Table[[#This Row],[Sales Price (Per unit)]]</f>
        <v>1200</v>
      </c>
      <c r="N157" t="s">
        <v>1567</v>
      </c>
    </row>
    <row r="158" spans="1:14" x14ac:dyDescent="0.2">
      <c r="A158" t="s">
        <v>169</v>
      </c>
      <c r="B158" t="s">
        <v>245</v>
      </c>
      <c r="C158">
        <v>1390</v>
      </c>
      <c r="D158" t="s">
        <v>42</v>
      </c>
      <c r="E158" s="1">
        <v>45577</v>
      </c>
      <c r="F158" s="6">
        <v>2</v>
      </c>
      <c r="G158" t="s">
        <v>32</v>
      </c>
      <c r="H158" t="s">
        <v>64</v>
      </c>
      <c r="I158" t="s">
        <v>1568</v>
      </c>
      <c r="J158" t="s">
        <v>1262</v>
      </c>
      <c r="K158">
        <v>7250</v>
      </c>
      <c r="L158">
        <v>300</v>
      </c>
      <c r="M158">
        <f>Customers_Table[[#This Row],[Quantity Ordered]]*Customers_Table[[#This Row],[Sales Price (Per unit)]]</f>
        <v>600</v>
      </c>
      <c r="N158" t="s">
        <v>1569</v>
      </c>
    </row>
    <row r="159" spans="1:14" x14ac:dyDescent="0.2">
      <c r="A159" t="s">
        <v>334</v>
      </c>
      <c r="B159" t="s">
        <v>335</v>
      </c>
      <c r="C159">
        <v>1391</v>
      </c>
      <c r="D159" t="s">
        <v>76</v>
      </c>
      <c r="E159" s="1">
        <v>45634</v>
      </c>
      <c r="F159" s="6">
        <v>2</v>
      </c>
      <c r="G159" t="s">
        <v>32</v>
      </c>
      <c r="H159" t="s">
        <v>64</v>
      </c>
      <c r="I159" t="s">
        <v>1570</v>
      </c>
      <c r="J159" t="s">
        <v>1262</v>
      </c>
      <c r="K159">
        <v>7250</v>
      </c>
      <c r="L159">
        <v>1200</v>
      </c>
      <c r="M159">
        <f>Customers_Table[[#This Row],[Quantity Ordered]]*Customers_Table[[#This Row],[Sales Price (Per unit)]]</f>
        <v>2400</v>
      </c>
      <c r="N159" t="s">
        <v>1571</v>
      </c>
    </row>
    <row r="160" spans="1:14" x14ac:dyDescent="0.2">
      <c r="A160" t="s">
        <v>154</v>
      </c>
      <c r="B160" t="s">
        <v>151</v>
      </c>
      <c r="C160">
        <v>1392</v>
      </c>
      <c r="D160" t="s">
        <v>31</v>
      </c>
      <c r="E160" s="1">
        <v>45570</v>
      </c>
      <c r="F160" s="6">
        <v>3</v>
      </c>
      <c r="G160" s="1" t="s">
        <v>52</v>
      </c>
      <c r="H160" t="s">
        <v>53</v>
      </c>
      <c r="I160" t="s">
        <v>1572</v>
      </c>
      <c r="J160" t="s">
        <v>1305</v>
      </c>
      <c r="K160">
        <v>4000</v>
      </c>
      <c r="L160">
        <v>250</v>
      </c>
      <c r="M160">
        <f>Customers_Table[[#This Row],[Quantity Ordered]]*Customers_Table[[#This Row],[Sales Price (Per unit)]]</f>
        <v>750</v>
      </c>
      <c r="N160" t="s">
        <v>1573</v>
      </c>
    </row>
    <row r="161" spans="1:14" x14ac:dyDescent="0.2">
      <c r="A161" t="s">
        <v>336</v>
      </c>
      <c r="B161" t="s">
        <v>337</v>
      </c>
      <c r="C161">
        <v>1393</v>
      </c>
      <c r="D161" t="s">
        <v>42</v>
      </c>
      <c r="E161" s="1">
        <v>45620</v>
      </c>
      <c r="F161" s="6">
        <v>3</v>
      </c>
      <c r="G161" s="1" t="s">
        <v>52</v>
      </c>
      <c r="H161" t="s">
        <v>47</v>
      </c>
      <c r="I161" t="s">
        <v>1574</v>
      </c>
      <c r="J161" t="s">
        <v>1247</v>
      </c>
      <c r="K161">
        <v>3350</v>
      </c>
      <c r="L161">
        <v>300</v>
      </c>
      <c r="M161">
        <f>Customers_Table[[#This Row],[Quantity Ordered]]*Customers_Table[[#This Row],[Sales Price (Per unit)]]</f>
        <v>900</v>
      </c>
      <c r="N161" t="s">
        <v>1575</v>
      </c>
    </row>
    <row r="162" spans="1:14" x14ac:dyDescent="0.2">
      <c r="A162" t="s">
        <v>338</v>
      </c>
      <c r="B162" t="s">
        <v>339</v>
      </c>
      <c r="C162">
        <v>1394</v>
      </c>
      <c r="D162" t="s">
        <v>92</v>
      </c>
      <c r="E162" s="1">
        <v>45471</v>
      </c>
      <c r="F162" s="6">
        <v>3</v>
      </c>
      <c r="G162" t="s">
        <v>32</v>
      </c>
      <c r="H162" t="s">
        <v>43</v>
      </c>
      <c r="I162" t="s">
        <v>1576</v>
      </c>
      <c r="J162" t="s">
        <v>1244</v>
      </c>
      <c r="K162">
        <v>2300</v>
      </c>
      <c r="L162">
        <v>600</v>
      </c>
      <c r="M162">
        <f>Customers_Table[[#This Row],[Quantity Ordered]]*Customers_Table[[#This Row],[Sales Price (Per unit)]]</f>
        <v>1800</v>
      </c>
      <c r="N162" t="s">
        <v>1577</v>
      </c>
    </row>
    <row r="163" spans="1:14" x14ac:dyDescent="0.2">
      <c r="A163" t="s">
        <v>195</v>
      </c>
      <c r="B163" t="s">
        <v>340</v>
      </c>
      <c r="C163">
        <v>1395</v>
      </c>
      <c r="D163" t="s">
        <v>76</v>
      </c>
      <c r="E163" s="1">
        <v>45389</v>
      </c>
      <c r="F163" s="6">
        <v>1</v>
      </c>
      <c r="G163" t="s">
        <v>32</v>
      </c>
      <c r="H163" t="s">
        <v>81</v>
      </c>
      <c r="I163" t="s">
        <v>1578</v>
      </c>
      <c r="J163" t="s">
        <v>1361</v>
      </c>
      <c r="K163">
        <v>870</v>
      </c>
      <c r="L163">
        <v>1200</v>
      </c>
      <c r="M163">
        <f>Customers_Table[[#This Row],[Quantity Ordered]]*Customers_Table[[#This Row],[Sales Price (Per unit)]]</f>
        <v>1200</v>
      </c>
      <c r="N163" t="s">
        <v>1579</v>
      </c>
    </row>
    <row r="164" spans="1:14" x14ac:dyDescent="0.2">
      <c r="A164" t="s">
        <v>341</v>
      </c>
      <c r="B164" t="s">
        <v>116</v>
      </c>
      <c r="C164">
        <v>1396</v>
      </c>
      <c r="D164" t="s">
        <v>37</v>
      </c>
      <c r="E164" s="1">
        <v>45403</v>
      </c>
      <c r="F164" s="6">
        <v>2</v>
      </c>
      <c r="G164" t="s">
        <v>32</v>
      </c>
      <c r="H164" t="s">
        <v>33</v>
      </c>
      <c r="I164" t="s">
        <v>1580</v>
      </c>
      <c r="J164" t="s">
        <v>1259</v>
      </c>
      <c r="K164">
        <v>6160</v>
      </c>
      <c r="L164">
        <v>800</v>
      </c>
      <c r="M164">
        <f>Customers_Table[[#This Row],[Quantity Ordered]]*Customers_Table[[#This Row],[Sales Price (Per unit)]]</f>
        <v>1600</v>
      </c>
      <c r="N164" t="s">
        <v>1581</v>
      </c>
    </row>
    <row r="165" spans="1:14" x14ac:dyDescent="0.2">
      <c r="A165" t="s">
        <v>342</v>
      </c>
      <c r="B165" t="s">
        <v>343</v>
      </c>
      <c r="C165">
        <v>1397</v>
      </c>
      <c r="D165" t="s">
        <v>76</v>
      </c>
      <c r="E165" s="1">
        <v>45338</v>
      </c>
      <c r="F165" s="6">
        <v>1</v>
      </c>
      <c r="G165" s="1" t="s">
        <v>52</v>
      </c>
      <c r="H165" t="s">
        <v>81</v>
      </c>
      <c r="I165" t="s">
        <v>1582</v>
      </c>
      <c r="J165" t="s">
        <v>1280</v>
      </c>
      <c r="K165">
        <v>800</v>
      </c>
      <c r="L165">
        <v>1200</v>
      </c>
      <c r="M165">
        <f>Customers_Table[[#This Row],[Quantity Ordered]]*Customers_Table[[#This Row],[Sales Price (Per unit)]]</f>
        <v>1200</v>
      </c>
      <c r="N165" t="s">
        <v>1583</v>
      </c>
    </row>
    <row r="166" spans="1:14" x14ac:dyDescent="0.2">
      <c r="A166" t="s">
        <v>344</v>
      </c>
      <c r="B166" t="s">
        <v>250</v>
      </c>
      <c r="C166">
        <v>1398</v>
      </c>
      <c r="D166" t="s">
        <v>92</v>
      </c>
      <c r="E166" s="1">
        <v>45552</v>
      </c>
      <c r="F166" s="6">
        <v>1</v>
      </c>
      <c r="G166" s="1" t="s">
        <v>52</v>
      </c>
      <c r="H166" t="s">
        <v>53</v>
      </c>
      <c r="I166" t="s">
        <v>1584</v>
      </c>
      <c r="J166" t="s">
        <v>1305</v>
      </c>
      <c r="K166">
        <v>4000</v>
      </c>
      <c r="L166">
        <v>600</v>
      </c>
      <c r="M166">
        <f>Customers_Table[[#This Row],[Quantity Ordered]]*Customers_Table[[#This Row],[Sales Price (Per unit)]]</f>
        <v>600</v>
      </c>
      <c r="N166" t="s">
        <v>1585</v>
      </c>
    </row>
    <row r="167" spans="1:14" x14ac:dyDescent="0.2">
      <c r="A167" t="s">
        <v>345</v>
      </c>
      <c r="B167" t="s">
        <v>346</v>
      </c>
      <c r="C167">
        <v>1399</v>
      </c>
      <c r="D167" t="s">
        <v>31</v>
      </c>
      <c r="E167" s="1">
        <v>45462</v>
      </c>
      <c r="F167" s="6">
        <v>2</v>
      </c>
      <c r="G167" t="s">
        <v>32</v>
      </c>
      <c r="H167" t="s">
        <v>33</v>
      </c>
      <c r="I167" t="s">
        <v>1586</v>
      </c>
      <c r="J167" t="s">
        <v>1238</v>
      </c>
      <c r="K167">
        <v>6725</v>
      </c>
      <c r="L167">
        <v>250</v>
      </c>
      <c r="M167">
        <f>Customers_Table[[#This Row],[Quantity Ordered]]*Customers_Table[[#This Row],[Sales Price (Per unit)]]</f>
        <v>500</v>
      </c>
      <c r="N167" t="s">
        <v>1587</v>
      </c>
    </row>
    <row r="168" spans="1:14" x14ac:dyDescent="0.2">
      <c r="A168" t="s">
        <v>347</v>
      </c>
      <c r="B168" t="s">
        <v>348</v>
      </c>
      <c r="C168">
        <v>1400</v>
      </c>
      <c r="D168" t="s">
        <v>31</v>
      </c>
      <c r="E168" s="1">
        <v>45298</v>
      </c>
      <c r="F168" s="6">
        <v>2</v>
      </c>
      <c r="G168" t="s">
        <v>71</v>
      </c>
      <c r="H168" t="s">
        <v>39</v>
      </c>
      <c r="I168" t="s">
        <v>1588</v>
      </c>
      <c r="J168" t="s">
        <v>1241</v>
      </c>
      <c r="K168">
        <v>2600</v>
      </c>
      <c r="L168">
        <v>250</v>
      </c>
      <c r="M168">
        <f>Customers_Table[[#This Row],[Quantity Ordered]]*Customers_Table[[#This Row],[Sales Price (Per unit)]]</f>
        <v>500</v>
      </c>
      <c r="N168" t="s">
        <v>1589</v>
      </c>
    </row>
    <row r="169" spans="1:14" x14ac:dyDescent="0.2">
      <c r="A169" t="s">
        <v>349</v>
      </c>
      <c r="B169" t="s">
        <v>350</v>
      </c>
      <c r="C169">
        <v>1401</v>
      </c>
      <c r="D169" t="s">
        <v>76</v>
      </c>
      <c r="E169" s="1">
        <v>45571</v>
      </c>
      <c r="F169" s="6">
        <v>1</v>
      </c>
      <c r="G169" t="s">
        <v>32</v>
      </c>
      <c r="H169" t="s">
        <v>81</v>
      </c>
      <c r="I169" t="s">
        <v>1590</v>
      </c>
      <c r="J169" t="s">
        <v>1361</v>
      </c>
      <c r="K169">
        <v>870</v>
      </c>
      <c r="L169">
        <v>1200</v>
      </c>
      <c r="M169">
        <f>Customers_Table[[#This Row],[Quantity Ordered]]*Customers_Table[[#This Row],[Sales Price (Per unit)]]</f>
        <v>1200</v>
      </c>
      <c r="N169" t="s">
        <v>1591</v>
      </c>
    </row>
    <row r="170" spans="1:14" x14ac:dyDescent="0.2">
      <c r="A170" t="s">
        <v>351</v>
      </c>
      <c r="B170" t="s">
        <v>206</v>
      </c>
      <c r="C170">
        <v>1402</v>
      </c>
      <c r="D170" t="s">
        <v>92</v>
      </c>
      <c r="E170" s="1">
        <v>45639</v>
      </c>
      <c r="F170" s="6">
        <v>2</v>
      </c>
      <c r="G170" s="1" t="s">
        <v>52</v>
      </c>
      <c r="H170" t="s">
        <v>81</v>
      </c>
      <c r="I170" t="s">
        <v>1592</v>
      </c>
      <c r="J170" t="s">
        <v>1280</v>
      </c>
      <c r="K170">
        <v>800</v>
      </c>
      <c r="L170">
        <v>600</v>
      </c>
      <c r="M170">
        <f>Customers_Table[[#This Row],[Quantity Ordered]]*Customers_Table[[#This Row],[Sales Price (Per unit)]]</f>
        <v>1200</v>
      </c>
      <c r="N170" t="s">
        <v>1593</v>
      </c>
    </row>
    <row r="171" spans="1:14" x14ac:dyDescent="0.2">
      <c r="A171" t="s">
        <v>352</v>
      </c>
      <c r="B171" t="s">
        <v>353</v>
      </c>
      <c r="C171">
        <v>1403</v>
      </c>
      <c r="D171" t="s">
        <v>51</v>
      </c>
      <c r="E171" s="1">
        <v>45577</v>
      </c>
      <c r="F171" s="6">
        <v>1</v>
      </c>
      <c r="G171" s="1" t="s">
        <v>52</v>
      </c>
      <c r="H171" t="s">
        <v>81</v>
      </c>
      <c r="I171" t="s">
        <v>1594</v>
      </c>
      <c r="J171" t="s">
        <v>1361</v>
      </c>
      <c r="K171">
        <v>870</v>
      </c>
      <c r="L171">
        <v>250</v>
      </c>
      <c r="M171">
        <f>Customers_Table[[#This Row],[Quantity Ordered]]*Customers_Table[[#This Row],[Sales Price (Per unit)]]</f>
        <v>250</v>
      </c>
      <c r="N171" t="s">
        <v>1595</v>
      </c>
    </row>
    <row r="172" spans="1:14" x14ac:dyDescent="0.2">
      <c r="A172" t="s">
        <v>354</v>
      </c>
      <c r="B172" t="s">
        <v>183</v>
      </c>
      <c r="C172">
        <v>1404</v>
      </c>
      <c r="D172" t="s">
        <v>51</v>
      </c>
      <c r="E172" s="1">
        <v>45385</v>
      </c>
      <c r="F172" s="6">
        <v>3</v>
      </c>
      <c r="G172" s="1" t="s">
        <v>38</v>
      </c>
      <c r="H172" t="s">
        <v>47</v>
      </c>
      <c r="I172" t="s">
        <v>1596</v>
      </c>
      <c r="J172" t="s">
        <v>1256</v>
      </c>
      <c r="K172">
        <v>3220</v>
      </c>
      <c r="L172">
        <v>250</v>
      </c>
      <c r="M172">
        <f>Customers_Table[[#This Row],[Quantity Ordered]]*Customers_Table[[#This Row],[Sales Price (Per unit)]]</f>
        <v>750</v>
      </c>
      <c r="N172" t="s">
        <v>1597</v>
      </c>
    </row>
    <row r="173" spans="1:14" x14ac:dyDescent="0.2">
      <c r="A173" t="s">
        <v>355</v>
      </c>
      <c r="B173" t="s">
        <v>356</v>
      </c>
      <c r="C173">
        <v>1405</v>
      </c>
      <c r="D173" t="s">
        <v>37</v>
      </c>
      <c r="E173" s="1">
        <v>45372</v>
      </c>
      <c r="F173" s="6">
        <v>3</v>
      </c>
      <c r="G173" s="1" t="s">
        <v>38</v>
      </c>
      <c r="H173" t="s">
        <v>43</v>
      </c>
      <c r="I173" t="s">
        <v>1598</v>
      </c>
      <c r="J173" t="s">
        <v>865</v>
      </c>
      <c r="K173">
        <v>2000</v>
      </c>
      <c r="L173">
        <v>800</v>
      </c>
      <c r="M173">
        <f>Customers_Table[[#This Row],[Quantity Ordered]]*Customers_Table[[#This Row],[Sales Price (Per unit)]]</f>
        <v>2400</v>
      </c>
      <c r="N173" t="s">
        <v>1599</v>
      </c>
    </row>
    <row r="174" spans="1:14" x14ac:dyDescent="0.2">
      <c r="A174" t="s">
        <v>357</v>
      </c>
      <c r="B174" t="s">
        <v>358</v>
      </c>
      <c r="C174">
        <v>1406</v>
      </c>
      <c r="D174" t="s">
        <v>31</v>
      </c>
      <c r="E174" s="1">
        <v>45491</v>
      </c>
      <c r="F174" s="6">
        <v>3</v>
      </c>
      <c r="G174" t="s">
        <v>32</v>
      </c>
      <c r="H174" t="s">
        <v>43</v>
      </c>
      <c r="I174" t="s">
        <v>1600</v>
      </c>
      <c r="J174" t="s">
        <v>1299</v>
      </c>
      <c r="K174">
        <v>2500</v>
      </c>
      <c r="L174">
        <v>250</v>
      </c>
      <c r="M174">
        <f>Customers_Table[[#This Row],[Quantity Ordered]]*Customers_Table[[#This Row],[Sales Price (Per unit)]]</f>
        <v>750</v>
      </c>
      <c r="N174" t="s">
        <v>1601</v>
      </c>
    </row>
    <row r="175" spans="1:14" x14ac:dyDescent="0.2">
      <c r="A175" t="s">
        <v>359</v>
      </c>
      <c r="B175" t="s">
        <v>201</v>
      </c>
      <c r="C175">
        <v>1407</v>
      </c>
      <c r="D175" t="s">
        <v>42</v>
      </c>
      <c r="E175" s="1">
        <v>45607</v>
      </c>
      <c r="F175" s="6">
        <v>1</v>
      </c>
      <c r="G175" t="s">
        <v>71</v>
      </c>
      <c r="H175" t="s">
        <v>57</v>
      </c>
      <c r="I175" t="s">
        <v>1602</v>
      </c>
      <c r="J175" t="s">
        <v>1095</v>
      </c>
      <c r="K175">
        <v>5000</v>
      </c>
      <c r="L175">
        <v>300</v>
      </c>
      <c r="M175">
        <f>Customers_Table[[#This Row],[Quantity Ordered]]*Customers_Table[[#This Row],[Sales Price (Per unit)]]</f>
        <v>300</v>
      </c>
      <c r="N175" t="s">
        <v>1603</v>
      </c>
    </row>
    <row r="176" spans="1:14" x14ac:dyDescent="0.2">
      <c r="A176" t="s">
        <v>227</v>
      </c>
      <c r="B176" t="s">
        <v>360</v>
      </c>
      <c r="C176">
        <v>1408</v>
      </c>
      <c r="D176" t="s">
        <v>37</v>
      </c>
      <c r="E176" s="1">
        <v>45598</v>
      </c>
      <c r="F176" s="6">
        <v>1</v>
      </c>
      <c r="G176" t="s">
        <v>71</v>
      </c>
      <c r="H176" t="s">
        <v>43</v>
      </c>
      <c r="I176" t="s">
        <v>1604</v>
      </c>
      <c r="J176" t="s">
        <v>1244</v>
      </c>
      <c r="K176">
        <v>2300</v>
      </c>
      <c r="L176">
        <v>800</v>
      </c>
      <c r="M176">
        <f>Customers_Table[[#This Row],[Quantity Ordered]]*Customers_Table[[#This Row],[Sales Price (Per unit)]]</f>
        <v>800</v>
      </c>
      <c r="N176" t="s">
        <v>1605</v>
      </c>
    </row>
    <row r="177" spans="1:14" x14ac:dyDescent="0.2">
      <c r="A177" t="s">
        <v>361</v>
      </c>
      <c r="B177" t="s">
        <v>75</v>
      </c>
      <c r="C177">
        <v>1409</v>
      </c>
      <c r="D177" t="s">
        <v>37</v>
      </c>
      <c r="E177" s="1">
        <v>45324</v>
      </c>
      <c r="F177" s="6">
        <v>2</v>
      </c>
      <c r="G177" s="1" t="s">
        <v>52</v>
      </c>
      <c r="H177" t="s">
        <v>47</v>
      </c>
      <c r="I177" t="s">
        <v>1606</v>
      </c>
      <c r="J177" t="s">
        <v>1247</v>
      </c>
      <c r="K177">
        <v>3350</v>
      </c>
      <c r="L177">
        <v>800</v>
      </c>
      <c r="M177">
        <f>Customers_Table[[#This Row],[Quantity Ordered]]*Customers_Table[[#This Row],[Sales Price (Per unit)]]</f>
        <v>1600</v>
      </c>
      <c r="N177" t="s">
        <v>1607</v>
      </c>
    </row>
    <row r="178" spans="1:14" x14ac:dyDescent="0.2">
      <c r="A178" t="s">
        <v>362</v>
      </c>
      <c r="B178" t="s">
        <v>363</v>
      </c>
      <c r="C178">
        <v>1410</v>
      </c>
      <c r="D178" t="s">
        <v>37</v>
      </c>
      <c r="E178" s="1">
        <v>45386</v>
      </c>
      <c r="F178" s="6">
        <v>3</v>
      </c>
      <c r="G178" t="s">
        <v>32</v>
      </c>
      <c r="H178" t="s">
        <v>39</v>
      </c>
      <c r="I178" t="s">
        <v>1608</v>
      </c>
      <c r="J178" t="s">
        <v>1241</v>
      </c>
      <c r="K178">
        <v>2600</v>
      </c>
      <c r="L178">
        <v>800</v>
      </c>
      <c r="M178">
        <f>Customers_Table[[#This Row],[Quantity Ordered]]*Customers_Table[[#This Row],[Sales Price (Per unit)]]</f>
        <v>2400</v>
      </c>
      <c r="N178" t="s">
        <v>1609</v>
      </c>
    </row>
    <row r="179" spans="1:14" x14ac:dyDescent="0.2">
      <c r="A179" t="s">
        <v>364</v>
      </c>
      <c r="B179" t="s">
        <v>365</v>
      </c>
      <c r="C179">
        <v>1411</v>
      </c>
      <c r="D179" t="s">
        <v>51</v>
      </c>
      <c r="E179" s="1">
        <v>45637</v>
      </c>
      <c r="F179" s="6">
        <v>2</v>
      </c>
      <c r="G179" s="1" t="s">
        <v>38</v>
      </c>
      <c r="H179" t="s">
        <v>57</v>
      </c>
      <c r="I179" t="s">
        <v>1610</v>
      </c>
      <c r="J179" t="s">
        <v>1095</v>
      </c>
      <c r="K179">
        <v>5000</v>
      </c>
      <c r="L179">
        <v>250</v>
      </c>
      <c r="M179">
        <f>Customers_Table[[#This Row],[Quantity Ordered]]*Customers_Table[[#This Row],[Sales Price (Per unit)]]</f>
        <v>500</v>
      </c>
      <c r="N179" t="s">
        <v>1611</v>
      </c>
    </row>
    <row r="180" spans="1:14" x14ac:dyDescent="0.2">
      <c r="A180" t="s">
        <v>288</v>
      </c>
      <c r="B180" t="s">
        <v>366</v>
      </c>
      <c r="C180">
        <v>1412</v>
      </c>
      <c r="D180" t="s">
        <v>51</v>
      </c>
      <c r="E180" s="1">
        <v>45607</v>
      </c>
      <c r="F180" s="6">
        <v>3</v>
      </c>
      <c r="G180" s="1" t="s">
        <v>52</v>
      </c>
      <c r="H180" t="s">
        <v>33</v>
      </c>
      <c r="I180" t="s">
        <v>1612</v>
      </c>
      <c r="J180" t="s">
        <v>1238</v>
      </c>
      <c r="K180">
        <v>6725</v>
      </c>
      <c r="L180">
        <v>250</v>
      </c>
      <c r="M180">
        <f>Customers_Table[[#This Row],[Quantity Ordered]]*Customers_Table[[#This Row],[Sales Price (Per unit)]]</f>
        <v>750</v>
      </c>
      <c r="N180" t="s">
        <v>1613</v>
      </c>
    </row>
    <row r="181" spans="1:14" x14ac:dyDescent="0.2">
      <c r="A181" t="s">
        <v>367</v>
      </c>
      <c r="B181" t="s">
        <v>368</v>
      </c>
      <c r="C181">
        <v>1413</v>
      </c>
      <c r="D181" t="s">
        <v>42</v>
      </c>
      <c r="E181" s="1">
        <v>45599</v>
      </c>
      <c r="F181" s="6">
        <v>3</v>
      </c>
      <c r="G181" t="s">
        <v>32</v>
      </c>
      <c r="H181" t="s">
        <v>57</v>
      </c>
      <c r="I181" t="s">
        <v>1614</v>
      </c>
      <c r="J181" t="s">
        <v>1095</v>
      </c>
      <c r="K181">
        <v>5000</v>
      </c>
      <c r="L181">
        <v>300</v>
      </c>
      <c r="M181">
        <f>Customers_Table[[#This Row],[Quantity Ordered]]*Customers_Table[[#This Row],[Sales Price (Per unit)]]</f>
        <v>900</v>
      </c>
      <c r="N181" t="s">
        <v>1615</v>
      </c>
    </row>
    <row r="182" spans="1:14" x14ac:dyDescent="0.2">
      <c r="A182" t="s">
        <v>369</v>
      </c>
      <c r="B182" t="s">
        <v>370</v>
      </c>
      <c r="C182">
        <v>1414</v>
      </c>
      <c r="D182" t="s">
        <v>37</v>
      </c>
      <c r="E182" s="1">
        <v>45355</v>
      </c>
      <c r="F182" s="6">
        <v>2</v>
      </c>
      <c r="G182" t="s">
        <v>32</v>
      </c>
      <c r="H182" t="s">
        <v>57</v>
      </c>
      <c r="I182" t="s">
        <v>1616</v>
      </c>
      <c r="J182" t="s">
        <v>1350</v>
      </c>
      <c r="K182">
        <v>5600</v>
      </c>
      <c r="L182">
        <v>800</v>
      </c>
      <c r="M182">
        <f>Customers_Table[[#This Row],[Quantity Ordered]]*Customers_Table[[#This Row],[Sales Price (Per unit)]]</f>
        <v>1600</v>
      </c>
      <c r="N182" t="s">
        <v>1617</v>
      </c>
    </row>
    <row r="183" spans="1:14" x14ac:dyDescent="0.2">
      <c r="A183" t="s">
        <v>371</v>
      </c>
      <c r="B183" t="s">
        <v>372</v>
      </c>
      <c r="C183">
        <v>1415</v>
      </c>
      <c r="D183" t="s">
        <v>31</v>
      </c>
      <c r="E183" s="1">
        <v>45391</v>
      </c>
      <c r="F183" s="6">
        <v>2</v>
      </c>
      <c r="G183" t="s">
        <v>32</v>
      </c>
      <c r="H183" t="s">
        <v>53</v>
      </c>
      <c r="I183" t="s">
        <v>1618</v>
      </c>
      <c r="J183" t="s">
        <v>1268</v>
      </c>
      <c r="K183">
        <v>4870</v>
      </c>
      <c r="L183">
        <v>250</v>
      </c>
      <c r="M183">
        <f>Customers_Table[[#This Row],[Quantity Ordered]]*Customers_Table[[#This Row],[Sales Price (Per unit)]]</f>
        <v>500</v>
      </c>
      <c r="N183" t="s">
        <v>1619</v>
      </c>
    </row>
    <row r="184" spans="1:14" x14ac:dyDescent="0.2">
      <c r="A184" t="s">
        <v>373</v>
      </c>
      <c r="B184" t="s">
        <v>374</v>
      </c>
      <c r="C184">
        <v>1416</v>
      </c>
      <c r="D184" t="s">
        <v>76</v>
      </c>
      <c r="E184" s="1">
        <v>45476</v>
      </c>
      <c r="F184" s="6">
        <v>1</v>
      </c>
      <c r="G184" s="1" t="s">
        <v>52</v>
      </c>
      <c r="H184" t="s">
        <v>57</v>
      </c>
      <c r="I184" t="s">
        <v>1620</v>
      </c>
      <c r="J184" t="s">
        <v>1350</v>
      </c>
      <c r="K184">
        <v>5600</v>
      </c>
      <c r="L184">
        <v>1200</v>
      </c>
      <c r="M184">
        <f>Customers_Table[[#This Row],[Quantity Ordered]]*Customers_Table[[#This Row],[Sales Price (Per unit)]]</f>
        <v>1200</v>
      </c>
      <c r="N184" t="s">
        <v>1621</v>
      </c>
    </row>
    <row r="185" spans="1:14" x14ac:dyDescent="0.2">
      <c r="A185" t="s">
        <v>375</v>
      </c>
      <c r="B185" t="s">
        <v>376</v>
      </c>
      <c r="C185">
        <v>1417</v>
      </c>
      <c r="D185" t="s">
        <v>31</v>
      </c>
      <c r="E185" s="1">
        <v>45363</v>
      </c>
      <c r="F185" s="6">
        <v>2</v>
      </c>
      <c r="G185" t="s">
        <v>32</v>
      </c>
      <c r="H185" t="s">
        <v>53</v>
      </c>
      <c r="I185" t="s">
        <v>1622</v>
      </c>
      <c r="J185" t="s">
        <v>1268</v>
      </c>
      <c r="K185">
        <v>4870</v>
      </c>
      <c r="L185">
        <v>250</v>
      </c>
      <c r="M185">
        <f>Customers_Table[[#This Row],[Quantity Ordered]]*Customers_Table[[#This Row],[Sales Price (Per unit)]]</f>
        <v>500</v>
      </c>
      <c r="N185" t="s">
        <v>1623</v>
      </c>
    </row>
    <row r="186" spans="1:14" x14ac:dyDescent="0.2">
      <c r="A186" t="s">
        <v>377</v>
      </c>
      <c r="B186" t="s">
        <v>378</v>
      </c>
      <c r="C186">
        <v>1418</v>
      </c>
      <c r="D186" t="s">
        <v>31</v>
      </c>
      <c r="E186" s="1">
        <v>45337</v>
      </c>
      <c r="F186" s="6">
        <v>3</v>
      </c>
      <c r="G186" t="s">
        <v>32</v>
      </c>
      <c r="H186" t="s">
        <v>47</v>
      </c>
      <c r="I186" t="s">
        <v>1624</v>
      </c>
      <c r="J186" t="s">
        <v>1256</v>
      </c>
      <c r="K186">
        <v>3220</v>
      </c>
      <c r="L186">
        <v>250</v>
      </c>
      <c r="M186">
        <f>Customers_Table[[#This Row],[Quantity Ordered]]*Customers_Table[[#This Row],[Sales Price (Per unit)]]</f>
        <v>750</v>
      </c>
      <c r="N186" t="s">
        <v>1625</v>
      </c>
    </row>
    <row r="187" spans="1:14" x14ac:dyDescent="0.2">
      <c r="A187" t="s">
        <v>379</v>
      </c>
      <c r="B187" t="s">
        <v>380</v>
      </c>
      <c r="C187">
        <v>1419</v>
      </c>
      <c r="D187" t="s">
        <v>76</v>
      </c>
      <c r="E187" s="1">
        <v>45500</v>
      </c>
      <c r="F187" s="6">
        <v>1</v>
      </c>
      <c r="G187" s="1" t="s">
        <v>52</v>
      </c>
      <c r="H187" t="s">
        <v>64</v>
      </c>
      <c r="I187" t="s">
        <v>1626</v>
      </c>
      <c r="J187" t="s">
        <v>1262</v>
      </c>
      <c r="K187">
        <v>7250</v>
      </c>
      <c r="L187">
        <v>1200</v>
      </c>
      <c r="M187">
        <f>Customers_Table[[#This Row],[Quantity Ordered]]*Customers_Table[[#This Row],[Sales Price (Per unit)]]</f>
        <v>1200</v>
      </c>
      <c r="N187" t="s">
        <v>1627</v>
      </c>
    </row>
    <row r="188" spans="1:14" x14ac:dyDescent="0.2">
      <c r="A188" t="s">
        <v>381</v>
      </c>
      <c r="B188" t="s">
        <v>382</v>
      </c>
      <c r="C188">
        <v>1420</v>
      </c>
      <c r="D188" t="s">
        <v>42</v>
      </c>
      <c r="E188" s="1">
        <v>45639</v>
      </c>
      <c r="F188" s="6">
        <v>3</v>
      </c>
      <c r="G188" s="1" t="s">
        <v>52</v>
      </c>
      <c r="H188" t="s">
        <v>53</v>
      </c>
      <c r="I188" t="s">
        <v>1628</v>
      </c>
      <c r="J188" t="s">
        <v>1305</v>
      </c>
      <c r="K188">
        <v>4000</v>
      </c>
      <c r="L188">
        <v>300</v>
      </c>
      <c r="M188">
        <f>Customers_Table[[#This Row],[Quantity Ordered]]*Customers_Table[[#This Row],[Sales Price (Per unit)]]</f>
        <v>900</v>
      </c>
      <c r="N188" t="s">
        <v>1629</v>
      </c>
    </row>
    <row r="189" spans="1:14" x14ac:dyDescent="0.2">
      <c r="A189" t="s">
        <v>383</v>
      </c>
      <c r="B189" t="s">
        <v>384</v>
      </c>
      <c r="C189">
        <v>1421</v>
      </c>
      <c r="D189" t="s">
        <v>76</v>
      </c>
      <c r="E189" s="1">
        <v>45644</v>
      </c>
      <c r="F189" s="6">
        <v>3</v>
      </c>
      <c r="G189" s="1" t="s">
        <v>38</v>
      </c>
      <c r="H189" t="s">
        <v>57</v>
      </c>
      <c r="I189" t="s">
        <v>1630</v>
      </c>
      <c r="J189" t="s">
        <v>1350</v>
      </c>
      <c r="K189">
        <v>5600</v>
      </c>
      <c r="L189">
        <v>1200</v>
      </c>
      <c r="M189">
        <f>Customers_Table[[#This Row],[Quantity Ordered]]*Customers_Table[[#This Row],[Sales Price (Per unit)]]</f>
        <v>3600</v>
      </c>
      <c r="N189" t="s">
        <v>1631</v>
      </c>
    </row>
    <row r="190" spans="1:14" x14ac:dyDescent="0.2">
      <c r="A190" t="s">
        <v>385</v>
      </c>
      <c r="B190" t="s">
        <v>376</v>
      </c>
      <c r="C190">
        <v>1422</v>
      </c>
      <c r="D190" t="s">
        <v>51</v>
      </c>
      <c r="E190" s="1">
        <v>45498</v>
      </c>
      <c r="F190" s="6">
        <v>1</v>
      </c>
      <c r="G190" t="s">
        <v>71</v>
      </c>
      <c r="H190" t="s">
        <v>81</v>
      </c>
      <c r="I190" t="s">
        <v>1632</v>
      </c>
      <c r="J190" t="s">
        <v>1280</v>
      </c>
      <c r="K190">
        <v>800</v>
      </c>
      <c r="L190">
        <v>250</v>
      </c>
      <c r="M190">
        <f>Customers_Table[[#This Row],[Quantity Ordered]]*Customers_Table[[#This Row],[Sales Price (Per unit)]]</f>
        <v>250</v>
      </c>
      <c r="N190" t="s">
        <v>1633</v>
      </c>
    </row>
    <row r="191" spans="1:14" x14ac:dyDescent="0.2">
      <c r="A191" t="s">
        <v>386</v>
      </c>
      <c r="B191" t="s">
        <v>387</v>
      </c>
      <c r="C191">
        <v>1423</v>
      </c>
      <c r="D191" t="s">
        <v>76</v>
      </c>
      <c r="E191" s="1">
        <v>45369</v>
      </c>
      <c r="F191" s="6">
        <v>1</v>
      </c>
      <c r="G191" s="1" t="s">
        <v>52</v>
      </c>
      <c r="H191" t="s">
        <v>39</v>
      </c>
      <c r="I191" t="s">
        <v>1634</v>
      </c>
      <c r="J191" t="s">
        <v>1241</v>
      </c>
      <c r="K191">
        <v>2600</v>
      </c>
      <c r="L191">
        <v>1200</v>
      </c>
      <c r="M191">
        <f>Customers_Table[[#This Row],[Quantity Ordered]]*Customers_Table[[#This Row],[Sales Price (Per unit)]]</f>
        <v>1200</v>
      </c>
      <c r="N191" t="s">
        <v>1635</v>
      </c>
    </row>
    <row r="192" spans="1:14" x14ac:dyDescent="0.2">
      <c r="A192" t="s">
        <v>388</v>
      </c>
      <c r="B192" t="s">
        <v>268</v>
      </c>
      <c r="C192">
        <v>1424</v>
      </c>
      <c r="D192" t="s">
        <v>37</v>
      </c>
      <c r="E192" s="1">
        <v>45321</v>
      </c>
      <c r="F192" s="6">
        <v>2</v>
      </c>
      <c r="G192" s="1" t="s">
        <v>38</v>
      </c>
      <c r="H192" t="s">
        <v>81</v>
      </c>
      <c r="I192" t="s">
        <v>1636</v>
      </c>
      <c r="J192" t="s">
        <v>1280</v>
      </c>
      <c r="K192">
        <v>800</v>
      </c>
      <c r="L192">
        <v>800</v>
      </c>
      <c r="M192">
        <f>Customers_Table[[#This Row],[Quantity Ordered]]*Customers_Table[[#This Row],[Sales Price (Per unit)]]</f>
        <v>1600</v>
      </c>
      <c r="N192" t="s">
        <v>1637</v>
      </c>
    </row>
    <row r="193" spans="1:14" x14ac:dyDescent="0.2">
      <c r="A193" t="s">
        <v>389</v>
      </c>
      <c r="B193" t="s">
        <v>390</v>
      </c>
      <c r="C193">
        <v>1425</v>
      </c>
      <c r="D193" t="s">
        <v>37</v>
      </c>
      <c r="E193" s="1">
        <v>45400</v>
      </c>
      <c r="F193" s="6">
        <v>2</v>
      </c>
      <c r="G193" s="1" t="s">
        <v>52</v>
      </c>
      <c r="H193" t="s">
        <v>47</v>
      </c>
      <c r="I193" t="s">
        <v>1638</v>
      </c>
      <c r="J193" t="s">
        <v>1247</v>
      </c>
      <c r="K193">
        <v>3350</v>
      </c>
      <c r="L193">
        <v>800</v>
      </c>
      <c r="M193">
        <f>Customers_Table[[#This Row],[Quantity Ordered]]*Customers_Table[[#This Row],[Sales Price (Per unit)]]</f>
        <v>1600</v>
      </c>
      <c r="N193" t="s">
        <v>1639</v>
      </c>
    </row>
    <row r="194" spans="1:14" x14ac:dyDescent="0.2">
      <c r="A194" t="s">
        <v>117</v>
      </c>
      <c r="B194" t="s">
        <v>391</v>
      </c>
      <c r="C194">
        <v>1426</v>
      </c>
      <c r="D194" t="s">
        <v>92</v>
      </c>
      <c r="E194" s="1">
        <v>45374</v>
      </c>
      <c r="F194" s="6">
        <v>3</v>
      </c>
      <c r="G194" t="s">
        <v>32</v>
      </c>
      <c r="H194" t="s">
        <v>53</v>
      </c>
      <c r="I194" t="s">
        <v>1640</v>
      </c>
      <c r="J194" t="s">
        <v>1305</v>
      </c>
      <c r="K194">
        <v>4000</v>
      </c>
      <c r="L194">
        <v>600</v>
      </c>
      <c r="M194">
        <f>Customers_Table[[#This Row],[Quantity Ordered]]*Customers_Table[[#This Row],[Sales Price (Per unit)]]</f>
        <v>1800</v>
      </c>
      <c r="N194" t="s">
        <v>1641</v>
      </c>
    </row>
    <row r="195" spans="1:14" x14ac:dyDescent="0.2">
      <c r="A195" t="s">
        <v>347</v>
      </c>
      <c r="B195" t="s">
        <v>392</v>
      </c>
      <c r="C195">
        <v>1427</v>
      </c>
      <c r="D195" t="s">
        <v>51</v>
      </c>
      <c r="E195" s="1">
        <v>45340</v>
      </c>
      <c r="F195" s="6">
        <v>3</v>
      </c>
      <c r="G195" s="1" t="s">
        <v>52</v>
      </c>
      <c r="H195" t="s">
        <v>47</v>
      </c>
      <c r="I195" t="s">
        <v>1642</v>
      </c>
      <c r="J195" t="s">
        <v>1275</v>
      </c>
      <c r="K195">
        <v>3000</v>
      </c>
      <c r="L195">
        <v>250</v>
      </c>
      <c r="M195">
        <f>Customers_Table[[#This Row],[Quantity Ordered]]*Customers_Table[[#This Row],[Sales Price (Per unit)]]</f>
        <v>750</v>
      </c>
      <c r="N195" t="s">
        <v>1643</v>
      </c>
    </row>
    <row r="196" spans="1:14" x14ac:dyDescent="0.2">
      <c r="A196" t="s">
        <v>393</v>
      </c>
      <c r="B196" t="s">
        <v>394</v>
      </c>
      <c r="C196">
        <v>1428</v>
      </c>
      <c r="D196" t="s">
        <v>31</v>
      </c>
      <c r="E196" s="1">
        <v>45427</v>
      </c>
      <c r="F196" s="6">
        <v>3</v>
      </c>
      <c r="G196" t="s">
        <v>32</v>
      </c>
      <c r="H196" t="s">
        <v>33</v>
      </c>
      <c r="I196" t="s">
        <v>1644</v>
      </c>
      <c r="J196" t="s">
        <v>1259</v>
      </c>
      <c r="K196">
        <v>6160</v>
      </c>
      <c r="L196">
        <v>250</v>
      </c>
      <c r="M196">
        <f>Customers_Table[[#This Row],[Quantity Ordered]]*Customers_Table[[#This Row],[Sales Price (Per unit)]]</f>
        <v>750</v>
      </c>
      <c r="N196" t="s">
        <v>1645</v>
      </c>
    </row>
    <row r="197" spans="1:14" x14ac:dyDescent="0.2">
      <c r="A197" t="s">
        <v>90</v>
      </c>
      <c r="B197" t="s">
        <v>395</v>
      </c>
      <c r="C197">
        <v>1429</v>
      </c>
      <c r="D197" t="s">
        <v>76</v>
      </c>
      <c r="E197" s="1">
        <v>45545</v>
      </c>
      <c r="F197" s="6">
        <v>3</v>
      </c>
      <c r="G197" t="s">
        <v>32</v>
      </c>
      <c r="H197" t="s">
        <v>57</v>
      </c>
      <c r="I197" t="s">
        <v>1646</v>
      </c>
      <c r="J197" t="s">
        <v>1253</v>
      </c>
      <c r="K197">
        <v>5290</v>
      </c>
      <c r="L197">
        <v>1200</v>
      </c>
      <c r="M197">
        <f>Customers_Table[[#This Row],[Quantity Ordered]]*Customers_Table[[#This Row],[Sales Price (Per unit)]]</f>
        <v>3600</v>
      </c>
      <c r="N197" t="s">
        <v>1647</v>
      </c>
    </row>
    <row r="198" spans="1:14" x14ac:dyDescent="0.2">
      <c r="A198" t="s">
        <v>396</v>
      </c>
      <c r="B198" t="s">
        <v>397</v>
      </c>
      <c r="C198">
        <v>1430</v>
      </c>
      <c r="D198" t="s">
        <v>76</v>
      </c>
      <c r="E198" s="1">
        <v>45462</v>
      </c>
      <c r="F198" s="6">
        <v>3</v>
      </c>
      <c r="G198" t="s">
        <v>32</v>
      </c>
      <c r="H198" t="s">
        <v>43</v>
      </c>
      <c r="I198" t="s">
        <v>1648</v>
      </c>
      <c r="J198" t="s">
        <v>865</v>
      </c>
      <c r="K198">
        <v>2000</v>
      </c>
      <c r="L198">
        <v>1200</v>
      </c>
      <c r="M198">
        <f>Customers_Table[[#This Row],[Quantity Ordered]]*Customers_Table[[#This Row],[Sales Price (Per unit)]]</f>
        <v>3600</v>
      </c>
      <c r="N198" t="s">
        <v>1649</v>
      </c>
    </row>
    <row r="199" spans="1:14" x14ac:dyDescent="0.2">
      <c r="A199" t="s">
        <v>398</v>
      </c>
      <c r="B199" t="s">
        <v>399</v>
      </c>
      <c r="C199">
        <v>1431</v>
      </c>
      <c r="D199" t="s">
        <v>76</v>
      </c>
      <c r="E199" s="1">
        <v>45589</v>
      </c>
      <c r="F199" s="6">
        <v>1</v>
      </c>
      <c r="G199" s="1" t="s">
        <v>52</v>
      </c>
      <c r="H199" t="s">
        <v>81</v>
      </c>
      <c r="I199" t="s">
        <v>1650</v>
      </c>
      <c r="J199" t="s">
        <v>1361</v>
      </c>
      <c r="K199">
        <v>870</v>
      </c>
      <c r="L199">
        <v>1200</v>
      </c>
      <c r="M199">
        <f>Customers_Table[[#This Row],[Quantity Ordered]]*Customers_Table[[#This Row],[Sales Price (Per unit)]]</f>
        <v>1200</v>
      </c>
      <c r="N199" t="s">
        <v>1651</v>
      </c>
    </row>
    <row r="200" spans="1:14" x14ac:dyDescent="0.2">
      <c r="A200" t="s">
        <v>311</v>
      </c>
      <c r="B200" t="s">
        <v>400</v>
      </c>
      <c r="C200">
        <v>1432</v>
      </c>
      <c r="D200" t="s">
        <v>76</v>
      </c>
      <c r="E200" s="1">
        <v>45462</v>
      </c>
      <c r="F200" s="6">
        <v>2</v>
      </c>
      <c r="G200" s="1" t="s">
        <v>52</v>
      </c>
      <c r="H200" t="s">
        <v>33</v>
      </c>
      <c r="I200" t="s">
        <v>1652</v>
      </c>
      <c r="J200" t="s">
        <v>1238</v>
      </c>
      <c r="K200">
        <v>6725</v>
      </c>
      <c r="L200">
        <v>1200</v>
      </c>
      <c r="M200">
        <f>Customers_Table[[#This Row],[Quantity Ordered]]*Customers_Table[[#This Row],[Sales Price (Per unit)]]</f>
        <v>2400</v>
      </c>
      <c r="N200" t="s">
        <v>1653</v>
      </c>
    </row>
    <row r="201" spans="1:14" x14ac:dyDescent="0.2">
      <c r="A201" t="s">
        <v>401</v>
      </c>
      <c r="B201" t="s">
        <v>402</v>
      </c>
      <c r="C201">
        <v>1433</v>
      </c>
      <c r="D201" t="s">
        <v>92</v>
      </c>
      <c r="E201" s="1">
        <v>45574</v>
      </c>
      <c r="F201" s="6">
        <v>3</v>
      </c>
      <c r="G201" s="1" t="s">
        <v>52</v>
      </c>
      <c r="H201" t="s">
        <v>43</v>
      </c>
      <c r="I201" t="s">
        <v>1654</v>
      </c>
      <c r="J201" t="s">
        <v>1299</v>
      </c>
      <c r="K201">
        <v>2500</v>
      </c>
      <c r="L201">
        <v>600</v>
      </c>
      <c r="M201">
        <f>Customers_Table[[#This Row],[Quantity Ordered]]*Customers_Table[[#This Row],[Sales Price (Per unit)]]</f>
        <v>1800</v>
      </c>
      <c r="N201" t="s">
        <v>1655</v>
      </c>
    </row>
    <row r="202" spans="1:14" x14ac:dyDescent="0.2">
      <c r="A202" t="s">
        <v>403</v>
      </c>
      <c r="B202" t="s">
        <v>109</v>
      </c>
      <c r="C202">
        <v>1434</v>
      </c>
      <c r="D202" t="s">
        <v>31</v>
      </c>
      <c r="E202" s="1">
        <v>45425</v>
      </c>
      <c r="F202" s="6">
        <v>2</v>
      </c>
      <c r="G202" t="s">
        <v>71</v>
      </c>
      <c r="H202" t="s">
        <v>47</v>
      </c>
      <c r="I202" t="s">
        <v>1656</v>
      </c>
      <c r="J202" t="s">
        <v>1275</v>
      </c>
      <c r="K202">
        <v>3000</v>
      </c>
      <c r="L202">
        <v>250</v>
      </c>
      <c r="M202">
        <f>Customers_Table[[#This Row],[Quantity Ordered]]*Customers_Table[[#This Row],[Sales Price (Per unit)]]</f>
        <v>500</v>
      </c>
      <c r="N202" t="s">
        <v>1657</v>
      </c>
    </row>
    <row r="203" spans="1:14" x14ac:dyDescent="0.2">
      <c r="A203" t="s">
        <v>404</v>
      </c>
      <c r="B203" t="s">
        <v>405</v>
      </c>
      <c r="C203">
        <v>1435</v>
      </c>
      <c r="D203" t="s">
        <v>42</v>
      </c>
      <c r="E203" s="1">
        <v>45363</v>
      </c>
      <c r="F203" s="6">
        <v>1</v>
      </c>
      <c r="G203" t="s">
        <v>32</v>
      </c>
      <c r="H203" t="s">
        <v>53</v>
      </c>
      <c r="I203" t="s">
        <v>1658</v>
      </c>
      <c r="J203" t="s">
        <v>1268</v>
      </c>
      <c r="K203">
        <v>4870</v>
      </c>
      <c r="L203">
        <v>300</v>
      </c>
      <c r="M203">
        <f>Customers_Table[[#This Row],[Quantity Ordered]]*Customers_Table[[#This Row],[Sales Price (Per unit)]]</f>
        <v>300</v>
      </c>
      <c r="N203" t="s">
        <v>1659</v>
      </c>
    </row>
    <row r="204" spans="1:14" x14ac:dyDescent="0.2">
      <c r="A204" t="s">
        <v>406</v>
      </c>
      <c r="B204" t="s">
        <v>280</v>
      </c>
      <c r="C204">
        <v>1436</v>
      </c>
      <c r="D204" t="s">
        <v>76</v>
      </c>
      <c r="E204" s="1">
        <v>45596</v>
      </c>
      <c r="F204" s="6">
        <v>2</v>
      </c>
      <c r="G204" s="1" t="s">
        <v>38</v>
      </c>
      <c r="H204" t="s">
        <v>39</v>
      </c>
      <c r="I204" t="s">
        <v>1660</v>
      </c>
      <c r="J204" t="s">
        <v>1241</v>
      </c>
      <c r="K204">
        <v>2600</v>
      </c>
      <c r="L204">
        <v>1200</v>
      </c>
      <c r="M204">
        <f>Customers_Table[[#This Row],[Quantity Ordered]]*Customers_Table[[#This Row],[Sales Price (Per unit)]]</f>
        <v>2400</v>
      </c>
      <c r="N204" t="s">
        <v>1661</v>
      </c>
    </row>
    <row r="205" spans="1:14" x14ac:dyDescent="0.2">
      <c r="A205" t="s">
        <v>407</v>
      </c>
      <c r="B205" t="s">
        <v>408</v>
      </c>
      <c r="C205">
        <v>1437</v>
      </c>
      <c r="D205" t="s">
        <v>51</v>
      </c>
      <c r="E205" s="1">
        <v>45344</v>
      </c>
      <c r="F205" s="6">
        <v>2</v>
      </c>
      <c r="G205" t="s">
        <v>32</v>
      </c>
      <c r="H205" t="s">
        <v>81</v>
      </c>
      <c r="I205" t="s">
        <v>1662</v>
      </c>
      <c r="J205" t="s">
        <v>1361</v>
      </c>
      <c r="K205">
        <v>870</v>
      </c>
      <c r="L205">
        <v>250</v>
      </c>
      <c r="M205">
        <f>Customers_Table[[#This Row],[Quantity Ordered]]*Customers_Table[[#This Row],[Sales Price (Per unit)]]</f>
        <v>500</v>
      </c>
      <c r="N205" t="s">
        <v>1663</v>
      </c>
    </row>
    <row r="206" spans="1:14" x14ac:dyDescent="0.2">
      <c r="A206" t="s">
        <v>409</v>
      </c>
      <c r="B206" t="s">
        <v>410</v>
      </c>
      <c r="C206">
        <v>1438</v>
      </c>
      <c r="D206" t="s">
        <v>31</v>
      </c>
      <c r="E206" s="1">
        <v>45575</v>
      </c>
      <c r="F206" s="6">
        <v>1</v>
      </c>
      <c r="G206" s="1" t="s">
        <v>52</v>
      </c>
      <c r="H206" t="s">
        <v>53</v>
      </c>
      <c r="I206" t="s">
        <v>1664</v>
      </c>
      <c r="J206" t="s">
        <v>1268</v>
      </c>
      <c r="K206">
        <v>4870</v>
      </c>
      <c r="L206">
        <v>250</v>
      </c>
      <c r="M206">
        <f>Customers_Table[[#This Row],[Quantity Ordered]]*Customers_Table[[#This Row],[Sales Price (Per unit)]]</f>
        <v>250</v>
      </c>
      <c r="N206" t="s">
        <v>1665</v>
      </c>
    </row>
    <row r="207" spans="1:14" x14ac:dyDescent="0.2">
      <c r="A207" t="s">
        <v>411</v>
      </c>
      <c r="B207" t="s">
        <v>348</v>
      </c>
      <c r="C207">
        <v>1439</v>
      </c>
      <c r="D207" t="s">
        <v>51</v>
      </c>
      <c r="E207" s="1">
        <v>45518</v>
      </c>
      <c r="F207" s="6">
        <v>2</v>
      </c>
      <c r="G207" t="s">
        <v>32</v>
      </c>
      <c r="H207" t="s">
        <v>64</v>
      </c>
      <c r="I207" t="s">
        <v>1666</v>
      </c>
      <c r="J207" t="s">
        <v>1265</v>
      </c>
      <c r="K207">
        <v>7000</v>
      </c>
      <c r="L207">
        <v>250</v>
      </c>
      <c r="M207">
        <f>Customers_Table[[#This Row],[Quantity Ordered]]*Customers_Table[[#This Row],[Sales Price (Per unit)]]</f>
        <v>500</v>
      </c>
      <c r="N207" t="s">
        <v>1667</v>
      </c>
    </row>
    <row r="208" spans="1:14" x14ac:dyDescent="0.2">
      <c r="A208" t="s">
        <v>412</v>
      </c>
      <c r="B208" t="s">
        <v>245</v>
      </c>
      <c r="C208">
        <v>1440</v>
      </c>
      <c r="D208" t="s">
        <v>76</v>
      </c>
      <c r="E208" s="1">
        <v>45535</v>
      </c>
      <c r="F208" s="6">
        <v>3</v>
      </c>
      <c r="G208" t="s">
        <v>71</v>
      </c>
      <c r="H208" t="s">
        <v>33</v>
      </c>
      <c r="I208" t="s">
        <v>1668</v>
      </c>
      <c r="J208" t="s">
        <v>1302</v>
      </c>
      <c r="K208">
        <v>6000</v>
      </c>
      <c r="L208">
        <v>1200</v>
      </c>
      <c r="M208">
        <f>Customers_Table[[#This Row],[Quantity Ordered]]*Customers_Table[[#This Row],[Sales Price (Per unit)]]</f>
        <v>3600</v>
      </c>
      <c r="N208" t="s">
        <v>1669</v>
      </c>
    </row>
    <row r="209" spans="1:14" x14ac:dyDescent="0.2">
      <c r="A209" t="s">
        <v>413</v>
      </c>
      <c r="B209" t="s">
        <v>414</v>
      </c>
      <c r="C209">
        <v>1441</v>
      </c>
      <c r="D209" t="s">
        <v>31</v>
      </c>
      <c r="E209" s="1">
        <v>45314</v>
      </c>
      <c r="F209" s="6">
        <v>2</v>
      </c>
      <c r="G209" s="1" t="s">
        <v>52</v>
      </c>
      <c r="H209" t="s">
        <v>53</v>
      </c>
      <c r="I209" t="s">
        <v>1670</v>
      </c>
      <c r="J209" t="s">
        <v>1268</v>
      </c>
      <c r="K209">
        <v>4870</v>
      </c>
      <c r="L209">
        <v>250</v>
      </c>
      <c r="M209">
        <f>Customers_Table[[#This Row],[Quantity Ordered]]*Customers_Table[[#This Row],[Sales Price (Per unit)]]</f>
        <v>500</v>
      </c>
      <c r="N209" t="s">
        <v>1671</v>
      </c>
    </row>
    <row r="210" spans="1:14" x14ac:dyDescent="0.2">
      <c r="A210" t="s">
        <v>415</v>
      </c>
      <c r="B210" t="s">
        <v>416</v>
      </c>
      <c r="C210">
        <v>1442</v>
      </c>
      <c r="D210" t="s">
        <v>37</v>
      </c>
      <c r="E210" s="1">
        <v>45357</v>
      </c>
      <c r="F210" s="6">
        <v>2</v>
      </c>
      <c r="G210" t="s">
        <v>32</v>
      </c>
      <c r="H210" t="s">
        <v>47</v>
      </c>
      <c r="I210" t="s">
        <v>1672</v>
      </c>
      <c r="J210" t="s">
        <v>1275</v>
      </c>
      <c r="K210">
        <v>3000</v>
      </c>
      <c r="L210">
        <v>800</v>
      </c>
      <c r="M210">
        <f>Customers_Table[[#This Row],[Quantity Ordered]]*Customers_Table[[#This Row],[Sales Price (Per unit)]]</f>
        <v>1600</v>
      </c>
      <c r="N210" t="s">
        <v>1673</v>
      </c>
    </row>
    <row r="211" spans="1:14" x14ac:dyDescent="0.2">
      <c r="A211" t="s">
        <v>417</v>
      </c>
      <c r="B211" t="s">
        <v>418</v>
      </c>
      <c r="C211">
        <v>1443</v>
      </c>
      <c r="D211" t="s">
        <v>76</v>
      </c>
      <c r="E211" s="1">
        <v>45356</v>
      </c>
      <c r="F211" s="6">
        <v>3</v>
      </c>
      <c r="G211" t="s">
        <v>32</v>
      </c>
      <c r="H211" t="s">
        <v>33</v>
      </c>
      <c r="I211" t="s">
        <v>1674</v>
      </c>
      <c r="J211" t="s">
        <v>1238</v>
      </c>
      <c r="K211">
        <v>6725</v>
      </c>
      <c r="L211">
        <v>1200</v>
      </c>
      <c r="M211">
        <f>Customers_Table[[#This Row],[Quantity Ordered]]*Customers_Table[[#This Row],[Sales Price (Per unit)]]</f>
        <v>3600</v>
      </c>
      <c r="N211" t="s">
        <v>1675</v>
      </c>
    </row>
    <row r="212" spans="1:14" x14ac:dyDescent="0.2">
      <c r="A212" t="s">
        <v>419</v>
      </c>
      <c r="B212" t="s">
        <v>210</v>
      </c>
      <c r="C212">
        <v>1444</v>
      </c>
      <c r="D212" t="s">
        <v>42</v>
      </c>
      <c r="E212" s="1">
        <v>45553</v>
      </c>
      <c r="F212" s="6">
        <v>2</v>
      </c>
      <c r="G212" t="s">
        <v>32</v>
      </c>
      <c r="H212" t="s">
        <v>33</v>
      </c>
      <c r="I212" t="s">
        <v>1676</v>
      </c>
      <c r="J212" t="s">
        <v>1238</v>
      </c>
      <c r="K212">
        <v>6725</v>
      </c>
      <c r="L212">
        <v>300</v>
      </c>
      <c r="M212">
        <f>Customers_Table[[#This Row],[Quantity Ordered]]*Customers_Table[[#This Row],[Sales Price (Per unit)]]</f>
        <v>600</v>
      </c>
      <c r="N212" t="s">
        <v>1677</v>
      </c>
    </row>
    <row r="213" spans="1:14" x14ac:dyDescent="0.2">
      <c r="A213" t="s">
        <v>420</v>
      </c>
      <c r="B213" t="s">
        <v>421</v>
      </c>
      <c r="C213">
        <v>1445</v>
      </c>
      <c r="D213" t="s">
        <v>92</v>
      </c>
      <c r="E213" s="1">
        <v>45540</v>
      </c>
      <c r="F213" s="6">
        <v>3</v>
      </c>
      <c r="G213" s="1" t="s">
        <v>52</v>
      </c>
      <c r="H213" t="s">
        <v>81</v>
      </c>
      <c r="I213" t="s">
        <v>1678</v>
      </c>
      <c r="J213" t="s">
        <v>1361</v>
      </c>
      <c r="K213">
        <v>870</v>
      </c>
      <c r="L213">
        <v>600</v>
      </c>
      <c r="M213">
        <f>Customers_Table[[#This Row],[Quantity Ordered]]*Customers_Table[[#This Row],[Sales Price (Per unit)]]</f>
        <v>1800</v>
      </c>
      <c r="N213" t="s">
        <v>1679</v>
      </c>
    </row>
    <row r="214" spans="1:14" x14ac:dyDescent="0.2">
      <c r="A214" t="s">
        <v>422</v>
      </c>
      <c r="B214" t="s">
        <v>423</v>
      </c>
      <c r="C214">
        <v>1446</v>
      </c>
      <c r="D214" t="s">
        <v>37</v>
      </c>
      <c r="E214" s="1">
        <v>45364</v>
      </c>
      <c r="F214" s="6">
        <v>1</v>
      </c>
      <c r="G214" t="s">
        <v>32</v>
      </c>
      <c r="H214" t="s">
        <v>57</v>
      </c>
      <c r="I214" t="s">
        <v>1680</v>
      </c>
      <c r="J214" t="s">
        <v>1095</v>
      </c>
      <c r="K214">
        <v>5000</v>
      </c>
      <c r="L214">
        <v>800</v>
      </c>
      <c r="M214">
        <f>Customers_Table[[#This Row],[Quantity Ordered]]*Customers_Table[[#This Row],[Sales Price (Per unit)]]</f>
        <v>800</v>
      </c>
      <c r="N214" t="s">
        <v>1681</v>
      </c>
    </row>
    <row r="215" spans="1:14" x14ac:dyDescent="0.2">
      <c r="A215" t="s">
        <v>424</v>
      </c>
      <c r="B215" t="s">
        <v>425</v>
      </c>
      <c r="C215">
        <v>1447</v>
      </c>
      <c r="D215" t="s">
        <v>51</v>
      </c>
      <c r="E215" s="1">
        <v>45520</v>
      </c>
      <c r="F215" s="6">
        <v>2</v>
      </c>
      <c r="G215" t="s">
        <v>32</v>
      </c>
      <c r="H215" t="s">
        <v>53</v>
      </c>
      <c r="I215" t="s">
        <v>1682</v>
      </c>
      <c r="J215" t="s">
        <v>1305</v>
      </c>
      <c r="K215">
        <v>4000</v>
      </c>
      <c r="L215">
        <v>250</v>
      </c>
      <c r="M215">
        <f>Customers_Table[[#This Row],[Quantity Ordered]]*Customers_Table[[#This Row],[Sales Price (Per unit)]]</f>
        <v>500</v>
      </c>
      <c r="N215" t="s">
        <v>1683</v>
      </c>
    </row>
    <row r="216" spans="1:14" x14ac:dyDescent="0.2">
      <c r="A216" t="s">
        <v>426</v>
      </c>
      <c r="B216" t="s">
        <v>427</v>
      </c>
      <c r="C216">
        <v>1448</v>
      </c>
      <c r="D216" t="s">
        <v>42</v>
      </c>
      <c r="E216" s="1">
        <v>45510</v>
      </c>
      <c r="F216" s="6">
        <v>2</v>
      </c>
      <c r="G216" s="1" t="s">
        <v>52</v>
      </c>
      <c r="H216" t="s">
        <v>47</v>
      </c>
      <c r="I216" t="s">
        <v>1684</v>
      </c>
      <c r="J216" t="s">
        <v>1247</v>
      </c>
      <c r="K216">
        <v>3350</v>
      </c>
      <c r="L216">
        <v>300</v>
      </c>
      <c r="M216">
        <f>Customers_Table[[#This Row],[Quantity Ordered]]*Customers_Table[[#This Row],[Sales Price (Per unit)]]</f>
        <v>600</v>
      </c>
      <c r="N216" t="s">
        <v>1685</v>
      </c>
    </row>
    <row r="217" spans="1:14" x14ac:dyDescent="0.2">
      <c r="A217" t="s">
        <v>428</v>
      </c>
      <c r="B217" t="s">
        <v>429</v>
      </c>
      <c r="C217">
        <v>1449</v>
      </c>
      <c r="D217" t="s">
        <v>76</v>
      </c>
      <c r="E217" s="1">
        <v>45560</v>
      </c>
      <c r="F217" s="6">
        <v>3</v>
      </c>
      <c r="G217" s="1" t="s">
        <v>52</v>
      </c>
      <c r="H217" t="s">
        <v>81</v>
      </c>
      <c r="I217" t="s">
        <v>1686</v>
      </c>
      <c r="J217" t="s">
        <v>1361</v>
      </c>
      <c r="K217">
        <v>870</v>
      </c>
      <c r="L217">
        <v>1200</v>
      </c>
      <c r="M217">
        <f>Customers_Table[[#This Row],[Quantity Ordered]]*Customers_Table[[#This Row],[Sales Price (Per unit)]]</f>
        <v>3600</v>
      </c>
      <c r="N217" t="s">
        <v>1687</v>
      </c>
    </row>
    <row r="218" spans="1:14" x14ac:dyDescent="0.2">
      <c r="A218" t="s">
        <v>430</v>
      </c>
      <c r="B218" t="s">
        <v>252</v>
      </c>
      <c r="C218">
        <v>1450</v>
      </c>
      <c r="D218" t="s">
        <v>76</v>
      </c>
      <c r="E218" s="1">
        <v>45611</v>
      </c>
      <c r="F218" s="6">
        <v>1</v>
      </c>
      <c r="G218" s="1" t="s">
        <v>38</v>
      </c>
      <c r="H218" t="s">
        <v>81</v>
      </c>
      <c r="I218" t="s">
        <v>1688</v>
      </c>
      <c r="J218" t="s">
        <v>1280</v>
      </c>
      <c r="K218">
        <v>800</v>
      </c>
      <c r="L218">
        <v>1200</v>
      </c>
      <c r="M218">
        <f>Customers_Table[[#This Row],[Quantity Ordered]]*Customers_Table[[#This Row],[Sales Price (Per unit)]]</f>
        <v>1200</v>
      </c>
      <c r="N218" t="s">
        <v>1689</v>
      </c>
    </row>
    <row r="219" spans="1:14" x14ac:dyDescent="0.2">
      <c r="A219" t="s">
        <v>334</v>
      </c>
      <c r="B219" t="s">
        <v>431</v>
      </c>
      <c r="C219">
        <v>1451</v>
      </c>
      <c r="D219" t="s">
        <v>76</v>
      </c>
      <c r="E219" s="1">
        <v>45554</v>
      </c>
      <c r="F219" s="6">
        <v>3</v>
      </c>
      <c r="G219" s="1" t="s">
        <v>52</v>
      </c>
      <c r="H219" t="s">
        <v>57</v>
      </c>
      <c r="I219" t="s">
        <v>1690</v>
      </c>
      <c r="J219" t="s">
        <v>1253</v>
      </c>
      <c r="K219">
        <v>5290</v>
      </c>
      <c r="L219">
        <v>1200</v>
      </c>
      <c r="M219">
        <f>Customers_Table[[#This Row],[Quantity Ordered]]*Customers_Table[[#This Row],[Sales Price (Per unit)]]</f>
        <v>3600</v>
      </c>
      <c r="N219" t="s">
        <v>1691</v>
      </c>
    </row>
    <row r="220" spans="1:14" x14ac:dyDescent="0.2">
      <c r="A220" t="s">
        <v>432</v>
      </c>
      <c r="B220" t="s">
        <v>433</v>
      </c>
      <c r="C220">
        <v>1452</v>
      </c>
      <c r="D220" t="s">
        <v>42</v>
      </c>
      <c r="E220" s="1">
        <v>45631</v>
      </c>
      <c r="F220" s="6">
        <v>2</v>
      </c>
      <c r="G220" t="s">
        <v>32</v>
      </c>
      <c r="H220" t="s">
        <v>47</v>
      </c>
      <c r="I220" t="s">
        <v>1692</v>
      </c>
      <c r="J220" t="s">
        <v>1247</v>
      </c>
      <c r="K220">
        <v>3350</v>
      </c>
      <c r="L220">
        <v>300</v>
      </c>
      <c r="M220">
        <f>Customers_Table[[#This Row],[Quantity Ordered]]*Customers_Table[[#This Row],[Sales Price (Per unit)]]</f>
        <v>600</v>
      </c>
      <c r="N220" t="s">
        <v>1693</v>
      </c>
    </row>
    <row r="221" spans="1:14" x14ac:dyDescent="0.2">
      <c r="A221" t="s">
        <v>434</v>
      </c>
      <c r="B221" t="s">
        <v>435</v>
      </c>
      <c r="C221">
        <v>1453</v>
      </c>
      <c r="D221" t="s">
        <v>76</v>
      </c>
      <c r="E221" s="1">
        <v>45410</v>
      </c>
      <c r="F221" s="6">
        <v>2</v>
      </c>
      <c r="G221" s="1" t="s">
        <v>52</v>
      </c>
      <c r="H221" t="s">
        <v>64</v>
      </c>
      <c r="I221" t="s">
        <v>1694</v>
      </c>
      <c r="J221" t="s">
        <v>1265</v>
      </c>
      <c r="K221">
        <v>7000</v>
      </c>
      <c r="L221">
        <v>1200</v>
      </c>
      <c r="M221">
        <f>Customers_Table[[#This Row],[Quantity Ordered]]*Customers_Table[[#This Row],[Sales Price (Per unit)]]</f>
        <v>2400</v>
      </c>
      <c r="N221" t="s">
        <v>1695</v>
      </c>
    </row>
    <row r="222" spans="1:14" x14ac:dyDescent="0.2">
      <c r="A222" t="s">
        <v>436</v>
      </c>
      <c r="B222" t="s">
        <v>437</v>
      </c>
      <c r="C222">
        <v>1454</v>
      </c>
      <c r="D222" t="s">
        <v>92</v>
      </c>
      <c r="E222" s="1">
        <v>45599</v>
      </c>
      <c r="F222" s="6">
        <v>1</v>
      </c>
      <c r="G222" s="1" t="s">
        <v>38</v>
      </c>
      <c r="H222" t="s">
        <v>57</v>
      </c>
      <c r="I222" t="s">
        <v>1696</v>
      </c>
      <c r="J222" t="s">
        <v>1350</v>
      </c>
      <c r="K222">
        <v>5600</v>
      </c>
      <c r="L222">
        <v>600</v>
      </c>
      <c r="M222">
        <f>Customers_Table[[#This Row],[Quantity Ordered]]*Customers_Table[[#This Row],[Sales Price (Per unit)]]</f>
        <v>600</v>
      </c>
      <c r="N222" t="s">
        <v>1697</v>
      </c>
    </row>
    <row r="223" spans="1:14" x14ac:dyDescent="0.2">
      <c r="A223" t="s">
        <v>105</v>
      </c>
      <c r="B223" t="s">
        <v>438</v>
      </c>
      <c r="C223">
        <v>1455</v>
      </c>
      <c r="D223" t="s">
        <v>51</v>
      </c>
      <c r="E223" s="1">
        <v>45524</v>
      </c>
      <c r="F223" s="6">
        <v>2</v>
      </c>
      <c r="G223" t="s">
        <v>32</v>
      </c>
      <c r="H223" t="s">
        <v>43</v>
      </c>
      <c r="I223" t="s">
        <v>1698</v>
      </c>
      <c r="J223" t="s">
        <v>865</v>
      </c>
      <c r="K223">
        <v>2000</v>
      </c>
      <c r="L223">
        <v>250</v>
      </c>
      <c r="M223">
        <f>Customers_Table[[#This Row],[Quantity Ordered]]*Customers_Table[[#This Row],[Sales Price (Per unit)]]</f>
        <v>500</v>
      </c>
      <c r="N223" t="s">
        <v>1699</v>
      </c>
    </row>
    <row r="224" spans="1:14" x14ac:dyDescent="0.2">
      <c r="A224" t="s">
        <v>439</v>
      </c>
      <c r="B224" t="s">
        <v>30</v>
      </c>
      <c r="C224">
        <v>1456</v>
      </c>
      <c r="D224" t="s">
        <v>51</v>
      </c>
      <c r="E224" s="1">
        <v>45333</v>
      </c>
      <c r="F224" s="6">
        <v>3</v>
      </c>
      <c r="G224" s="1" t="s">
        <v>38</v>
      </c>
      <c r="H224" t="s">
        <v>57</v>
      </c>
      <c r="I224" t="s">
        <v>1700</v>
      </c>
      <c r="J224" t="s">
        <v>1253</v>
      </c>
      <c r="K224">
        <v>5290</v>
      </c>
      <c r="L224">
        <v>250</v>
      </c>
      <c r="M224">
        <f>Customers_Table[[#This Row],[Quantity Ordered]]*Customers_Table[[#This Row],[Sales Price (Per unit)]]</f>
        <v>750</v>
      </c>
      <c r="N224" t="s">
        <v>1701</v>
      </c>
    </row>
    <row r="225" spans="1:14" x14ac:dyDescent="0.2">
      <c r="A225" t="s">
        <v>440</v>
      </c>
      <c r="B225" t="s">
        <v>441</v>
      </c>
      <c r="C225">
        <v>1457</v>
      </c>
      <c r="D225" t="s">
        <v>76</v>
      </c>
      <c r="E225" s="1">
        <v>45469</v>
      </c>
      <c r="F225" s="6">
        <v>1</v>
      </c>
      <c r="G225" s="1" t="s">
        <v>38</v>
      </c>
      <c r="H225" t="s">
        <v>53</v>
      </c>
      <c r="I225" t="s">
        <v>1702</v>
      </c>
      <c r="J225" t="s">
        <v>1305</v>
      </c>
      <c r="K225">
        <v>4000</v>
      </c>
      <c r="L225">
        <v>1200</v>
      </c>
      <c r="M225">
        <f>Customers_Table[[#This Row],[Quantity Ordered]]*Customers_Table[[#This Row],[Sales Price (Per unit)]]</f>
        <v>1200</v>
      </c>
      <c r="N225" t="s">
        <v>1703</v>
      </c>
    </row>
    <row r="226" spans="1:14" x14ac:dyDescent="0.2">
      <c r="A226" t="s">
        <v>348</v>
      </c>
      <c r="B226" t="s">
        <v>442</v>
      </c>
      <c r="C226">
        <v>1458</v>
      </c>
      <c r="D226" t="s">
        <v>76</v>
      </c>
      <c r="E226" s="1">
        <v>45476</v>
      </c>
      <c r="F226" s="6">
        <v>2</v>
      </c>
      <c r="G226" s="1" t="s">
        <v>52</v>
      </c>
      <c r="H226" t="s">
        <v>47</v>
      </c>
      <c r="I226" t="s">
        <v>1704</v>
      </c>
      <c r="J226" t="s">
        <v>1247</v>
      </c>
      <c r="K226">
        <v>3350</v>
      </c>
      <c r="L226">
        <v>1200</v>
      </c>
      <c r="M226">
        <f>Customers_Table[[#This Row],[Quantity Ordered]]*Customers_Table[[#This Row],[Sales Price (Per unit)]]</f>
        <v>2400</v>
      </c>
      <c r="N226" t="s">
        <v>1705</v>
      </c>
    </row>
    <row r="227" spans="1:14" x14ac:dyDescent="0.2">
      <c r="A227" t="s">
        <v>432</v>
      </c>
      <c r="B227" t="s">
        <v>443</v>
      </c>
      <c r="C227">
        <v>1459</v>
      </c>
      <c r="D227" t="s">
        <v>37</v>
      </c>
      <c r="E227" s="1">
        <v>45414</v>
      </c>
      <c r="F227" s="6">
        <v>2</v>
      </c>
      <c r="G227" s="1" t="s">
        <v>52</v>
      </c>
      <c r="H227" t="s">
        <v>64</v>
      </c>
      <c r="I227" t="s">
        <v>1706</v>
      </c>
      <c r="J227" t="s">
        <v>1400</v>
      </c>
      <c r="K227">
        <v>7310</v>
      </c>
      <c r="L227">
        <v>800</v>
      </c>
      <c r="M227">
        <f>Customers_Table[[#This Row],[Quantity Ordered]]*Customers_Table[[#This Row],[Sales Price (Per unit)]]</f>
        <v>1600</v>
      </c>
      <c r="N227" t="s">
        <v>1707</v>
      </c>
    </row>
    <row r="228" spans="1:14" x14ac:dyDescent="0.2">
      <c r="A228" t="s">
        <v>444</v>
      </c>
      <c r="B228" t="s">
        <v>445</v>
      </c>
      <c r="C228">
        <v>1460</v>
      </c>
      <c r="D228" t="s">
        <v>92</v>
      </c>
      <c r="E228" s="1">
        <v>45298</v>
      </c>
      <c r="F228" s="6">
        <v>1</v>
      </c>
      <c r="G228" s="1" t="s">
        <v>52</v>
      </c>
      <c r="H228" t="s">
        <v>53</v>
      </c>
      <c r="I228" t="s">
        <v>1708</v>
      </c>
      <c r="J228" t="s">
        <v>1305</v>
      </c>
      <c r="K228">
        <v>4000</v>
      </c>
      <c r="L228">
        <v>600</v>
      </c>
      <c r="M228">
        <f>Customers_Table[[#This Row],[Quantity Ordered]]*Customers_Table[[#This Row],[Sales Price (Per unit)]]</f>
        <v>600</v>
      </c>
      <c r="N228" t="s">
        <v>1709</v>
      </c>
    </row>
    <row r="229" spans="1:14" x14ac:dyDescent="0.2">
      <c r="A229" t="s">
        <v>446</v>
      </c>
      <c r="B229" t="s">
        <v>447</v>
      </c>
      <c r="C229">
        <v>1461</v>
      </c>
      <c r="D229" t="s">
        <v>51</v>
      </c>
      <c r="E229" s="1">
        <v>45391</v>
      </c>
      <c r="F229" s="6">
        <v>3</v>
      </c>
      <c r="G229" s="1" t="s">
        <v>52</v>
      </c>
      <c r="H229" t="s">
        <v>33</v>
      </c>
      <c r="I229" t="s">
        <v>1710</v>
      </c>
      <c r="J229" t="s">
        <v>1302</v>
      </c>
      <c r="K229">
        <v>6000</v>
      </c>
      <c r="L229">
        <v>250</v>
      </c>
      <c r="M229">
        <f>Customers_Table[[#This Row],[Quantity Ordered]]*Customers_Table[[#This Row],[Sales Price (Per unit)]]</f>
        <v>750</v>
      </c>
      <c r="N229" t="s">
        <v>1711</v>
      </c>
    </row>
    <row r="230" spans="1:14" x14ac:dyDescent="0.2">
      <c r="A230" t="s">
        <v>448</v>
      </c>
      <c r="B230" t="s">
        <v>449</v>
      </c>
      <c r="C230">
        <v>1462</v>
      </c>
      <c r="D230" t="s">
        <v>31</v>
      </c>
      <c r="E230" s="1">
        <v>45330</v>
      </c>
      <c r="F230" s="6">
        <v>3</v>
      </c>
      <c r="G230" t="s">
        <v>32</v>
      </c>
      <c r="H230" t="s">
        <v>57</v>
      </c>
      <c r="I230" t="s">
        <v>1712</v>
      </c>
      <c r="J230" t="s">
        <v>1350</v>
      </c>
      <c r="K230">
        <v>5600</v>
      </c>
      <c r="L230">
        <v>250</v>
      </c>
      <c r="M230">
        <f>Customers_Table[[#This Row],[Quantity Ordered]]*Customers_Table[[#This Row],[Sales Price (Per unit)]]</f>
        <v>750</v>
      </c>
      <c r="N230" t="s">
        <v>1713</v>
      </c>
    </row>
    <row r="231" spans="1:14" x14ac:dyDescent="0.2">
      <c r="A231" t="s">
        <v>450</v>
      </c>
      <c r="B231" t="s">
        <v>451</v>
      </c>
      <c r="C231">
        <v>1463</v>
      </c>
      <c r="D231" t="s">
        <v>37</v>
      </c>
      <c r="E231" s="1">
        <v>45481</v>
      </c>
      <c r="F231" s="6">
        <v>2</v>
      </c>
      <c r="G231" t="s">
        <v>32</v>
      </c>
      <c r="H231" t="s">
        <v>47</v>
      </c>
      <c r="I231" t="s">
        <v>1714</v>
      </c>
      <c r="J231" t="s">
        <v>1247</v>
      </c>
      <c r="K231">
        <v>3350</v>
      </c>
      <c r="L231">
        <v>800</v>
      </c>
      <c r="M231">
        <f>Customers_Table[[#This Row],[Quantity Ordered]]*Customers_Table[[#This Row],[Sales Price (Per unit)]]</f>
        <v>1600</v>
      </c>
      <c r="N231" t="s">
        <v>1715</v>
      </c>
    </row>
    <row r="232" spans="1:14" x14ac:dyDescent="0.2">
      <c r="A232" t="s">
        <v>318</v>
      </c>
      <c r="B232" t="s">
        <v>452</v>
      </c>
      <c r="C232">
        <v>1464</v>
      </c>
      <c r="D232" t="s">
        <v>42</v>
      </c>
      <c r="E232" s="1">
        <v>45554</v>
      </c>
      <c r="F232" s="6">
        <v>3</v>
      </c>
      <c r="G232" s="1" t="s">
        <v>52</v>
      </c>
      <c r="H232" t="s">
        <v>39</v>
      </c>
      <c r="I232" t="s">
        <v>1716</v>
      </c>
      <c r="J232" t="s">
        <v>1241</v>
      </c>
      <c r="K232">
        <v>2600</v>
      </c>
      <c r="L232">
        <v>300</v>
      </c>
      <c r="M232">
        <f>Customers_Table[[#This Row],[Quantity Ordered]]*Customers_Table[[#This Row],[Sales Price (Per unit)]]</f>
        <v>900</v>
      </c>
      <c r="N232" t="s">
        <v>1717</v>
      </c>
    </row>
    <row r="233" spans="1:14" x14ac:dyDescent="0.2">
      <c r="A233" t="s">
        <v>453</v>
      </c>
      <c r="B233" t="s">
        <v>378</v>
      </c>
      <c r="C233">
        <v>1465</v>
      </c>
      <c r="D233" t="s">
        <v>76</v>
      </c>
      <c r="E233" s="1">
        <v>45541</v>
      </c>
      <c r="F233" s="6">
        <v>2</v>
      </c>
      <c r="G233" s="1" t="s">
        <v>52</v>
      </c>
      <c r="H233" t="s">
        <v>64</v>
      </c>
      <c r="I233" t="s">
        <v>1718</v>
      </c>
      <c r="J233" t="s">
        <v>1400</v>
      </c>
      <c r="K233">
        <v>7310</v>
      </c>
      <c r="L233">
        <v>1200</v>
      </c>
      <c r="M233">
        <f>Customers_Table[[#This Row],[Quantity Ordered]]*Customers_Table[[#This Row],[Sales Price (Per unit)]]</f>
        <v>2400</v>
      </c>
      <c r="N233" t="s">
        <v>1719</v>
      </c>
    </row>
    <row r="234" spans="1:14" x14ac:dyDescent="0.2">
      <c r="A234" t="s">
        <v>454</v>
      </c>
      <c r="B234" t="s">
        <v>405</v>
      </c>
      <c r="C234">
        <v>1466</v>
      </c>
      <c r="D234" t="s">
        <v>31</v>
      </c>
      <c r="E234" s="1">
        <v>45599</v>
      </c>
      <c r="F234" s="6">
        <v>3</v>
      </c>
      <c r="G234" t="s">
        <v>32</v>
      </c>
      <c r="H234" t="s">
        <v>39</v>
      </c>
      <c r="I234" t="s">
        <v>1720</v>
      </c>
      <c r="J234" t="s">
        <v>1241</v>
      </c>
      <c r="K234">
        <v>2600</v>
      </c>
      <c r="L234">
        <v>250</v>
      </c>
      <c r="M234">
        <f>Customers_Table[[#This Row],[Quantity Ordered]]*Customers_Table[[#This Row],[Sales Price (Per unit)]]</f>
        <v>750</v>
      </c>
      <c r="N234" t="s">
        <v>1721</v>
      </c>
    </row>
    <row r="235" spans="1:14" x14ac:dyDescent="0.2">
      <c r="A235" t="s">
        <v>455</v>
      </c>
      <c r="B235" t="s">
        <v>456</v>
      </c>
      <c r="C235">
        <v>1467</v>
      </c>
      <c r="D235" t="s">
        <v>31</v>
      </c>
      <c r="E235" s="1">
        <v>45338</v>
      </c>
      <c r="F235" s="6">
        <v>2</v>
      </c>
      <c r="G235" s="1" t="s">
        <v>52</v>
      </c>
      <c r="H235" t="s">
        <v>57</v>
      </c>
      <c r="I235" t="s">
        <v>1722</v>
      </c>
      <c r="J235" t="s">
        <v>1350</v>
      </c>
      <c r="K235">
        <v>5600</v>
      </c>
      <c r="L235">
        <v>250</v>
      </c>
      <c r="M235">
        <f>Customers_Table[[#This Row],[Quantity Ordered]]*Customers_Table[[#This Row],[Sales Price (Per unit)]]</f>
        <v>500</v>
      </c>
      <c r="N235" t="s">
        <v>1723</v>
      </c>
    </row>
    <row r="236" spans="1:14" x14ac:dyDescent="0.2">
      <c r="A236" t="s">
        <v>144</v>
      </c>
      <c r="B236" t="s">
        <v>102</v>
      </c>
      <c r="C236">
        <v>1468</v>
      </c>
      <c r="D236" t="s">
        <v>31</v>
      </c>
      <c r="E236" s="1">
        <v>45468</v>
      </c>
      <c r="F236" s="6">
        <v>2</v>
      </c>
      <c r="G236" t="s">
        <v>32</v>
      </c>
      <c r="H236" t="s">
        <v>64</v>
      </c>
      <c r="I236" t="s">
        <v>1724</v>
      </c>
      <c r="J236" t="s">
        <v>1262</v>
      </c>
      <c r="K236">
        <v>7250</v>
      </c>
      <c r="L236">
        <v>250</v>
      </c>
      <c r="M236">
        <f>Customers_Table[[#This Row],[Quantity Ordered]]*Customers_Table[[#This Row],[Sales Price (Per unit)]]</f>
        <v>500</v>
      </c>
      <c r="N236" t="s">
        <v>1725</v>
      </c>
    </row>
    <row r="237" spans="1:14" x14ac:dyDescent="0.2">
      <c r="A237" t="s">
        <v>348</v>
      </c>
      <c r="B237" t="s">
        <v>457</v>
      </c>
      <c r="C237">
        <v>1469</v>
      </c>
      <c r="D237" t="s">
        <v>92</v>
      </c>
      <c r="E237" s="1">
        <v>45531</v>
      </c>
      <c r="F237" s="6">
        <v>2</v>
      </c>
      <c r="G237" t="s">
        <v>71</v>
      </c>
      <c r="H237" t="s">
        <v>81</v>
      </c>
      <c r="I237" t="s">
        <v>1726</v>
      </c>
      <c r="J237" t="s">
        <v>1280</v>
      </c>
      <c r="K237">
        <v>800</v>
      </c>
      <c r="L237">
        <v>600</v>
      </c>
      <c r="M237">
        <f>Customers_Table[[#This Row],[Quantity Ordered]]*Customers_Table[[#This Row],[Sales Price (Per unit)]]</f>
        <v>1200</v>
      </c>
      <c r="N237" t="s">
        <v>1727</v>
      </c>
    </row>
    <row r="238" spans="1:14" x14ac:dyDescent="0.2">
      <c r="A238" t="s">
        <v>458</v>
      </c>
      <c r="B238" t="s">
        <v>459</v>
      </c>
      <c r="C238">
        <v>1470</v>
      </c>
      <c r="D238" t="s">
        <v>42</v>
      </c>
      <c r="E238" s="1">
        <v>45575</v>
      </c>
      <c r="F238" s="6">
        <v>1</v>
      </c>
      <c r="G238" t="s">
        <v>32</v>
      </c>
      <c r="H238" t="s">
        <v>64</v>
      </c>
      <c r="I238" t="s">
        <v>1728</v>
      </c>
      <c r="J238" t="s">
        <v>1400</v>
      </c>
      <c r="K238">
        <v>7310</v>
      </c>
      <c r="L238">
        <v>300</v>
      </c>
      <c r="M238">
        <f>Customers_Table[[#This Row],[Quantity Ordered]]*Customers_Table[[#This Row],[Sales Price (Per unit)]]</f>
        <v>300</v>
      </c>
      <c r="N238" t="s">
        <v>1729</v>
      </c>
    </row>
    <row r="239" spans="1:14" x14ac:dyDescent="0.2">
      <c r="A239" t="s">
        <v>55</v>
      </c>
      <c r="B239" t="s">
        <v>460</v>
      </c>
      <c r="C239">
        <v>1471</v>
      </c>
      <c r="D239" t="s">
        <v>76</v>
      </c>
      <c r="E239" s="1">
        <v>45417</v>
      </c>
      <c r="F239" s="6">
        <v>2</v>
      </c>
      <c r="G239" t="s">
        <v>32</v>
      </c>
      <c r="H239" t="s">
        <v>57</v>
      </c>
      <c r="I239" t="s">
        <v>1730</v>
      </c>
      <c r="J239" t="s">
        <v>1253</v>
      </c>
      <c r="K239">
        <v>5290</v>
      </c>
      <c r="L239">
        <v>1200</v>
      </c>
      <c r="M239">
        <f>Customers_Table[[#This Row],[Quantity Ordered]]*Customers_Table[[#This Row],[Sales Price (Per unit)]]</f>
        <v>2400</v>
      </c>
      <c r="N239" t="s">
        <v>1731</v>
      </c>
    </row>
    <row r="240" spans="1:14" x14ac:dyDescent="0.2">
      <c r="A240" t="s">
        <v>461</v>
      </c>
      <c r="B240" t="s">
        <v>462</v>
      </c>
      <c r="C240">
        <v>1472</v>
      </c>
      <c r="D240" t="s">
        <v>31</v>
      </c>
      <c r="E240" s="1">
        <v>45434</v>
      </c>
      <c r="F240" s="6">
        <v>3</v>
      </c>
      <c r="G240" t="s">
        <v>32</v>
      </c>
      <c r="H240" t="s">
        <v>43</v>
      </c>
      <c r="I240" t="s">
        <v>1732</v>
      </c>
      <c r="J240" t="s">
        <v>865</v>
      </c>
      <c r="K240">
        <v>2000</v>
      </c>
      <c r="L240">
        <v>250</v>
      </c>
      <c r="M240">
        <f>Customers_Table[[#This Row],[Quantity Ordered]]*Customers_Table[[#This Row],[Sales Price (Per unit)]]</f>
        <v>750</v>
      </c>
      <c r="N240" t="s">
        <v>1733</v>
      </c>
    </row>
    <row r="241" spans="1:14" x14ac:dyDescent="0.2">
      <c r="A241" t="s">
        <v>463</v>
      </c>
      <c r="B241" t="s">
        <v>464</v>
      </c>
      <c r="C241">
        <v>1473</v>
      </c>
      <c r="D241" t="s">
        <v>51</v>
      </c>
      <c r="E241" s="1">
        <v>45519</v>
      </c>
      <c r="F241" s="6">
        <v>2</v>
      </c>
      <c r="G241" t="s">
        <v>32</v>
      </c>
      <c r="H241" t="s">
        <v>33</v>
      </c>
      <c r="I241" t="s">
        <v>1734</v>
      </c>
      <c r="J241" t="s">
        <v>1259</v>
      </c>
      <c r="K241">
        <v>6160</v>
      </c>
      <c r="L241">
        <v>250</v>
      </c>
      <c r="M241">
        <f>Customers_Table[[#This Row],[Quantity Ordered]]*Customers_Table[[#This Row],[Sales Price (Per unit)]]</f>
        <v>500</v>
      </c>
      <c r="N241" t="s">
        <v>1735</v>
      </c>
    </row>
    <row r="242" spans="1:14" x14ac:dyDescent="0.2">
      <c r="A242" t="s">
        <v>465</v>
      </c>
      <c r="B242" t="s">
        <v>466</v>
      </c>
      <c r="C242">
        <v>1474</v>
      </c>
      <c r="D242" t="s">
        <v>37</v>
      </c>
      <c r="E242" s="1">
        <v>45428</v>
      </c>
      <c r="F242" s="6">
        <v>3</v>
      </c>
      <c r="G242" s="1" t="s">
        <v>52</v>
      </c>
      <c r="H242" t="s">
        <v>53</v>
      </c>
      <c r="I242" t="s">
        <v>1736</v>
      </c>
      <c r="J242" t="s">
        <v>1305</v>
      </c>
      <c r="K242">
        <v>4000</v>
      </c>
      <c r="L242">
        <v>800</v>
      </c>
      <c r="M242">
        <f>Customers_Table[[#This Row],[Quantity Ordered]]*Customers_Table[[#This Row],[Sales Price (Per unit)]]</f>
        <v>2400</v>
      </c>
      <c r="N242" t="s">
        <v>1737</v>
      </c>
    </row>
    <row r="243" spans="1:14" x14ac:dyDescent="0.2">
      <c r="A243" t="s">
        <v>467</v>
      </c>
      <c r="B243" t="s">
        <v>468</v>
      </c>
      <c r="C243">
        <v>1475</v>
      </c>
      <c r="D243" t="s">
        <v>31</v>
      </c>
      <c r="E243" s="1">
        <v>45292</v>
      </c>
      <c r="F243" s="6">
        <v>3</v>
      </c>
      <c r="G243" t="s">
        <v>32</v>
      </c>
      <c r="H243" t="s">
        <v>43</v>
      </c>
      <c r="I243" t="s">
        <v>1738</v>
      </c>
      <c r="J243" t="s">
        <v>1244</v>
      </c>
      <c r="K243">
        <v>2300</v>
      </c>
      <c r="L243">
        <v>250</v>
      </c>
      <c r="M243">
        <f>Customers_Table[[#This Row],[Quantity Ordered]]*Customers_Table[[#This Row],[Sales Price (Per unit)]]</f>
        <v>750</v>
      </c>
      <c r="N243" t="s">
        <v>1739</v>
      </c>
    </row>
    <row r="244" spans="1:14" x14ac:dyDescent="0.2">
      <c r="A244" t="s">
        <v>469</v>
      </c>
      <c r="B244" t="s">
        <v>470</v>
      </c>
      <c r="C244">
        <v>1476</v>
      </c>
      <c r="D244" t="s">
        <v>42</v>
      </c>
      <c r="E244" s="1">
        <v>45648</v>
      </c>
      <c r="F244" s="6">
        <v>1</v>
      </c>
      <c r="G244" t="s">
        <v>32</v>
      </c>
      <c r="H244" t="s">
        <v>53</v>
      </c>
      <c r="I244" t="s">
        <v>1740</v>
      </c>
      <c r="J244" t="s">
        <v>1250</v>
      </c>
      <c r="K244">
        <v>4217</v>
      </c>
      <c r="L244">
        <v>300</v>
      </c>
      <c r="M244">
        <f>Customers_Table[[#This Row],[Quantity Ordered]]*Customers_Table[[#This Row],[Sales Price (Per unit)]]</f>
        <v>300</v>
      </c>
      <c r="N244" t="s">
        <v>1741</v>
      </c>
    </row>
    <row r="245" spans="1:14" x14ac:dyDescent="0.2">
      <c r="A245" t="s">
        <v>471</v>
      </c>
      <c r="B245" t="s">
        <v>472</v>
      </c>
      <c r="C245">
        <v>1477</v>
      </c>
      <c r="D245" t="s">
        <v>31</v>
      </c>
      <c r="E245" s="1">
        <v>45354</v>
      </c>
      <c r="F245" s="6">
        <v>3</v>
      </c>
      <c r="G245" t="s">
        <v>32</v>
      </c>
      <c r="H245" t="s">
        <v>39</v>
      </c>
      <c r="I245" t="s">
        <v>1742</v>
      </c>
      <c r="J245" t="s">
        <v>1241</v>
      </c>
      <c r="K245">
        <v>2600</v>
      </c>
      <c r="L245">
        <v>250</v>
      </c>
      <c r="M245">
        <f>Customers_Table[[#This Row],[Quantity Ordered]]*Customers_Table[[#This Row],[Sales Price (Per unit)]]</f>
        <v>750</v>
      </c>
      <c r="N245" t="s">
        <v>1743</v>
      </c>
    </row>
    <row r="246" spans="1:14" x14ac:dyDescent="0.2">
      <c r="A246" t="s">
        <v>473</v>
      </c>
      <c r="B246" t="s">
        <v>474</v>
      </c>
      <c r="C246">
        <v>1478</v>
      </c>
      <c r="D246" t="s">
        <v>76</v>
      </c>
      <c r="E246" s="1">
        <v>45550</v>
      </c>
      <c r="F246" s="6">
        <v>2</v>
      </c>
      <c r="G246" s="1" t="s">
        <v>38</v>
      </c>
      <c r="H246" t="s">
        <v>33</v>
      </c>
      <c r="I246" t="s">
        <v>1744</v>
      </c>
      <c r="J246" t="s">
        <v>1238</v>
      </c>
      <c r="K246">
        <v>6725</v>
      </c>
      <c r="L246">
        <v>1200</v>
      </c>
      <c r="M246">
        <f>Customers_Table[[#This Row],[Quantity Ordered]]*Customers_Table[[#This Row],[Sales Price (Per unit)]]</f>
        <v>2400</v>
      </c>
      <c r="N246" t="s">
        <v>1745</v>
      </c>
    </row>
    <row r="247" spans="1:14" x14ac:dyDescent="0.2">
      <c r="A247" t="s">
        <v>117</v>
      </c>
      <c r="B247" t="s">
        <v>475</v>
      </c>
      <c r="C247">
        <v>1479</v>
      </c>
      <c r="D247" t="s">
        <v>31</v>
      </c>
      <c r="E247" s="1">
        <v>45622</v>
      </c>
      <c r="F247" s="6">
        <v>2</v>
      </c>
      <c r="G247" s="1" t="s">
        <v>38</v>
      </c>
      <c r="H247" t="s">
        <v>53</v>
      </c>
      <c r="I247" t="s">
        <v>1746</v>
      </c>
      <c r="J247" t="s">
        <v>1305</v>
      </c>
      <c r="K247">
        <v>4000</v>
      </c>
      <c r="L247">
        <v>250</v>
      </c>
      <c r="M247">
        <f>Customers_Table[[#This Row],[Quantity Ordered]]*Customers_Table[[#This Row],[Sales Price (Per unit)]]</f>
        <v>500</v>
      </c>
      <c r="N247" t="s">
        <v>1747</v>
      </c>
    </row>
    <row r="248" spans="1:14" x14ac:dyDescent="0.2">
      <c r="A248" t="s">
        <v>476</v>
      </c>
      <c r="B248" t="s">
        <v>399</v>
      </c>
      <c r="C248">
        <v>1480</v>
      </c>
      <c r="D248" t="s">
        <v>37</v>
      </c>
      <c r="E248" s="1">
        <v>45457</v>
      </c>
      <c r="F248" s="6">
        <v>2</v>
      </c>
      <c r="G248" t="s">
        <v>32</v>
      </c>
      <c r="H248" t="s">
        <v>53</v>
      </c>
      <c r="I248" t="s">
        <v>1748</v>
      </c>
      <c r="J248" t="s">
        <v>1250</v>
      </c>
      <c r="K248">
        <v>4217</v>
      </c>
      <c r="L248">
        <v>800</v>
      </c>
      <c r="M248">
        <f>Customers_Table[[#This Row],[Quantity Ordered]]*Customers_Table[[#This Row],[Sales Price (Per unit)]]</f>
        <v>1600</v>
      </c>
      <c r="N248" t="s">
        <v>1749</v>
      </c>
    </row>
    <row r="249" spans="1:14" x14ac:dyDescent="0.2">
      <c r="A249" t="s">
        <v>477</v>
      </c>
      <c r="B249" t="s">
        <v>478</v>
      </c>
      <c r="C249">
        <v>1481</v>
      </c>
      <c r="D249" t="s">
        <v>76</v>
      </c>
      <c r="E249" s="1">
        <v>45603</v>
      </c>
      <c r="F249" s="6">
        <v>1</v>
      </c>
      <c r="G249" s="1" t="s">
        <v>52</v>
      </c>
      <c r="H249" t="s">
        <v>81</v>
      </c>
      <c r="I249" t="s">
        <v>1750</v>
      </c>
      <c r="J249" t="s">
        <v>1280</v>
      </c>
      <c r="K249">
        <v>800</v>
      </c>
      <c r="L249">
        <v>1200</v>
      </c>
      <c r="M249">
        <f>Customers_Table[[#This Row],[Quantity Ordered]]*Customers_Table[[#This Row],[Sales Price (Per unit)]]</f>
        <v>1200</v>
      </c>
      <c r="N249" t="s">
        <v>1751</v>
      </c>
    </row>
    <row r="250" spans="1:14" x14ac:dyDescent="0.2">
      <c r="A250" t="s">
        <v>479</v>
      </c>
      <c r="B250" t="s">
        <v>354</v>
      </c>
      <c r="C250">
        <v>1482</v>
      </c>
      <c r="D250" t="s">
        <v>51</v>
      </c>
      <c r="E250" s="1">
        <v>45619</v>
      </c>
      <c r="F250" s="6">
        <v>2</v>
      </c>
      <c r="G250" t="s">
        <v>32</v>
      </c>
      <c r="H250" t="s">
        <v>47</v>
      </c>
      <c r="I250" t="s">
        <v>1752</v>
      </c>
      <c r="J250" t="s">
        <v>1256</v>
      </c>
      <c r="K250">
        <v>3220</v>
      </c>
      <c r="L250">
        <v>250</v>
      </c>
      <c r="M250">
        <f>Customers_Table[[#This Row],[Quantity Ordered]]*Customers_Table[[#This Row],[Sales Price (Per unit)]]</f>
        <v>500</v>
      </c>
      <c r="N250" t="s">
        <v>1753</v>
      </c>
    </row>
    <row r="251" spans="1:14" x14ac:dyDescent="0.2">
      <c r="A251" t="s">
        <v>480</v>
      </c>
      <c r="B251" t="s">
        <v>481</v>
      </c>
      <c r="C251">
        <v>1483</v>
      </c>
      <c r="D251" t="s">
        <v>51</v>
      </c>
      <c r="E251" s="1">
        <v>45436</v>
      </c>
      <c r="F251" s="6">
        <v>2</v>
      </c>
      <c r="G251" t="s">
        <v>32</v>
      </c>
      <c r="H251" t="s">
        <v>81</v>
      </c>
      <c r="I251" t="s">
        <v>1754</v>
      </c>
      <c r="J251" t="s">
        <v>1361</v>
      </c>
      <c r="K251">
        <v>870</v>
      </c>
      <c r="L251">
        <v>250</v>
      </c>
      <c r="M251">
        <f>Customers_Table[[#This Row],[Quantity Ordered]]*Customers_Table[[#This Row],[Sales Price (Per unit)]]</f>
        <v>500</v>
      </c>
      <c r="N251" t="s">
        <v>1755</v>
      </c>
    </row>
    <row r="252" spans="1:14" x14ac:dyDescent="0.2">
      <c r="A252" t="s">
        <v>328</v>
      </c>
      <c r="B252" t="s">
        <v>433</v>
      </c>
      <c r="C252">
        <v>1484</v>
      </c>
      <c r="D252" t="s">
        <v>76</v>
      </c>
      <c r="E252" s="1">
        <v>45350</v>
      </c>
      <c r="F252" s="6">
        <v>3</v>
      </c>
      <c r="G252" t="s">
        <v>32</v>
      </c>
      <c r="H252" t="s">
        <v>53</v>
      </c>
      <c r="I252" t="s">
        <v>1756</v>
      </c>
      <c r="J252" t="s">
        <v>1305</v>
      </c>
      <c r="K252">
        <v>4000</v>
      </c>
      <c r="L252">
        <v>1200</v>
      </c>
      <c r="M252">
        <f>Customers_Table[[#This Row],[Quantity Ordered]]*Customers_Table[[#This Row],[Sales Price (Per unit)]]</f>
        <v>3600</v>
      </c>
      <c r="N252" t="s">
        <v>1757</v>
      </c>
    </row>
    <row r="253" spans="1:14" x14ac:dyDescent="0.2">
      <c r="A253" t="s">
        <v>482</v>
      </c>
      <c r="B253" t="s">
        <v>483</v>
      </c>
      <c r="C253">
        <v>1485</v>
      </c>
      <c r="D253" t="s">
        <v>31</v>
      </c>
      <c r="E253" s="1">
        <v>45409</v>
      </c>
      <c r="F253" s="6">
        <v>2</v>
      </c>
      <c r="G253" s="1" t="s">
        <v>52</v>
      </c>
      <c r="H253" t="s">
        <v>53</v>
      </c>
      <c r="I253" t="s">
        <v>1758</v>
      </c>
      <c r="J253" t="s">
        <v>1305</v>
      </c>
      <c r="K253">
        <v>4000</v>
      </c>
      <c r="L253">
        <v>250</v>
      </c>
      <c r="M253">
        <f>Customers_Table[[#This Row],[Quantity Ordered]]*Customers_Table[[#This Row],[Sales Price (Per unit)]]</f>
        <v>500</v>
      </c>
      <c r="N253" t="s">
        <v>1759</v>
      </c>
    </row>
    <row r="254" spans="1:14" x14ac:dyDescent="0.2">
      <c r="A254" t="s">
        <v>484</v>
      </c>
      <c r="B254" t="s">
        <v>485</v>
      </c>
      <c r="C254">
        <v>1486</v>
      </c>
      <c r="D254" t="s">
        <v>92</v>
      </c>
      <c r="E254" s="1">
        <v>45612</v>
      </c>
      <c r="F254" s="6">
        <v>1</v>
      </c>
      <c r="G254" s="1" t="s">
        <v>52</v>
      </c>
      <c r="H254" t="s">
        <v>33</v>
      </c>
      <c r="I254" t="s">
        <v>1760</v>
      </c>
      <c r="J254" t="s">
        <v>1302</v>
      </c>
      <c r="K254">
        <v>6000</v>
      </c>
      <c r="L254">
        <v>600</v>
      </c>
      <c r="M254">
        <f>Customers_Table[[#This Row],[Quantity Ordered]]*Customers_Table[[#This Row],[Sales Price (Per unit)]]</f>
        <v>600</v>
      </c>
      <c r="N254" t="s">
        <v>1761</v>
      </c>
    </row>
    <row r="255" spans="1:14" x14ac:dyDescent="0.2">
      <c r="A255" t="s">
        <v>415</v>
      </c>
      <c r="B255" t="s">
        <v>486</v>
      </c>
      <c r="C255">
        <v>1487</v>
      </c>
      <c r="D255" t="s">
        <v>42</v>
      </c>
      <c r="E255" s="1">
        <v>45537</v>
      </c>
      <c r="F255" s="6">
        <v>3</v>
      </c>
      <c r="G255" t="s">
        <v>32</v>
      </c>
      <c r="H255" t="s">
        <v>47</v>
      </c>
      <c r="I255" t="s">
        <v>1762</v>
      </c>
      <c r="J255" t="s">
        <v>1247</v>
      </c>
      <c r="K255">
        <v>3350</v>
      </c>
      <c r="L255">
        <v>300</v>
      </c>
      <c r="M255">
        <f>Customers_Table[[#This Row],[Quantity Ordered]]*Customers_Table[[#This Row],[Sales Price (Per unit)]]</f>
        <v>900</v>
      </c>
      <c r="N255" t="s">
        <v>1763</v>
      </c>
    </row>
    <row r="256" spans="1:14" x14ac:dyDescent="0.2">
      <c r="A256" t="s">
        <v>487</v>
      </c>
      <c r="B256" t="s">
        <v>488</v>
      </c>
      <c r="C256">
        <v>1488</v>
      </c>
      <c r="D256" t="s">
        <v>31</v>
      </c>
      <c r="E256" s="1">
        <v>45554</v>
      </c>
      <c r="F256" s="6">
        <v>3</v>
      </c>
      <c r="G256" s="1" t="s">
        <v>52</v>
      </c>
      <c r="H256" t="s">
        <v>47</v>
      </c>
      <c r="I256" t="s">
        <v>1764</v>
      </c>
      <c r="J256" t="s">
        <v>1275</v>
      </c>
      <c r="K256">
        <v>3000</v>
      </c>
      <c r="L256">
        <v>250</v>
      </c>
      <c r="M256">
        <f>Customers_Table[[#This Row],[Quantity Ordered]]*Customers_Table[[#This Row],[Sales Price (Per unit)]]</f>
        <v>750</v>
      </c>
      <c r="N256" t="s">
        <v>1765</v>
      </c>
    </row>
    <row r="257" spans="1:14" x14ac:dyDescent="0.2">
      <c r="A257" t="s">
        <v>489</v>
      </c>
      <c r="B257" t="s">
        <v>490</v>
      </c>
      <c r="C257">
        <v>1489</v>
      </c>
      <c r="D257" t="s">
        <v>51</v>
      </c>
      <c r="E257" s="1">
        <v>45615</v>
      </c>
      <c r="F257" s="6">
        <v>2</v>
      </c>
      <c r="G257" t="s">
        <v>32</v>
      </c>
      <c r="H257" t="s">
        <v>33</v>
      </c>
      <c r="I257" t="s">
        <v>1766</v>
      </c>
      <c r="J257" t="s">
        <v>1259</v>
      </c>
      <c r="K257">
        <v>6160</v>
      </c>
      <c r="L257">
        <v>250</v>
      </c>
      <c r="M257">
        <f>Customers_Table[[#This Row],[Quantity Ordered]]*Customers_Table[[#This Row],[Sales Price (Per unit)]]</f>
        <v>500</v>
      </c>
      <c r="N257" t="s">
        <v>1767</v>
      </c>
    </row>
    <row r="258" spans="1:14" x14ac:dyDescent="0.2">
      <c r="A258" t="s">
        <v>491</v>
      </c>
      <c r="B258" t="s">
        <v>208</v>
      </c>
      <c r="C258">
        <v>1490</v>
      </c>
      <c r="D258" t="s">
        <v>92</v>
      </c>
      <c r="E258" s="1">
        <v>45340</v>
      </c>
      <c r="F258" s="6">
        <v>2</v>
      </c>
      <c r="G258" t="s">
        <v>32</v>
      </c>
      <c r="H258" t="s">
        <v>47</v>
      </c>
      <c r="I258" t="s">
        <v>1768</v>
      </c>
      <c r="J258" t="s">
        <v>1247</v>
      </c>
      <c r="K258">
        <v>3350</v>
      </c>
      <c r="L258">
        <v>600</v>
      </c>
      <c r="M258">
        <f>Customers_Table[[#This Row],[Quantity Ordered]]*Customers_Table[[#This Row],[Sales Price (Per unit)]]</f>
        <v>1200</v>
      </c>
      <c r="N258" t="s">
        <v>1769</v>
      </c>
    </row>
    <row r="259" spans="1:14" x14ac:dyDescent="0.2">
      <c r="A259" t="s">
        <v>233</v>
      </c>
      <c r="B259" t="s">
        <v>492</v>
      </c>
      <c r="C259">
        <v>1491</v>
      </c>
      <c r="D259" t="s">
        <v>31</v>
      </c>
      <c r="E259" s="1">
        <v>45520</v>
      </c>
      <c r="F259" s="6">
        <v>3</v>
      </c>
      <c r="G259" t="s">
        <v>32</v>
      </c>
      <c r="H259" t="s">
        <v>53</v>
      </c>
      <c r="I259" t="s">
        <v>1770</v>
      </c>
      <c r="J259" t="s">
        <v>1305</v>
      </c>
      <c r="K259">
        <v>4000</v>
      </c>
      <c r="L259">
        <v>250</v>
      </c>
      <c r="M259">
        <f>Customers_Table[[#This Row],[Quantity Ordered]]*Customers_Table[[#This Row],[Sales Price (Per unit)]]</f>
        <v>750</v>
      </c>
      <c r="N259" t="s">
        <v>1771</v>
      </c>
    </row>
    <row r="260" spans="1:14" x14ac:dyDescent="0.2">
      <c r="A260" t="s">
        <v>493</v>
      </c>
      <c r="B260" t="s">
        <v>494</v>
      </c>
      <c r="C260">
        <v>1492</v>
      </c>
      <c r="D260" t="s">
        <v>76</v>
      </c>
      <c r="E260" s="1">
        <v>45355</v>
      </c>
      <c r="F260" s="6">
        <v>3</v>
      </c>
      <c r="G260" t="s">
        <v>32</v>
      </c>
      <c r="H260" t="s">
        <v>57</v>
      </c>
      <c r="I260" t="s">
        <v>1772</v>
      </c>
      <c r="J260" t="s">
        <v>1350</v>
      </c>
      <c r="K260">
        <v>5600</v>
      </c>
      <c r="L260">
        <v>1200</v>
      </c>
      <c r="M260">
        <f>Customers_Table[[#This Row],[Quantity Ordered]]*Customers_Table[[#This Row],[Sales Price (Per unit)]]</f>
        <v>3600</v>
      </c>
      <c r="N260" t="s">
        <v>1773</v>
      </c>
    </row>
    <row r="261" spans="1:14" x14ac:dyDescent="0.2">
      <c r="A261" t="s">
        <v>495</v>
      </c>
      <c r="B261" t="s">
        <v>210</v>
      </c>
      <c r="C261">
        <v>1493</v>
      </c>
      <c r="D261" t="s">
        <v>76</v>
      </c>
      <c r="E261" s="1">
        <v>45306</v>
      </c>
      <c r="F261" s="6">
        <v>3</v>
      </c>
      <c r="G261" t="s">
        <v>32</v>
      </c>
      <c r="H261" t="s">
        <v>47</v>
      </c>
      <c r="I261" t="s">
        <v>1774</v>
      </c>
      <c r="J261" t="s">
        <v>1256</v>
      </c>
      <c r="K261">
        <v>3220</v>
      </c>
      <c r="L261">
        <v>1200</v>
      </c>
      <c r="M261">
        <f>Customers_Table[[#This Row],[Quantity Ordered]]*Customers_Table[[#This Row],[Sales Price (Per unit)]]</f>
        <v>3600</v>
      </c>
      <c r="N261" t="s">
        <v>1775</v>
      </c>
    </row>
    <row r="262" spans="1:14" x14ac:dyDescent="0.2">
      <c r="A262" t="s">
        <v>496</v>
      </c>
      <c r="B262" t="s">
        <v>177</v>
      </c>
      <c r="C262">
        <v>1494</v>
      </c>
      <c r="D262" t="s">
        <v>51</v>
      </c>
      <c r="E262" s="1">
        <v>45371</v>
      </c>
      <c r="F262" s="6">
        <v>3</v>
      </c>
      <c r="G262" t="s">
        <v>32</v>
      </c>
      <c r="H262" t="s">
        <v>81</v>
      </c>
      <c r="I262" t="s">
        <v>1776</v>
      </c>
      <c r="J262" t="s">
        <v>1361</v>
      </c>
      <c r="K262">
        <v>870</v>
      </c>
      <c r="L262">
        <v>250</v>
      </c>
      <c r="M262">
        <f>Customers_Table[[#This Row],[Quantity Ordered]]*Customers_Table[[#This Row],[Sales Price (Per unit)]]</f>
        <v>750</v>
      </c>
      <c r="N262" t="s">
        <v>1777</v>
      </c>
    </row>
    <row r="263" spans="1:14" x14ac:dyDescent="0.2">
      <c r="A263" t="s">
        <v>209</v>
      </c>
      <c r="B263" t="s">
        <v>54</v>
      </c>
      <c r="C263">
        <v>1495</v>
      </c>
      <c r="D263" t="s">
        <v>31</v>
      </c>
      <c r="E263" s="1">
        <v>45467</v>
      </c>
      <c r="F263" s="6">
        <v>1</v>
      </c>
      <c r="G263" s="1" t="s">
        <v>52</v>
      </c>
      <c r="H263" t="s">
        <v>43</v>
      </c>
      <c r="I263" t="s">
        <v>1778</v>
      </c>
      <c r="J263" t="s">
        <v>865</v>
      </c>
      <c r="K263">
        <v>2000</v>
      </c>
      <c r="L263">
        <v>250</v>
      </c>
      <c r="M263">
        <f>Customers_Table[[#This Row],[Quantity Ordered]]*Customers_Table[[#This Row],[Sales Price (Per unit)]]</f>
        <v>250</v>
      </c>
      <c r="N263" t="s">
        <v>1779</v>
      </c>
    </row>
    <row r="264" spans="1:14" x14ac:dyDescent="0.2">
      <c r="A264" t="s">
        <v>497</v>
      </c>
      <c r="B264" t="s">
        <v>498</v>
      </c>
      <c r="C264">
        <v>1496</v>
      </c>
      <c r="D264" t="s">
        <v>42</v>
      </c>
      <c r="E264" s="1">
        <v>45632</v>
      </c>
      <c r="F264" s="6">
        <v>1</v>
      </c>
      <c r="G264" s="1" t="s">
        <v>52</v>
      </c>
      <c r="H264" t="s">
        <v>39</v>
      </c>
      <c r="I264" t="s">
        <v>1780</v>
      </c>
      <c r="J264" t="s">
        <v>1241</v>
      </c>
      <c r="K264">
        <v>2600</v>
      </c>
      <c r="L264">
        <v>300</v>
      </c>
      <c r="M264">
        <f>Customers_Table[[#This Row],[Quantity Ordered]]*Customers_Table[[#This Row],[Sales Price (Per unit)]]</f>
        <v>300</v>
      </c>
      <c r="N264" t="s">
        <v>1781</v>
      </c>
    </row>
    <row r="265" spans="1:14" x14ac:dyDescent="0.2">
      <c r="A265" t="s">
        <v>55</v>
      </c>
      <c r="B265" t="s">
        <v>499</v>
      </c>
      <c r="C265">
        <v>1497</v>
      </c>
      <c r="D265" t="s">
        <v>51</v>
      </c>
      <c r="E265" s="1">
        <v>45350</v>
      </c>
      <c r="F265" s="6">
        <v>3</v>
      </c>
      <c r="G265" s="1" t="s">
        <v>52</v>
      </c>
      <c r="H265" t="s">
        <v>53</v>
      </c>
      <c r="I265" t="s">
        <v>1782</v>
      </c>
      <c r="J265" t="s">
        <v>1268</v>
      </c>
      <c r="K265">
        <v>4870</v>
      </c>
      <c r="L265">
        <v>250</v>
      </c>
      <c r="M265">
        <f>Customers_Table[[#This Row],[Quantity Ordered]]*Customers_Table[[#This Row],[Sales Price (Per unit)]]</f>
        <v>750</v>
      </c>
      <c r="N265" t="s">
        <v>1783</v>
      </c>
    </row>
    <row r="266" spans="1:14" x14ac:dyDescent="0.2">
      <c r="A266" t="s">
        <v>484</v>
      </c>
      <c r="B266" t="s">
        <v>500</v>
      </c>
      <c r="C266">
        <v>1498</v>
      </c>
      <c r="D266" t="s">
        <v>37</v>
      </c>
      <c r="E266" s="1">
        <v>45395</v>
      </c>
      <c r="F266" s="6">
        <v>3</v>
      </c>
      <c r="G266" t="s">
        <v>32</v>
      </c>
      <c r="H266" t="s">
        <v>33</v>
      </c>
      <c r="I266" t="s">
        <v>1784</v>
      </c>
      <c r="J266" t="s">
        <v>1238</v>
      </c>
      <c r="K266">
        <v>6725</v>
      </c>
      <c r="L266">
        <v>800</v>
      </c>
      <c r="M266">
        <f>Customers_Table[[#This Row],[Quantity Ordered]]*Customers_Table[[#This Row],[Sales Price (Per unit)]]</f>
        <v>2400</v>
      </c>
      <c r="N266" t="s">
        <v>1785</v>
      </c>
    </row>
    <row r="267" spans="1:14" x14ac:dyDescent="0.2">
      <c r="A267" t="s">
        <v>144</v>
      </c>
      <c r="B267" t="s">
        <v>501</v>
      </c>
      <c r="C267">
        <v>1499</v>
      </c>
      <c r="D267" t="s">
        <v>76</v>
      </c>
      <c r="E267" s="1">
        <v>45596</v>
      </c>
      <c r="F267" s="6">
        <v>1</v>
      </c>
      <c r="G267" s="1" t="s">
        <v>52</v>
      </c>
      <c r="H267" t="s">
        <v>47</v>
      </c>
      <c r="I267" t="s">
        <v>1786</v>
      </c>
      <c r="J267" t="s">
        <v>1247</v>
      </c>
      <c r="K267">
        <v>3350</v>
      </c>
      <c r="L267">
        <v>1200</v>
      </c>
      <c r="M267">
        <f>Customers_Table[[#This Row],[Quantity Ordered]]*Customers_Table[[#This Row],[Sales Price (Per unit)]]</f>
        <v>1200</v>
      </c>
      <c r="N267" t="s">
        <v>1787</v>
      </c>
    </row>
    <row r="268" spans="1:14" x14ac:dyDescent="0.2">
      <c r="A268" t="s">
        <v>502</v>
      </c>
      <c r="B268" t="s">
        <v>503</v>
      </c>
      <c r="C268">
        <v>1500</v>
      </c>
      <c r="D268" t="s">
        <v>76</v>
      </c>
      <c r="E268" s="1">
        <v>45409</v>
      </c>
      <c r="F268" s="6">
        <v>1</v>
      </c>
      <c r="G268" s="1" t="s">
        <v>52</v>
      </c>
      <c r="H268" t="s">
        <v>47</v>
      </c>
      <c r="I268" t="s">
        <v>1788</v>
      </c>
      <c r="J268" t="s">
        <v>1275</v>
      </c>
      <c r="K268">
        <v>3000</v>
      </c>
      <c r="L268">
        <v>1200</v>
      </c>
      <c r="M268">
        <f>Customers_Table[[#This Row],[Quantity Ordered]]*Customers_Table[[#This Row],[Sales Price (Per unit)]]</f>
        <v>1200</v>
      </c>
      <c r="N268" t="s">
        <v>1789</v>
      </c>
    </row>
    <row r="269" spans="1:14" x14ac:dyDescent="0.2">
      <c r="A269" t="s">
        <v>504</v>
      </c>
      <c r="B269" t="s">
        <v>505</v>
      </c>
      <c r="C269">
        <v>1501</v>
      </c>
      <c r="D269" t="s">
        <v>76</v>
      </c>
      <c r="E269" s="1">
        <v>45614</v>
      </c>
      <c r="F269" s="6">
        <v>3</v>
      </c>
      <c r="G269" t="s">
        <v>32</v>
      </c>
      <c r="H269" t="s">
        <v>53</v>
      </c>
      <c r="I269" t="s">
        <v>1790</v>
      </c>
      <c r="J269" t="s">
        <v>1250</v>
      </c>
      <c r="K269">
        <v>4217</v>
      </c>
      <c r="L269">
        <v>1200</v>
      </c>
      <c r="M269">
        <f>Customers_Table[[#This Row],[Quantity Ordered]]*Customers_Table[[#This Row],[Sales Price (Per unit)]]</f>
        <v>3600</v>
      </c>
      <c r="N269" t="s">
        <v>1791</v>
      </c>
    </row>
    <row r="270" spans="1:14" x14ac:dyDescent="0.2">
      <c r="A270" t="s">
        <v>506</v>
      </c>
      <c r="B270" t="s">
        <v>507</v>
      </c>
      <c r="C270">
        <v>1502</v>
      </c>
      <c r="D270" t="s">
        <v>51</v>
      </c>
      <c r="E270" s="1">
        <v>45360</v>
      </c>
      <c r="F270" s="6">
        <v>2</v>
      </c>
      <c r="G270" s="1" t="s">
        <v>52</v>
      </c>
      <c r="H270" t="s">
        <v>39</v>
      </c>
      <c r="I270" t="s">
        <v>1792</v>
      </c>
      <c r="J270" t="s">
        <v>1241</v>
      </c>
      <c r="K270">
        <v>2600</v>
      </c>
      <c r="L270">
        <v>250</v>
      </c>
      <c r="M270">
        <f>Customers_Table[[#This Row],[Quantity Ordered]]*Customers_Table[[#This Row],[Sales Price (Per unit)]]</f>
        <v>500</v>
      </c>
      <c r="N270" t="s">
        <v>1793</v>
      </c>
    </row>
    <row r="271" spans="1:14" x14ac:dyDescent="0.2">
      <c r="A271" t="s">
        <v>508</v>
      </c>
      <c r="B271" t="s">
        <v>509</v>
      </c>
      <c r="C271">
        <v>1503</v>
      </c>
      <c r="D271" t="s">
        <v>42</v>
      </c>
      <c r="E271" s="1">
        <v>45510</v>
      </c>
      <c r="F271" s="6">
        <v>2</v>
      </c>
      <c r="G271" s="1" t="s">
        <v>52</v>
      </c>
      <c r="H271" t="s">
        <v>39</v>
      </c>
      <c r="I271" t="s">
        <v>1794</v>
      </c>
      <c r="J271" t="s">
        <v>1241</v>
      </c>
      <c r="K271">
        <v>2600</v>
      </c>
      <c r="L271">
        <v>300</v>
      </c>
      <c r="M271">
        <f>Customers_Table[[#This Row],[Quantity Ordered]]*Customers_Table[[#This Row],[Sales Price (Per unit)]]</f>
        <v>600</v>
      </c>
      <c r="N271" t="s">
        <v>1795</v>
      </c>
    </row>
    <row r="272" spans="1:14" x14ac:dyDescent="0.2">
      <c r="A272" t="s">
        <v>510</v>
      </c>
      <c r="B272" t="s">
        <v>307</v>
      </c>
      <c r="C272">
        <v>1504</v>
      </c>
      <c r="D272" t="s">
        <v>76</v>
      </c>
      <c r="E272" s="1">
        <v>45464</v>
      </c>
      <c r="F272" s="6">
        <v>2</v>
      </c>
      <c r="G272" t="s">
        <v>32</v>
      </c>
      <c r="H272" t="s">
        <v>64</v>
      </c>
      <c r="I272" t="s">
        <v>1796</v>
      </c>
      <c r="J272" t="s">
        <v>1265</v>
      </c>
      <c r="K272">
        <v>7000</v>
      </c>
      <c r="L272">
        <v>1200</v>
      </c>
      <c r="M272">
        <f>Customers_Table[[#This Row],[Quantity Ordered]]*Customers_Table[[#This Row],[Sales Price (Per unit)]]</f>
        <v>2400</v>
      </c>
      <c r="N272" t="s">
        <v>1797</v>
      </c>
    </row>
    <row r="273" spans="1:14" x14ac:dyDescent="0.2">
      <c r="A273" t="s">
        <v>511</v>
      </c>
      <c r="B273" t="s">
        <v>512</v>
      </c>
      <c r="C273">
        <v>1505</v>
      </c>
      <c r="D273" t="s">
        <v>51</v>
      </c>
      <c r="E273" s="1">
        <v>45609</v>
      </c>
      <c r="F273" s="6">
        <v>1</v>
      </c>
      <c r="G273" t="s">
        <v>32</v>
      </c>
      <c r="H273" t="s">
        <v>57</v>
      </c>
      <c r="I273" t="s">
        <v>1798</v>
      </c>
      <c r="J273" t="s">
        <v>1253</v>
      </c>
      <c r="K273">
        <v>5290</v>
      </c>
      <c r="L273">
        <v>250</v>
      </c>
      <c r="M273">
        <f>Customers_Table[[#This Row],[Quantity Ordered]]*Customers_Table[[#This Row],[Sales Price (Per unit)]]</f>
        <v>250</v>
      </c>
      <c r="N273" t="s">
        <v>1799</v>
      </c>
    </row>
    <row r="274" spans="1:14" x14ac:dyDescent="0.2">
      <c r="A274" t="s">
        <v>513</v>
      </c>
      <c r="B274" t="s">
        <v>102</v>
      </c>
      <c r="C274">
        <v>1506</v>
      </c>
      <c r="D274" t="s">
        <v>31</v>
      </c>
      <c r="E274" s="1">
        <v>45606</v>
      </c>
      <c r="F274" s="6">
        <v>2</v>
      </c>
      <c r="G274" s="1" t="s">
        <v>52</v>
      </c>
      <c r="H274" t="s">
        <v>43</v>
      </c>
      <c r="I274" t="s">
        <v>1800</v>
      </c>
      <c r="J274" t="s">
        <v>1244</v>
      </c>
      <c r="K274">
        <v>2300</v>
      </c>
      <c r="L274">
        <v>250</v>
      </c>
      <c r="M274">
        <f>Customers_Table[[#This Row],[Quantity Ordered]]*Customers_Table[[#This Row],[Sales Price (Per unit)]]</f>
        <v>500</v>
      </c>
      <c r="N274" t="s">
        <v>1801</v>
      </c>
    </row>
    <row r="275" spans="1:14" x14ac:dyDescent="0.2">
      <c r="A275" t="s">
        <v>514</v>
      </c>
      <c r="B275" t="s">
        <v>266</v>
      </c>
      <c r="C275">
        <v>1507</v>
      </c>
      <c r="D275" t="s">
        <v>76</v>
      </c>
      <c r="E275" s="1">
        <v>45550</v>
      </c>
      <c r="F275" s="6">
        <v>3</v>
      </c>
      <c r="G275" t="s">
        <v>32</v>
      </c>
      <c r="H275" t="s">
        <v>47</v>
      </c>
      <c r="I275" t="s">
        <v>1802</v>
      </c>
      <c r="J275" t="s">
        <v>1275</v>
      </c>
      <c r="K275">
        <v>3000</v>
      </c>
      <c r="L275">
        <v>1200</v>
      </c>
      <c r="M275">
        <f>Customers_Table[[#This Row],[Quantity Ordered]]*Customers_Table[[#This Row],[Sales Price (Per unit)]]</f>
        <v>3600</v>
      </c>
      <c r="N275" t="s">
        <v>1803</v>
      </c>
    </row>
    <row r="276" spans="1:14" x14ac:dyDescent="0.2">
      <c r="A276" t="s">
        <v>127</v>
      </c>
      <c r="B276" t="s">
        <v>231</v>
      </c>
      <c r="C276">
        <v>1508</v>
      </c>
      <c r="D276" t="s">
        <v>76</v>
      </c>
      <c r="E276" s="1">
        <v>45539</v>
      </c>
      <c r="F276" s="6">
        <v>1</v>
      </c>
      <c r="G276" t="s">
        <v>32</v>
      </c>
      <c r="H276" t="s">
        <v>53</v>
      </c>
      <c r="I276" t="s">
        <v>1804</v>
      </c>
      <c r="J276" t="s">
        <v>1268</v>
      </c>
      <c r="K276">
        <v>4870</v>
      </c>
      <c r="L276">
        <v>1200</v>
      </c>
      <c r="M276">
        <f>Customers_Table[[#This Row],[Quantity Ordered]]*Customers_Table[[#This Row],[Sales Price (Per unit)]]</f>
        <v>1200</v>
      </c>
      <c r="N276" t="s">
        <v>1805</v>
      </c>
    </row>
    <row r="277" spans="1:14" x14ac:dyDescent="0.2">
      <c r="A277" t="s">
        <v>515</v>
      </c>
      <c r="B277" t="s">
        <v>68</v>
      </c>
      <c r="C277">
        <v>1509</v>
      </c>
      <c r="D277" t="s">
        <v>37</v>
      </c>
      <c r="E277" s="1">
        <v>45307</v>
      </c>
      <c r="F277" s="6">
        <v>3</v>
      </c>
      <c r="G277" t="s">
        <v>32</v>
      </c>
      <c r="H277" t="s">
        <v>33</v>
      </c>
      <c r="I277" t="s">
        <v>1806</v>
      </c>
      <c r="J277" t="s">
        <v>1259</v>
      </c>
      <c r="K277">
        <v>6160</v>
      </c>
      <c r="L277">
        <v>800</v>
      </c>
      <c r="M277">
        <f>Customers_Table[[#This Row],[Quantity Ordered]]*Customers_Table[[#This Row],[Sales Price (Per unit)]]</f>
        <v>2400</v>
      </c>
      <c r="N277" t="s">
        <v>1807</v>
      </c>
    </row>
    <row r="278" spans="1:14" x14ac:dyDescent="0.2">
      <c r="A278" t="s">
        <v>516</v>
      </c>
      <c r="B278" t="s">
        <v>109</v>
      </c>
      <c r="C278">
        <v>1510</v>
      </c>
      <c r="D278" t="s">
        <v>51</v>
      </c>
      <c r="E278" s="1">
        <v>45585</v>
      </c>
      <c r="F278" s="6">
        <v>1</v>
      </c>
      <c r="G278" s="1" t="s">
        <v>38</v>
      </c>
      <c r="H278" t="s">
        <v>39</v>
      </c>
      <c r="I278" t="s">
        <v>1808</v>
      </c>
      <c r="J278" t="s">
        <v>1241</v>
      </c>
      <c r="K278">
        <v>2600</v>
      </c>
      <c r="L278">
        <v>250</v>
      </c>
      <c r="M278">
        <f>Customers_Table[[#This Row],[Quantity Ordered]]*Customers_Table[[#This Row],[Sales Price (Per unit)]]</f>
        <v>250</v>
      </c>
      <c r="N278" t="s">
        <v>1809</v>
      </c>
    </row>
    <row r="279" spans="1:14" x14ac:dyDescent="0.2">
      <c r="A279" t="s">
        <v>497</v>
      </c>
      <c r="B279" t="s">
        <v>517</v>
      </c>
      <c r="C279">
        <v>1511</v>
      </c>
      <c r="D279" t="s">
        <v>92</v>
      </c>
      <c r="E279" s="1">
        <v>45438</v>
      </c>
      <c r="F279" s="6">
        <v>1</v>
      </c>
      <c r="G279" s="1" t="s">
        <v>38</v>
      </c>
      <c r="H279" t="s">
        <v>43</v>
      </c>
      <c r="I279" t="s">
        <v>1810</v>
      </c>
      <c r="J279" t="s">
        <v>865</v>
      </c>
      <c r="K279">
        <v>2000</v>
      </c>
      <c r="L279">
        <v>600</v>
      </c>
      <c r="M279">
        <f>Customers_Table[[#This Row],[Quantity Ordered]]*Customers_Table[[#This Row],[Sales Price (Per unit)]]</f>
        <v>600</v>
      </c>
      <c r="N279" t="s">
        <v>1811</v>
      </c>
    </row>
    <row r="280" spans="1:14" x14ac:dyDescent="0.2">
      <c r="A280" t="s">
        <v>518</v>
      </c>
      <c r="B280" t="s">
        <v>519</v>
      </c>
      <c r="C280">
        <v>1512</v>
      </c>
      <c r="D280" t="s">
        <v>42</v>
      </c>
      <c r="E280" s="1">
        <v>45387</v>
      </c>
      <c r="F280" s="6">
        <v>3</v>
      </c>
      <c r="G280" t="s">
        <v>32</v>
      </c>
      <c r="H280" t="s">
        <v>81</v>
      </c>
      <c r="I280" t="s">
        <v>1812</v>
      </c>
      <c r="J280" t="s">
        <v>1280</v>
      </c>
      <c r="K280">
        <v>800</v>
      </c>
      <c r="L280">
        <v>300</v>
      </c>
      <c r="M280">
        <f>Customers_Table[[#This Row],[Quantity Ordered]]*Customers_Table[[#This Row],[Sales Price (Per unit)]]</f>
        <v>900</v>
      </c>
      <c r="N280" t="s">
        <v>1813</v>
      </c>
    </row>
    <row r="281" spans="1:14" x14ac:dyDescent="0.2">
      <c r="A281" t="s">
        <v>520</v>
      </c>
      <c r="B281" t="s">
        <v>250</v>
      </c>
      <c r="C281">
        <v>1513</v>
      </c>
      <c r="D281" t="s">
        <v>42</v>
      </c>
      <c r="E281" s="1">
        <v>45504</v>
      </c>
      <c r="F281" s="6">
        <v>1</v>
      </c>
      <c r="G281" t="s">
        <v>32</v>
      </c>
      <c r="H281" t="s">
        <v>64</v>
      </c>
      <c r="I281" t="s">
        <v>1814</v>
      </c>
      <c r="J281" t="s">
        <v>1400</v>
      </c>
      <c r="K281">
        <v>7310</v>
      </c>
      <c r="L281">
        <v>300</v>
      </c>
      <c r="M281">
        <f>Customers_Table[[#This Row],[Quantity Ordered]]*Customers_Table[[#This Row],[Sales Price (Per unit)]]</f>
        <v>300</v>
      </c>
      <c r="N281" t="s">
        <v>1815</v>
      </c>
    </row>
    <row r="282" spans="1:14" x14ac:dyDescent="0.2">
      <c r="A282" t="s">
        <v>521</v>
      </c>
      <c r="B282" t="s">
        <v>522</v>
      </c>
      <c r="C282">
        <v>1514</v>
      </c>
      <c r="D282" t="s">
        <v>37</v>
      </c>
      <c r="E282" s="1">
        <v>45334</v>
      </c>
      <c r="F282" s="6">
        <v>3</v>
      </c>
      <c r="G282" t="s">
        <v>32</v>
      </c>
      <c r="H282" t="s">
        <v>39</v>
      </c>
      <c r="I282" t="s">
        <v>1816</v>
      </c>
      <c r="J282" t="s">
        <v>1241</v>
      </c>
      <c r="K282">
        <v>2600</v>
      </c>
      <c r="L282">
        <v>800</v>
      </c>
      <c r="M282">
        <f>Customers_Table[[#This Row],[Quantity Ordered]]*Customers_Table[[#This Row],[Sales Price (Per unit)]]</f>
        <v>2400</v>
      </c>
      <c r="N282" t="s">
        <v>1817</v>
      </c>
    </row>
    <row r="283" spans="1:14" x14ac:dyDescent="0.2">
      <c r="A283" t="s">
        <v>523</v>
      </c>
      <c r="B283" t="s">
        <v>524</v>
      </c>
      <c r="C283">
        <v>1515</v>
      </c>
      <c r="D283" t="s">
        <v>42</v>
      </c>
      <c r="E283" s="1">
        <v>45413</v>
      </c>
      <c r="F283" s="6">
        <v>2</v>
      </c>
      <c r="G283" s="1" t="s">
        <v>52</v>
      </c>
      <c r="H283" t="s">
        <v>57</v>
      </c>
      <c r="I283" t="s">
        <v>1818</v>
      </c>
      <c r="J283" t="s">
        <v>1350</v>
      </c>
      <c r="K283">
        <v>5600</v>
      </c>
      <c r="L283">
        <v>300</v>
      </c>
      <c r="M283">
        <f>Customers_Table[[#This Row],[Quantity Ordered]]*Customers_Table[[#This Row],[Sales Price (Per unit)]]</f>
        <v>600</v>
      </c>
      <c r="N283" t="s">
        <v>1819</v>
      </c>
    </row>
    <row r="284" spans="1:14" x14ac:dyDescent="0.2">
      <c r="A284" t="s">
        <v>525</v>
      </c>
      <c r="B284" t="s">
        <v>492</v>
      </c>
      <c r="C284">
        <v>1516</v>
      </c>
      <c r="D284" t="s">
        <v>42</v>
      </c>
      <c r="E284" s="1">
        <v>45325</v>
      </c>
      <c r="F284" s="6">
        <v>1</v>
      </c>
      <c r="G284" t="s">
        <v>71</v>
      </c>
      <c r="H284" t="s">
        <v>39</v>
      </c>
      <c r="I284" t="s">
        <v>1820</v>
      </c>
      <c r="J284" t="s">
        <v>1241</v>
      </c>
      <c r="K284">
        <v>2600</v>
      </c>
      <c r="L284">
        <v>300</v>
      </c>
      <c r="M284">
        <f>Customers_Table[[#This Row],[Quantity Ordered]]*Customers_Table[[#This Row],[Sales Price (Per unit)]]</f>
        <v>300</v>
      </c>
      <c r="N284" t="s">
        <v>1821</v>
      </c>
    </row>
    <row r="285" spans="1:14" x14ac:dyDescent="0.2">
      <c r="A285" t="s">
        <v>104</v>
      </c>
      <c r="B285" t="s">
        <v>526</v>
      </c>
      <c r="C285">
        <v>1517</v>
      </c>
      <c r="D285" t="s">
        <v>92</v>
      </c>
      <c r="E285" s="1">
        <v>45498</v>
      </c>
      <c r="F285" s="6">
        <v>2</v>
      </c>
      <c r="G285" s="1" t="s">
        <v>52</v>
      </c>
      <c r="H285" t="s">
        <v>64</v>
      </c>
      <c r="I285" t="s">
        <v>1822</v>
      </c>
      <c r="J285" t="s">
        <v>1265</v>
      </c>
      <c r="K285">
        <v>7000</v>
      </c>
      <c r="L285">
        <v>600</v>
      </c>
      <c r="M285">
        <f>Customers_Table[[#This Row],[Quantity Ordered]]*Customers_Table[[#This Row],[Sales Price (Per unit)]]</f>
        <v>1200</v>
      </c>
      <c r="N285" t="s">
        <v>1823</v>
      </c>
    </row>
    <row r="286" spans="1:14" x14ac:dyDescent="0.2">
      <c r="A286" t="s">
        <v>501</v>
      </c>
      <c r="B286" t="s">
        <v>527</v>
      </c>
      <c r="C286">
        <v>1518</v>
      </c>
      <c r="D286" t="s">
        <v>76</v>
      </c>
      <c r="E286" s="1">
        <v>45425</v>
      </c>
      <c r="F286" s="6">
        <v>1</v>
      </c>
      <c r="G286" t="s">
        <v>71</v>
      </c>
      <c r="H286" t="s">
        <v>43</v>
      </c>
      <c r="I286" t="s">
        <v>1824</v>
      </c>
      <c r="J286" t="s">
        <v>865</v>
      </c>
      <c r="K286">
        <v>2000</v>
      </c>
      <c r="L286">
        <v>1200</v>
      </c>
      <c r="M286">
        <f>Customers_Table[[#This Row],[Quantity Ordered]]*Customers_Table[[#This Row],[Sales Price (Per unit)]]</f>
        <v>1200</v>
      </c>
      <c r="N286" t="s">
        <v>1825</v>
      </c>
    </row>
    <row r="287" spans="1:14" x14ac:dyDescent="0.2">
      <c r="A287" t="s">
        <v>528</v>
      </c>
      <c r="B287" t="s">
        <v>529</v>
      </c>
      <c r="C287">
        <v>1519</v>
      </c>
      <c r="D287" t="s">
        <v>92</v>
      </c>
      <c r="E287" s="1">
        <v>45572</v>
      </c>
      <c r="F287" s="6">
        <v>1</v>
      </c>
      <c r="G287" t="s">
        <v>32</v>
      </c>
      <c r="H287" t="s">
        <v>57</v>
      </c>
      <c r="I287" t="s">
        <v>1826</v>
      </c>
      <c r="J287" t="s">
        <v>1253</v>
      </c>
      <c r="K287">
        <v>5290</v>
      </c>
      <c r="L287">
        <v>600</v>
      </c>
      <c r="M287">
        <f>Customers_Table[[#This Row],[Quantity Ordered]]*Customers_Table[[#This Row],[Sales Price (Per unit)]]</f>
        <v>600</v>
      </c>
      <c r="N287" t="s">
        <v>1827</v>
      </c>
    </row>
    <row r="288" spans="1:14" x14ac:dyDescent="0.2">
      <c r="A288" t="s">
        <v>530</v>
      </c>
      <c r="B288" t="s">
        <v>372</v>
      </c>
      <c r="C288">
        <v>1520</v>
      </c>
      <c r="D288" t="s">
        <v>51</v>
      </c>
      <c r="E288" s="1">
        <v>45416</v>
      </c>
      <c r="F288" s="6">
        <v>2</v>
      </c>
      <c r="G288" s="1" t="s">
        <v>52</v>
      </c>
      <c r="H288" t="s">
        <v>57</v>
      </c>
      <c r="I288" t="s">
        <v>1828</v>
      </c>
      <c r="J288" t="s">
        <v>1095</v>
      </c>
      <c r="K288">
        <v>5000</v>
      </c>
      <c r="L288">
        <v>250</v>
      </c>
      <c r="M288">
        <f>Customers_Table[[#This Row],[Quantity Ordered]]*Customers_Table[[#This Row],[Sales Price (Per unit)]]</f>
        <v>500</v>
      </c>
      <c r="N288" t="s">
        <v>1829</v>
      </c>
    </row>
    <row r="289" spans="1:14" x14ac:dyDescent="0.2">
      <c r="A289" t="s">
        <v>222</v>
      </c>
      <c r="B289" t="s">
        <v>531</v>
      </c>
      <c r="C289">
        <v>1521</v>
      </c>
      <c r="D289" t="s">
        <v>76</v>
      </c>
      <c r="E289" s="1">
        <v>45362</v>
      </c>
      <c r="F289" s="6">
        <v>2</v>
      </c>
      <c r="G289" t="s">
        <v>32</v>
      </c>
      <c r="H289" t="s">
        <v>47</v>
      </c>
      <c r="I289" t="s">
        <v>1830</v>
      </c>
      <c r="J289" t="s">
        <v>1247</v>
      </c>
      <c r="K289">
        <v>3350</v>
      </c>
      <c r="L289">
        <v>1200</v>
      </c>
      <c r="M289">
        <f>Customers_Table[[#This Row],[Quantity Ordered]]*Customers_Table[[#This Row],[Sales Price (Per unit)]]</f>
        <v>2400</v>
      </c>
      <c r="N289" t="s">
        <v>1831</v>
      </c>
    </row>
    <row r="290" spans="1:14" x14ac:dyDescent="0.2">
      <c r="A290" t="s">
        <v>88</v>
      </c>
      <c r="B290" t="s">
        <v>532</v>
      </c>
      <c r="C290">
        <v>1522</v>
      </c>
      <c r="D290" t="s">
        <v>76</v>
      </c>
      <c r="E290" s="1">
        <v>45372</v>
      </c>
      <c r="F290" s="6">
        <v>3</v>
      </c>
      <c r="G290" s="1" t="s">
        <v>52</v>
      </c>
      <c r="H290" t="s">
        <v>47</v>
      </c>
      <c r="I290" t="s">
        <v>1832</v>
      </c>
      <c r="J290" t="s">
        <v>1256</v>
      </c>
      <c r="K290">
        <v>3220</v>
      </c>
      <c r="L290">
        <v>1200</v>
      </c>
      <c r="M290">
        <f>Customers_Table[[#This Row],[Quantity Ordered]]*Customers_Table[[#This Row],[Sales Price (Per unit)]]</f>
        <v>3600</v>
      </c>
      <c r="N290" t="s">
        <v>1833</v>
      </c>
    </row>
    <row r="291" spans="1:14" x14ac:dyDescent="0.2">
      <c r="A291" t="s">
        <v>364</v>
      </c>
      <c r="B291" t="s">
        <v>533</v>
      </c>
      <c r="C291">
        <v>1523</v>
      </c>
      <c r="D291" t="s">
        <v>42</v>
      </c>
      <c r="E291" s="1">
        <v>45496</v>
      </c>
      <c r="F291" s="6">
        <v>1</v>
      </c>
      <c r="G291" t="s">
        <v>71</v>
      </c>
      <c r="H291" t="s">
        <v>47</v>
      </c>
      <c r="I291" t="s">
        <v>1834</v>
      </c>
      <c r="J291" t="s">
        <v>1247</v>
      </c>
      <c r="K291">
        <v>3350</v>
      </c>
      <c r="L291">
        <v>300</v>
      </c>
      <c r="M291">
        <f>Customers_Table[[#This Row],[Quantity Ordered]]*Customers_Table[[#This Row],[Sales Price (Per unit)]]</f>
        <v>300</v>
      </c>
      <c r="N291" t="s">
        <v>1835</v>
      </c>
    </row>
    <row r="292" spans="1:14" x14ac:dyDescent="0.2">
      <c r="A292" t="s">
        <v>534</v>
      </c>
      <c r="B292" t="s">
        <v>527</v>
      </c>
      <c r="C292">
        <v>1524</v>
      </c>
      <c r="D292" t="s">
        <v>31</v>
      </c>
      <c r="E292" s="1">
        <v>45310</v>
      </c>
      <c r="F292" s="6">
        <v>1</v>
      </c>
      <c r="G292" t="s">
        <v>32</v>
      </c>
      <c r="H292" t="s">
        <v>81</v>
      </c>
      <c r="I292" t="s">
        <v>1836</v>
      </c>
      <c r="J292" t="s">
        <v>1280</v>
      </c>
      <c r="K292">
        <v>800</v>
      </c>
      <c r="L292">
        <v>250</v>
      </c>
      <c r="M292">
        <f>Customers_Table[[#This Row],[Quantity Ordered]]*Customers_Table[[#This Row],[Sales Price (Per unit)]]</f>
        <v>250</v>
      </c>
      <c r="N292" t="s">
        <v>1837</v>
      </c>
    </row>
    <row r="293" spans="1:14" x14ac:dyDescent="0.2">
      <c r="A293" t="s">
        <v>535</v>
      </c>
      <c r="B293" t="s">
        <v>226</v>
      </c>
      <c r="C293">
        <v>1525</v>
      </c>
      <c r="D293" t="s">
        <v>76</v>
      </c>
      <c r="E293" s="1">
        <v>45613</v>
      </c>
      <c r="F293" s="6">
        <v>2</v>
      </c>
      <c r="G293" t="s">
        <v>71</v>
      </c>
      <c r="H293" t="s">
        <v>39</v>
      </c>
      <c r="I293" t="s">
        <v>1838</v>
      </c>
      <c r="J293" t="s">
        <v>1241</v>
      </c>
      <c r="K293">
        <v>2600</v>
      </c>
      <c r="L293">
        <v>1200</v>
      </c>
      <c r="M293">
        <f>Customers_Table[[#This Row],[Quantity Ordered]]*Customers_Table[[#This Row],[Sales Price (Per unit)]]</f>
        <v>2400</v>
      </c>
      <c r="N293" t="s">
        <v>1839</v>
      </c>
    </row>
    <row r="294" spans="1:14" x14ac:dyDescent="0.2">
      <c r="A294" t="s">
        <v>154</v>
      </c>
      <c r="B294" t="s">
        <v>225</v>
      </c>
      <c r="C294">
        <v>1526</v>
      </c>
      <c r="D294" t="s">
        <v>51</v>
      </c>
      <c r="E294" s="1">
        <v>45556</v>
      </c>
      <c r="F294" s="6">
        <v>1</v>
      </c>
      <c r="G294" t="s">
        <v>32</v>
      </c>
      <c r="H294" t="s">
        <v>39</v>
      </c>
      <c r="I294" t="s">
        <v>1840</v>
      </c>
      <c r="J294" t="s">
        <v>1241</v>
      </c>
      <c r="K294">
        <v>2600</v>
      </c>
      <c r="L294">
        <v>250</v>
      </c>
      <c r="M294">
        <f>Customers_Table[[#This Row],[Quantity Ordered]]*Customers_Table[[#This Row],[Sales Price (Per unit)]]</f>
        <v>250</v>
      </c>
      <c r="N294" t="s">
        <v>1841</v>
      </c>
    </row>
    <row r="295" spans="1:14" x14ac:dyDescent="0.2">
      <c r="A295" t="s">
        <v>536</v>
      </c>
      <c r="B295" t="s">
        <v>537</v>
      </c>
      <c r="C295">
        <v>1527</v>
      </c>
      <c r="D295" t="s">
        <v>92</v>
      </c>
      <c r="E295" s="1">
        <v>45326</v>
      </c>
      <c r="F295" s="6">
        <v>2</v>
      </c>
      <c r="G295" t="s">
        <v>32</v>
      </c>
      <c r="H295" t="s">
        <v>39</v>
      </c>
      <c r="I295" t="s">
        <v>1842</v>
      </c>
      <c r="J295" t="s">
        <v>1241</v>
      </c>
      <c r="K295">
        <v>2600</v>
      </c>
      <c r="L295">
        <v>600</v>
      </c>
      <c r="M295">
        <f>Customers_Table[[#This Row],[Quantity Ordered]]*Customers_Table[[#This Row],[Sales Price (Per unit)]]</f>
        <v>1200</v>
      </c>
      <c r="N295" t="s">
        <v>1843</v>
      </c>
    </row>
    <row r="296" spans="1:14" x14ac:dyDescent="0.2">
      <c r="A296" t="s">
        <v>261</v>
      </c>
      <c r="B296" t="s">
        <v>177</v>
      </c>
      <c r="C296">
        <v>1528</v>
      </c>
      <c r="D296" t="s">
        <v>76</v>
      </c>
      <c r="E296" s="1">
        <v>45576</v>
      </c>
      <c r="F296" s="6">
        <v>3</v>
      </c>
      <c r="G296" t="s">
        <v>32</v>
      </c>
      <c r="H296" t="s">
        <v>53</v>
      </c>
      <c r="I296" t="s">
        <v>1844</v>
      </c>
      <c r="J296" t="s">
        <v>1268</v>
      </c>
      <c r="K296">
        <v>4870</v>
      </c>
      <c r="L296">
        <v>1200</v>
      </c>
      <c r="M296">
        <f>Customers_Table[[#This Row],[Quantity Ordered]]*Customers_Table[[#This Row],[Sales Price (Per unit)]]</f>
        <v>3600</v>
      </c>
      <c r="N296" t="s">
        <v>1845</v>
      </c>
    </row>
    <row r="297" spans="1:14" x14ac:dyDescent="0.2">
      <c r="A297" t="s">
        <v>526</v>
      </c>
      <c r="B297" t="s">
        <v>203</v>
      </c>
      <c r="C297">
        <v>1529</v>
      </c>
      <c r="D297" t="s">
        <v>37</v>
      </c>
      <c r="E297" s="1">
        <v>45505</v>
      </c>
      <c r="F297" s="6">
        <v>2</v>
      </c>
      <c r="G297" s="1" t="s">
        <v>52</v>
      </c>
      <c r="H297" t="s">
        <v>81</v>
      </c>
      <c r="I297" t="s">
        <v>1846</v>
      </c>
      <c r="J297" t="s">
        <v>1280</v>
      </c>
      <c r="K297">
        <v>800</v>
      </c>
      <c r="L297">
        <v>800</v>
      </c>
      <c r="M297">
        <f>Customers_Table[[#This Row],[Quantity Ordered]]*Customers_Table[[#This Row],[Sales Price (Per unit)]]</f>
        <v>1600</v>
      </c>
      <c r="N297" t="s">
        <v>1847</v>
      </c>
    </row>
    <row r="298" spans="1:14" x14ac:dyDescent="0.2">
      <c r="A298" t="s">
        <v>538</v>
      </c>
      <c r="B298" t="s">
        <v>539</v>
      </c>
      <c r="C298">
        <v>1530</v>
      </c>
      <c r="D298" t="s">
        <v>76</v>
      </c>
      <c r="E298" s="1">
        <v>45519</v>
      </c>
      <c r="F298" s="6">
        <v>3</v>
      </c>
      <c r="G298" t="s">
        <v>32</v>
      </c>
      <c r="H298" t="s">
        <v>39</v>
      </c>
      <c r="I298" t="s">
        <v>1848</v>
      </c>
      <c r="J298" t="s">
        <v>1241</v>
      </c>
      <c r="K298">
        <v>2600</v>
      </c>
      <c r="L298">
        <v>1200</v>
      </c>
      <c r="M298">
        <f>Customers_Table[[#This Row],[Quantity Ordered]]*Customers_Table[[#This Row],[Sales Price (Per unit)]]</f>
        <v>3600</v>
      </c>
      <c r="N298" t="s">
        <v>1849</v>
      </c>
    </row>
    <row r="299" spans="1:14" x14ac:dyDescent="0.2">
      <c r="A299" t="s">
        <v>540</v>
      </c>
      <c r="B299" t="s">
        <v>541</v>
      </c>
      <c r="C299">
        <v>1531</v>
      </c>
      <c r="D299" t="s">
        <v>31</v>
      </c>
      <c r="E299" s="1">
        <v>45594</v>
      </c>
      <c r="F299" s="6">
        <v>3</v>
      </c>
      <c r="G299" t="s">
        <v>32</v>
      </c>
      <c r="H299" t="s">
        <v>81</v>
      </c>
      <c r="I299" t="s">
        <v>1850</v>
      </c>
      <c r="J299" t="s">
        <v>1361</v>
      </c>
      <c r="K299">
        <v>870</v>
      </c>
      <c r="L299">
        <v>250</v>
      </c>
      <c r="M299">
        <f>Customers_Table[[#This Row],[Quantity Ordered]]*Customers_Table[[#This Row],[Sales Price (Per unit)]]</f>
        <v>750</v>
      </c>
      <c r="N299" t="s">
        <v>1851</v>
      </c>
    </row>
    <row r="300" spans="1:14" x14ac:dyDescent="0.2">
      <c r="A300" t="s">
        <v>542</v>
      </c>
      <c r="B300" t="s">
        <v>201</v>
      </c>
      <c r="C300">
        <v>1532</v>
      </c>
      <c r="D300" t="s">
        <v>42</v>
      </c>
      <c r="E300" s="1">
        <v>45459</v>
      </c>
      <c r="F300" s="6">
        <v>1</v>
      </c>
      <c r="G300" t="s">
        <v>32</v>
      </c>
      <c r="H300" t="s">
        <v>47</v>
      </c>
      <c r="I300" t="s">
        <v>1852</v>
      </c>
      <c r="J300" t="s">
        <v>1247</v>
      </c>
      <c r="K300">
        <v>3350</v>
      </c>
      <c r="L300">
        <v>300</v>
      </c>
      <c r="M300">
        <f>Customers_Table[[#This Row],[Quantity Ordered]]*Customers_Table[[#This Row],[Sales Price (Per unit)]]</f>
        <v>300</v>
      </c>
      <c r="N300" t="s">
        <v>1853</v>
      </c>
    </row>
    <row r="301" spans="1:14" x14ac:dyDescent="0.2">
      <c r="A301" t="s">
        <v>543</v>
      </c>
      <c r="B301" t="s">
        <v>544</v>
      </c>
      <c r="C301">
        <v>1533</v>
      </c>
      <c r="D301" t="s">
        <v>42</v>
      </c>
      <c r="E301" s="1">
        <v>45655</v>
      </c>
      <c r="F301" s="6">
        <v>1</v>
      </c>
      <c r="G301" s="1" t="s">
        <v>52</v>
      </c>
      <c r="H301" t="s">
        <v>53</v>
      </c>
      <c r="I301" t="s">
        <v>1854</v>
      </c>
      <c r="J301" t="s">
        <v>1268</v>
      </c>
      <c r="K301">
        <v>4870</v>
      </c>
      <c r="L301">
        <v>300</v>
      </c>
      <c r="M301">
        <f>Customers_Table[[#This Row],[Quantity Ordered]]*Customers_Table[[#This Row],[Sales Price (Per unit)]]</f>
        <v>300</v>
      </c>
      <c r="N301" t="s">
        <v>1855</v>
      </c>
    </row>
    <row r="302" spans="1:14" x14ac:dyDescent="0.2">
      <c r="A302" t="s">
        <v>545</v>
      </c>
      <c r="B302" t="s">
        <v>546</v>
      </c>
      <c r="C302">
        <v>1534</v>
      </c>
      <c r="D302" t="s">
        <v>37</v>
      </c>
      <c r="E302" s="1">
        <v>45563</v>
      </c>
      <c r="F302" s="6">
        <v>1</v>
      </c>
      <c r="G302" t="s">
        <v>32</v>
      </c>
      <c r="H302" t="s">
        <v>53</v>
      </c>
      <c r="I302" t="s">
        <v>1856</v>
      </c>
      <c r="J302" t="s">
        <v>1268</v>
      </c>
      <c r="K302">
        <v>4870</v>
      </c>
      <c r="L302">
        <v>800</v>
      </c>
      <c r="M302">
        <f>Customers_Table[[#This Row],[Quantity Ordered]]*Customers_Table[[#This Row],[Sales Price (Per unit)]]</f>
        <v>800</v>
      </c>
      <c r="N302" t="s">
        <v>1857</v>
      </c>
    </row>
    <row r="303" spans="1:14" x14ac:dyDescent="0.2">
      <c r="A303" t="s">
        <v>547</v>
      </c>
      <c r="B303" t="s">
        <v>56</v>
      </c>
      <c r="C303">
        <v>1535</v>
      </c>
      <c r="D303" t="s">
        <v>92</v>
      </c>
      <c r="E303" s="1">
        <v>45297</v>
      </c>
      <c r="F303" s="6">
        <v>1</v>
      </c>
      <c r="G303" t="s">
        <v>32</v>
      </c>
      <c r="H303" t="s">
        <v>47</v>
      </c>
      <c r="I303" t="s">
        <v>1858</v>
      </c>
      <c r="J303" t="s">
        <v>1256</v>
      </c>
      <c r="K303">
        <v>3220</v>
      </c>
      <c r="L303">
        <v>600</v>
      </c>
      <c r="M303">
        <f>Customers_Table[[#This Row],[Quantity Ordered]]*Customers_Table[[#This Row],[Sales Price (Per unit)]]</f>
        <v>600</v>
      </c>
      <c r="N303" t="s">
        <v>1859</v>
      </c>
    </row>
    <row r="304" spans="1:14" x14ac:dyDescent="0.2">
      <c r="A304" t="s">
        <v>548</v>
      </c>
      <c r="B304" t="s">
        <v>194</v>
      </c>
      <c r="C304">
        <v>1536</v>
      </c>
      <c r="D304" t="s">
        <v>51</v>
      </c>
      <c r="E304" s="1">
        <v>45651</v>
      </c>
      <c r="F304" s="6">
        <v>3</v>
      </c>
      <c r="G304" s="1" t="s">
        <v>38</v>
      </c>
      <c r="H304" t="s">
        <v>53</v>
      </c>
      <c r="I304" t="s">
        <v>1860</v>
      </c>
      <c r="J304" t="s">
        <v>1250</v>
      </c>
      <c r="K304">
        <v>4217</v>
      </c>
      <c r="L304">
        <v>250</v>
      </c>
      <c r="M304">
        <f>Customers_Table[[#This Row],[Quantity Ordered]]*Customers_Table[[#This Row],[Sales Price (Per unit)]]</f>
        <v>750</v>
      </c>
      <c r="N304" t="s">
        <v>1861</v>
      </c>
    </row>
    <row r="305" spans="1:14" x14ac:dyDescent="0.2">
      <c r="A305" t="s">
        <v>344</v>
      </c>
      <c r="B305" t="s">
        <v>128</v>
      </c>
      <c r="C305">
        <v>1537</v>
      </c>
      <c r="D305" t="s">
        <v>31</v>
      </c>
      <c r="E305" s="1">
        <v>45400</v>
      </c>
      <c r="F305" s="6">
        <v>1</v>
      </c>
      <c r="G305" t="s">
        <v>32</v>
      </c>
      <c r="H305" t="s">
        <v>47</v>
      </c>
      <c r="I305" t="s">
        <v>1862</v>
      </c>
      <c r="J305" t="s">
        <v>1256</v>
      </c>
      <c r="K305">
        <v>3220</v>
      </c>
      <c r="L305">
        <v>250</v>
      </c>
      <c r="M305">
        <f>Customers_Table[[#This Row],[Quantity Ordered]]*Customers_Table[[#This Row],[Sales Price (Per unit)]]</f>
        <v>250</v>
      </c>
      <c r="N305" t="s">
        <v>1863</v>
      </c>
    </row>
    <row r="306" spans="1:14" x14ac:dyDescent="0.2">
      <c r="A306" t="s">
        <v>549</v>
      </c>
      <c r="B306" t="s">
        <v>546</v>
      </c>
      <c r="C306">
        <v>1538</v>
      </c>
      <c r="D306" t="s">
        <v>37</v>
      </c>
      <c r="E306" s="1">
        <v>45405</v>
      </c>
      <c r="F306" s="6">
        <v>1</v>
      </c>
      <c r="G306" s="1" t="s">
        <v>52</v>
      </c>
      <c r="H306" t="s">
        <v>33</v>
      </c>
      <c r="I306" t="s">
        <v>1864</v>
      </c>
      <c r="J306" t="s">
        <v>1302</v>
      </c>
      <c r="K306">
        <v>6000</v>
      </c>
      <c r="L306">
        <v>800</v>
      </c>
      <c r="M306">
        <f>Customers_Table[[#This Row],[Quantity Ordered]]*Customers_Table[[#This Row],[Sales Price (Per unit)]]</f>
        <v>800</v>
      </c>
      <c r="N306" t="s">
        <v>1865</v>
      </c>
    </row>
    <row r="307" spans="1:14" x14ac:dyDescent="0.2">
      <c r="A307" t="s">
        <v>550</v>
      </c>
      <c r="B307" t="s">
        <v>551</v>
      </c>
      <c r="C307">
        <v>1539</v>
      </c>
      <c r="D307" t="s">
        <v>42</v>
      </c>
      <c r="E307" s="1">
        <v>45324</v>
      </c>
      <c r="F307" s="6">
        <v>2</v>
      </c>
      <c r="G307" t="s">
        <v>32</v>
      </c>
      <c r="H307" t="s">
        <v>39</v>
      </c>
      <c r="I307" t="s">
        <v>1866</v>
      </c>
      <c r="J307" t="s">
        <v>1241</v>
      </c>
      <c r="K307">
        <v>2600</v>
      </c>
      <c r="L307">
        <v>300</v>
      </c>
      <c r="M307">
        <f>Customers_Table[[#This Row],[Quantity Ordered]]*Customers_Table[[#This Row],[Sales Price (Per unit)]]</f>
        <v>600</v>
      </c>
      <c r="N307" t="s">
        <v>1867</v>
      </c>
    </row>
    <row r="308" spans="1:14" x14ac:dyDescent="0.2">
      <c r="A308" t="s">
        <v>552</v>
      </c>
      <c r="B308" t="s">
        <v>553</v>
      </c>
      <c r="C308">
        <v>1540</v>
      </c>
      <c r="D308" t="s">
        <v>92</v>
      </c>
      <c r="E308" s="1">
        <v>45505</v>
      </c>
      <c r="F308" s="6">
        <v>3</v>
      </c>
      <c r="G308" s="1" t="s">
        <v>52</v>
      </c>
      <c r="H308" t="s">
        <v>57</v>
      </c>
      <c r="I308" t="s">
        <v>1868</v>
      </c>
      <c r="J308" t="s">
        <v>1095</v>
      </c>
      <c r="K308">
        <v>5000</v>
      </c>
      <c r="L308">
        <v>600</v>
      </c>
      <c r="M308">
        <f>Customers_Table[[#This Row],[Quantity Ordered]]*Customers_Table[[#This Row],[Sales Price (Per unit)]]</f>
        <v>1800</v>
      </c>
      <c r="N308" t="s">
        <v>1869</v>
      </c>
    </row>
    <row r="309" spans="1:14" x14ac:dyDescent="0.2">
      <c r="A309" t="s">
        <v>361</v>
      </c>
      <c r="B309" t="s">
        <v>295</v>
      </c>
      <c r="C309">
        <v>1541</v>
      </c>
      <c r="D309" t="s">
        <v>42</v>
      </c>
      <c r="E309" s="1">
        <v>45560</v>
      </c>
      <c r="F309" s="6">
        <v>3</v>
      </c>
      <c r="G309" t="s">
        <v>32</v>
      </c>
      <c r="H309" t="s">
        <v>81</v>
      </c>
      <c r="I309" t="s">
        <v>1870</v>
      </c>
      <c r="J309" t="s">
        <v>1361</v>
      </c>
      <c r="K309">
        <v>870</v>
      </c>
      <c r="L309">
        <v>300</v>
      </c>
      <c r="M309">
        <f>Customers_Table[[#This Row],[Quantity Ordered]]*Customers_Table[[#This Row],[Sales Price (Per unit)]]</f>
        <v>900</v>
      </c>
      <c r="N309" t="s">
        <v>1871</v>
      </c>
    </row>
    <row r="310" spans="1:14" x14ac:dyDescent="0.2">
      <c r="A310" t="s">
        <v>554</v>
      </c>
      <c r="B310" t="s">
        <v>555</v>
      </c>
      <c r="C310">
        <v>1542</v>
      </c>
      <c r="D310" t="s">
        <v>37</v>
      </c>
      <c r="E310" s="1">
        <v>45535</v>
      </c>
      <c r="F310" s="6">
        <v>2</v>
      </c>
      <c r="G310" t="s">
        <v>32</v>
      </c>
      <c r="H310" t="s">
        <v>81</v>
      </c>
      <c r="I310" t="s">
        <v>1872</v>
      </c>
      <c r="J310" t="s">
        <v>1280</v>
      </c>
      <c r="K310">
        <v>800</v>
      </c>
      <c r="L310">
        <v>800</v>
      </c>
      <c r="M310">
        <f>Customers_Table[[#This Row],[Quantity Ordered]]*Customers_Table[[#This Row],[Sales Price (Per unit)]]</f>
        <v>1600</v>
      </c>
      <c r="N310" t="s">
        <v>1873</v>
      </c>
    </row>
    <row r="311" spans="1:14" x14ac:dyDescent="0.2">
      <c r="A311" t="s">
        <v>556</v>
      </c>
      <c r="B311" t="s">
        <v>66</v>
      </c>
      <c r="C311">
        <v>1543</v>
      </c>
      <c r="D311" t="s">
        <v>51</v>
      </c>
      <c r="E311" s="1">
        <v>45428</v>
      </c>
      <c r="F311" s="6">
        <v>2</v>
      </c>
      <c r="G311" t="s">
        <v>71</v>
      </c>
      <c r="H311" t="s">
        <v>47</v>
      </c>
      <c r="I311" t="s">
        <v>1874</v>
      </c>
      <c r="J311" t="s">
        <v>1275</v>
      </c>
      <c r="K311">
        <v>3000</v>
      </c>
      <c r="L311">
        <v>250</v>
      </c>
      <c r="M311">
        <f>Customers_Table[[#This Row],[Quantity Ordered]]*Customers_Table[[#This Row],[Sales Price (Per unit)]]</f>
        <v>500</v>
      </c>
      <c r="N311" t="s">
        <v>1875</v>
      </c>
    </row>
    <row r="312" spans="1:14" x14ac:dyDescent="0.2">
      <c r="A312" t="s">
        <v>115</v>
      </c>
      <c r="B312" t="s">
        <v>557</v>
      </c>
      <c r="C312">
        <v>1544</v>
      </c>
      <c r="D312" t="s">
        <v>92</v>
      </c>
      <c r="E312" s="1">
        <v>45562</v>
      </c>
      <c r="F312" s="6">
        <v>2</v>
      </c>
      <c r="G312" s="1" t="s">
        <v>52</v>
      </c>
      <c r="H312" t="s">
        <v>43</v>
      </c>
      <c r="I312" t="s">
        <v>1876</v>
      </c>
      <c r="J312" t="s">
        <v>865</v>
      </c>
      <c r="K312">
        <v>2000</v>
      </c>
      <c r="L312">
        <v>600</v>
      </c>
      <c r="M312">
        <f>Customers_Table[[#This Row],[Quantity Ordered]]*Customers_Table[[#This Row],[Sales Price (Per unit)]]</f>
        <v>1200</v>
      </c>
      <c r="N312" t="s">
        <v>1877</v>
      </c>
    </row>
    <row r="313" spans="1:14" x14ac:dyDescent="0.2">
      <c r="A313" t="s">
        <v>558</v>
      </c>
      <c r="B313" t="s">
        <v>329</v>
      </c>
      <c r="C313">
        <v>1545</v>
      </c>
      <c r="D313" t="s">
        <v>31</v>
      </c>
      <c r="E313" s="1">
        <v>45401</v>
      </c>
      <c r="F313" s="6">
        <v>3</v>
      </c>
      <c r="G313" s="1" t="s">
        <v>52</v>
      </c>
      <c r="H313" t="s">
        <v>64</v>
      </c>
      <c r="I313" t="s">
        <v>1878</v>
      </c>
      <c r="J313" t="s">
        <v>1265</v>
      </c>
      <c r="K313">
        <v>7000</v>
      </c>
      <c r="L313">
        <v>250</v>
      </c>
      <c r="M313">
        <f>Customers_Table[[#This Row],[Quantity Ordered]]*Customers_Table[[#This Row],[Sales Price (Per unit)]]</f>
        <v>750</v>
      </c>
      <c r="N313" t="s">
        <v>1879</v>
      </c>
    </row>
    <row r="314" spans="1:14" x14ac:dyDescent="0.2">
      <c r="A314" t="s">
        <v>34</v>
      </c>
      <c r="B314" t="s">
        <v>559</v>
      </c>
      <c r="C314">
        <v>1546</v>
      </c>
      <c r="D314" t="s">
        <v>76</v>
      </c>
      <c r="E314" s="1">
        <v>45525</v>
      </c>
      <c r="F314" s="6">
        <v>1</v>
      </c>
      <c r="G314" s="1" t="s">
        <v>52</v>
      </c>
      <c r="H314" t="s">
        <v>64</v>
      </c>
      <c r="I314" t="s">
        <v>1880</v>
      </c>
      <c r="J314" t="s">
        <v>1400</v>
      </c>
      <c r="K314">
        <v>7310</v>
      </c>
      <c r="L314">
        <v>1200</v>
      </c>
      <c r="M314">
        <f>Customers_Table[[#This Row],[Quantity Ordered]]*Customers_Table[[#This Row],[Sales Price (Per unit)]]</f>
        <v>1200</v>
      </c>
      <c r="N314" t="s">
        <v>1881</v>
      </c>
    </row>
    <row r="315" spans="1:14" x14ac:dyDescent="0.2">
      <c r="A315" t="s">
        <v>560</v>
      </c>
      <c r="B315" t="s">
        <v>561</v>
      </c>
      <c r="C315">
        <v>1547</v>
      </c>
      <c r="D315" t="s">
        <v>76</v>
      </c>
      <c r="E315" s="1">
        <v>45423</v>
      </c>
      <c r="F315" s="6">
        <v>3</v>
      </c>
      <c r="G315" s="1" t="s">
        <v>38</v>
      </c>
      <c r="H315" t="s">
        <v>47</v>
      </c>
      <c r="I315" t="s">
        <v>1882</v>
      </c>
      <c r="J315" t="s">
        <v>1247</v>
      </c>
      <c r="K315">
        <v>3350</v>
      </c>
      <c r="L315">
        <v>1200</v>
      </c>
      <c r="M315">
        <f>Customers_Table[[#This Row],[Quantity Ordered]]*Customers_Table[[#This Row],[Sales Price (Per unit)]]</f>
        <v>3600</v>
      </c>
      <c r="N315" t="s">
        <v>1883</v>
      </c>
    </row>
    <row r="316" spans="1:14" x14ac:dyDescent="0.2">
      <c r="A316" t="s">
        <v>562</v>
      </c>
      <c r="B316" t="s">
        <v>56</v>
      </c>
      <c r="C316">
        <v>1548</v>
      </c>
      <c r="D316" t="s">
        <v>92</v>
      </c>
      <c r="E316" s="1">
        <v>45421</v>
      </c>
      <c r="F316" s="6">
        <v>3</v>
      </c>
      <c r="G316" s="1" t="s">
        <v>52</v>
      </c>
      <c r="H316" t="s">
        <v>33</v>
      </c>
      <c r="I316" t="s">
        <v>1884</v>
      </c>
      <c r="J316" t="s">
        <v>1238</v>
      </c>
      <c r="K316">
        <v>6725</v>
      </c>
      <c r="L316">
        <v>600</v>
      </c>
      <c r="M316">
        <f>Customers_Table[[#This Row],[Quantity Ordered]]*Customers_Table[[#This Row],[Sales Price (Per unit)]]</f>
        <v>1800</v>
      </c>
      <c r="N316" t="s">
        <v>1885</v>
      </c>
    </row>
    <row r="317" spans="1:14" x14ac:dyDescent="0.2">
      <c r="A317" t="s">
        <v>355</v>
      </c>
      <c r="B317" t="s">
        <v>563</v>
      </c>
      <c r="C317">
        <v>1549</v>
      </c>
      <c r="D317" t="s">
        <v>51</v>
      </c>
      <c r="E317" s="1">
        <v>45614</v>
      </c>
      <c r="F317" s="6">
        <v>1</v>
      </c>
      <c r="G317" t="s">
        <v>71</v>
      </c>
      <c r="H317" t="s">
        <v>47</v>
      </c>
      <c r="I317" t="s">
        <v>1886</v>
      </c>
      <c r="J317" t="s">
        <v>1275</v>
      </c>
      <c r="K317">
        <v>3000</v>
      </c>
      <c r="L317">
        <v>250</v>
      </c>
      <c r="M317">
        <f>Customers_Table[[#This Row],[Quantity Ordered]]*Customers_Table[[#This Row],[Sales Price (Per unit)]]</f>
        <v>250</v>
      </c>
      <c r="N317" t="s">
        <v>1887</v>
      </c>
    </row>
    <row r="318" spans="1:14" x14ac:dyDescent="0.2">
      <c r="A318" t="s">
        <v>564</v>
      </c>
      <c r="B318" t="s">
        <v>565</v>
      </c>
      <c r="C318">
        <v>1550</v>
      </c>
      <c r="D318" t="s">
        <v>76</v>
      </c>
      <c r="E318" s="1">
        <v>45373</v>
      </c>
      <c r="F318" s="6">
        <v>1</v>
      </c>
      <c r="G318" s="1" t="s">
        <v>38</v>
      </c>
      <c r="H318" t="s">
        <v>57</v>
      </c>
      <c r="I318" t="s">
        <v>1888</v>
      </c>
      <c r="J318" t="s">
        <v>1253</v>
      </c>
      <c r="K318">
        <v>5290</v>
      </c>
      <c r="L318">
        <v>1200</v>
      </c>
      <c r="M318">
        <f>Customers_Table[[#This Row],[Quantity Ordered]]*Customers_Table[[#This Row],[Sales Price (Per unit)]]</f>
        <v>1200</v>
      </c>
      <c r="N318" t="s">
        <v>1889</v>
      </c>
    </row>
    <row r="319" spans="1:14" x14ac:dyDescent="0.2">
      <c r="A319" t="s">
        <v>566</v>
      </c>
      <c r="B319" t="s">
        <v>567</v>
      </c>
      <c r="C319">
        <v>1551</v>
      </c>
      <c r="D319" t="s">
        <v>31</v>
      </c>
      <c r="E319" s="1">
        <v>45484</v>
      </c>
      <c r="F319" s="6">
        <v>1</v>
      </c>
      <c r="G319" t="s">
        <v>32</v>
      </c>
      <c r="H319" t="s">
        <v>43</v>
      </c>
      <c r="I319" t="s">
        <v>1890</v>
      </c>
      <c r="J319" t="s">
        <v>1244</v>
      </c>
      <c r="K319">
        <v>2300</v>
      </c>
      <c r="L319">
        <v>250</v>
      </c>
      <c r="M319">
        <f>Customers_Table[[#This Row],[Quantity Ordered]]*Customers_Table[[#This Row],[Sales Price (Per unit)]]</f>
        <v>250</v>
      </c>
      <c r="N319" t="s">
        <v>1891</v>
      </c>
    </row>
    <row r="320" spans="1:14" x14ac:dyDescent="0.2">
      <c r="A320" t="s">
        <v>568</v>
      </c>
      <c r="B320" t="s">
        <v>569</v>
      </c>
      <c r="C320">
        <v>1552</v>
      </c>
      <c r="D320" t="s">
        <v>51</v>
      </c>
      <c r="E320" s="1">
        <v>45324</v>
      </c>
      <c r="F320" s="6">
        <v>2</v>
      </c>
      <c r="G320" s="1" t="s">
        <v>52</v>
      </c>
      <c r="H320" t="s">
        <v>47</v>
      </c>
      <c r="I320" t="s">
        <v>1892</v>
      </c>
      <c r="J320" t="s">
        <v>1256</v>
      </c>
      <c r="K320">
        <v>3220</v>
      </c>
      <c r="L320">
        <v>250</v>
      </c>
      <c r="M320">
        <f>Customers_Table[[#This Row],[Quantity Ordered]]*Customers_Table[[#This Row],[Sales Price (Per unit)]]</f>
        <v>500</v>
      </c>
      <c r="N320" t="s">
        <v>1893</v>
      </c>
    </row>
    <row r="321" spans="1:14" x14ac:dyDescent="0.2">
      <c r="A321" t="s">
        <v>428</v>
      </c>
      <c r="B321" t="s">
        <v>375</v>
      </c>
      <c r="C321">
        <v>1553</v>
      </c>
      <c r="D321" t="s">
        <v>76</v>
      </c>
      <c r="E321" s="1">
        <v>45648</v>
      </c>
      <c r="F321" s="6">
        <v>3</v>
      </c>
      <c r="G321" t="s">
        <v>32</v>
      </c>
      <c r="H321" t="s">
        <v>57</v>
      </c>
      <c r="I321" t="s">
        <v>1894</v>
      </c>
      <c r="J321" t="s">
        <v>1095</v>
      </c>
      <c r="K321">
        <v>5000</v>
      </c>
      <c r="L321">
        <v>1200</v>
      </c>
      <c r="M321">
        <f>Customers_Table[[#This Row],[Quantity Ordered]]*Customers_Table[[#This Row],[Sales Price (Per unit)]]</f>
        <v>3600</v>
      </c>
      <c r="N321" t="s">
        <v>1895</v>
      </c>
    </row>
    <row r="322" spans="1:14" x14ac:dyDescent="0.2">
      <c r="A322" t="s">
        <v>241</v>
      </c>
      <c r="B322" t="s">
        <v>570</v>
      </c>
      <c r="C322">
        <v>1554</v>
      </c>
      <c r="D322" t="s">
        <v>51</v>
      </c>
      <c r="E322" s="1">
        <v>45301</v>
      </c>
      <c r="F322" s="6">
        <v>1</v>
      </c>
      <c r="G322" t="s">
        <v>32</v>
      </c>
      <c r="H322" t="s">
        <v>53</v>
      </c>
      <c r="I322" t="s">
        <v>1896</v>
      </c>
      <c r="J322" t="s">
        <v>1268</v>
      </c>
      <c r="K322">
        <v>4870</v>
      </c>
      <c r="L322">
        <v>250</v>
      </c>
      <c r="M322">
        <f>Customers_Table[[#This Row],[Quantity Ordered]]*Customers_Table[[#This Row],[Sales Price (Per unit)]]</f>
        <v>250</v>
      </c>
      <c r="N322" t="s">
        <v>1897</v>
      </c>
    </row>
    <row r="323" spans="1:14" x14ac:dyDescent="0.2">
      <c r="A323" t="s">
        <v>571</v>
      </c>
      <c r="B323" t="s">
        <v>572</v>
      </c>
      <c r="C323">
        <v>1555</v>
      </c>
      <c r="D323" t="s">
        <v>37</v>
      </c>
      <c r="E323" s="1">
        <v>45428</v>
      </c>
      <c r="F323" s="6">
        <v>3</v>
      </c>
      <c r="G323" s="1" t="s">
        <v>52</v>
      </c>
      <c r="H323" t="s">
        <v>57</v>
      </c>
      <c r="I323" t="s">
        <v>1898</v>
      </c>
      <c r="J323" t="s">
        <v>1253</v>
      </c>
      <c r="K323">
        <v>5290</v>
      </c>
      <c r="L323">
        <v>800</v>
      </c>
      <c r="M323">
        <f>Customers_Table[[#This Row],[Quantity Ordered]]*Customers_Table[[#This Row],[Sales Price (Per unit)]]</f>
        <v>2400</v>
      </c>
      <c r="N323" t="s">
        <v>1899</v>
      </c>
    </row>
    <row r="324" spans="1:14" x14ac:dyDescent="0.2">
      <c r="A324" t="s">
        <v>573</v>
      </c>
      <c r="B324" t="s">
        <v>574</v>
      </c>
      <c r="C324">
        <v>1556</v>
      </c>
      <c r="D324" t="s">
        <v>37</v>
      </c>
      <c r="E324" s="1">
        <v>45331</v>
      </c>
      <c r="F324" s="6">
        <v>2</v>
      </c>
      <c r="G324" s="1" t="s">
        <v>52</v>
      </c>
      <c r="H324" t="s">
        <v>33</v>
      </c>
      <c r="I324" t="s">
        <v>1900</v>
      </c>
      <c r="J324" t="s">
        <v>1302</v>
      </c>
      <c r="K324">
        <v>6000</v>
      </c>
      <c r="L324">
        <v>800</v>
      </c>
      <c r="M324">
        <f>Customers_Table[[#This Row],[Quantity Ordered]]*Customers_Table[[#This Row],[Sales Price (Per unit)]]</f>
        <v>1600</v>
      </c>
      <c r="N324" t="s">
        <v>1901</v>
      </c>
    </row>
    <row r="325" spans="1:14" x14ac:dyDescent="0.2">
      <c r="A325" t="s">
        <v>575</v>
      </c>
      <c r="B325" t="s">
        <v>576</v>
      </c>
      <c r="C325">
        <v>1557</v>
      </c>
      <c r="D325" t="s">
        <v>76</v>
      </c>
      <c r="E325" s="1">
        <v>45306</v>
      </c>
      <c r="F325" s="6">
        <v>3</v>
      </c>
      <c r="G325" s="1" t="s">
        <v>38</v>
      </c>
      <c r="H325" t="s">
        <v>57</v>
      </c>
      <c r="I325" t="s">
        <v>1902</v>
      </c>
      <c r="J325" t="s">
        <v>1253</v>
      </c>
      <c r="K325">
        <v>5290</v>
      </c>
      <c r="L325">
        <v>1200</v>
      </c>
      <c r="M325">
        <f>Customers_Table[[#This Row],[Quantity Ordered]]*Customers_Table[[#This Row],[Sales Price (Per unit)]]</f>
        <v>3600</v>
      </c>
      <c r="N325" t="s">
        <v>1903</v>
      </c>
    </row>
    <row r="326" spans="1:14" x14ac:dyDescent="0.2">
      <c r="A326" t="s">
        <v>577</v>
      </c>
      <c r="B326" t="s">
        <v>75</v>
      </c>
      <c r="C326">
        <v>1558</v>
      </c>
      <c r="D326" t="s">
        <v>76</v>
      </c>
      <c r="E326" s="1">
        <v>45386</v>
      </c>
      <c r="F326" s="6">
        <v>2</v>
      </c>
      <c r="G326" s="1" t="s">
        <v>52</v>
      </c>
      <c r="H326" t="s">
        <v>64</v>
      </c>
      <c r="I326" t="s">
        <v>1904</v>
      </c>
      <c r="J326" t="s">
        <v>1400</v>
      </c>
      <c r="K326">
        <v>7310</v>
      </c>
      <c r="L326">
        <v>1200</v>
      </c>
      <c r="M326">
        <f>Customers_Table[[#This Row],[Quantity Ordered]]*Customers_Table[[#This Row],[Sales Price (Per unit)]]</f>
        <v>2400</v>
      </c>
      <c r="N326" t="s">
        <v>1905</v>
      </c>
    </row>
    <row r="327" spans="1:14" x14ac:dyDescent="0.2">
      <c r="A327" t="s">
        <v>578</v>
      </c>
      <c r="B327" t="s">
        <v>579</v>
      </c>
      <c r="C327">
        <v>1559</v>
      </c>
      <c r="D327" t="s">
        <v>92</v>
      </c>
      <c r="E327" s="1">
        <v>45456</v>
      </c>
      <c r="F327" s="6">
        <v>3</v>
      </c>
      <c r="G327" t="s">
        <v>32</v>
      </c>
      <c r="H327" t="s">
        <v>43</v>
      </c>
      <c r="I327" t="s">
        <v>1906</v>
      </c>
      <c r="J327" t="s">
        <v>1299</v>
      </c>
      <c r="K327">
        <v>2500</v>
      </c>
      <c r="L327">
        <v>600</v>
      </c>
      <c r="M327">
        <f>Customers_Table[[#This Row],[Quantity Ordered]]*Customers_Table[[#This Row],[Sales Price (Per unit)]]</f>
        <v>1800</v>
      </c>
      <c r="N327" t="s">
        <v>1907</v>
      </c>
    </row>
    <row r="328" spans="1:14" x14ac:dyDescent="0.2">
      <c r="A328" t="s">
        <v>372</v>
      </c>
      <c r="B328" t="s">
        <v>580</v>
      </c>
      <c r="C328">
        <v>1560</v>
      </c>
      <c r="D328" t="s">
        <v>31</v>
      </c>
      <c r="E328" s="1">
        <v>45442</v>
      </c>
      <c r="F328" s="6">
        <v>1</v>
      </c>
      <c r="G328" t="s">
        <v>71</v>
      </c>
      <c r="H328" t="s">
        <v>33</v>
      </c>
      <c r="I328" t="s">
        <v>1908</v>
      </c>
      <c r="J328" t="s">
        <v>1238</v>
      </c>
      <c r="K328">
        <v>6725</v>
      </c>
      <c r="L328">
        <v>250</v>
      </c>
      <c r="M328">
        <f>Customers_Table[[#This Row],[Quantity Ordered]]*Customers_Table[[#This Row],[Sales Price (Per unit)]]</f>
        <v>250</v>
      </c>
      <c r="N328" t="s">
        <v>1909</v>
      </c>
    </row>
    <row r="329" spans="1:14" x14ac:dyDescent="0.2">
      <c r="A329" t="s">
        <v>581</v>
      </c>
      <c r="B329" t="s">
        <v>582</v>
      </c>
      <c r="C329">
        <v>1561</v>
      </c>
      <c r="D329" t="s">
        <v>37</v>
      </c>
      <c r="E329" s="1">
        <v>45372</v>
      </c>
      <c r="F329" s="6">
        <v>1</v>
      </c>
      <c r="G329" t="s">
        <v>32</v>
      </c>
      <c r="H329" t="s">
        <v>39</v>
      </c>
      <c r="I329" t="s">
        <v>1910</v>
      </c>
      <c r="J329" t="s">
        <v>1241</v>
      </c>
      <c r="K329">
        <v>2600</v>
      </c>
      <c r="L329">
        <v>800</v>
      </c>
      <c r="M329">
        <f>Customers_Table[[#This Row],[Quantity Ordered]]*Customers_Table[[#This Row],[Sales Price (Per unit)]]</f>
        <v>800</v>
      </c>
      <c r="N329" t="s">
        <v>1911</v>
      </c>
    </row>
    <row r="330" spans="1:14" x14ac:dyDescent="0.2">
      <c r="A330" t="s">
        <v>583</v>
      </c>
      <c r="B330" t="s">
        <v>584</v>
      </c>
      <c r="C330">
        <v>1562</v>
      </c>
      <c r="D330" t="s">
        <v>51</v>
      </c>
      <c r="E330" s="1">
        <v>45504</v>
      </c>
      <c r="F330" s="6">
        <v>3</v>
      </c>
      <c r="G330" s="1" t="s">
        <v>38</v>
      </c>
      <c r="H330" t="s">
        <v>43</v>
      </c>
      <c r="I330" t="s">
        <v>1912</v>
      </c>
      <c r="J330" t="s">
        <v>1244</v>
      </c>
      <c r="K330">
        <v>2300</v>
      </c>
      <c r="L330">
        <v>250</v>
      </c>
      <c r="M330">
        <f>Customers_Table[[#This Row],[Quantity Ordered]]*Customers_Table[[#This Row],[Sales Price (Per unit)]]</f>
        <v>750</v>
      </c>
      <c r="N330" t="s">
        <v>1913</v>
      </c>
    </row>
    <row r="331" spans="1:14" x14ac:dyDescent="0.2">
      <c r="A331" t="s">
        <v>585</v>
      </c>
      <c r="B331" t="s">
        <v>124</v>
      </c>
      <c r="C331">
        <v>1563</v>
      </c>
      <c r="D331" t="s">
        <v>37</v>
      </c>
      <c r="E331" s="1">
        <v>45648</v>
      </c>
      <c r="F331" s="6">
        <v>1</v>
      </c>
      <c r="G331" t="s">
        <v>32</v>
      </c>
      <c r="H331" t="s">
        <v>81</v>
      </c>
      <c r="I331" t="s">
        <v>1914</v>
      </c>
      <c r="J331" t="s">
        <v>1361</v>
      </c>
      <c r="K331">
        <v>870</v>
      </c>
      <c r="L331">
        <v>800</v>
      </c>
      <c r="M331">
        <f>Customers_Table[[#This Row],[Quantity Ordered]]*Customers_Table[[#This Row],[Sales Price (Per unit)]]</f>
        <v>800</v>
      </c>
      <c r="N331" t="s">
        <v>1915</v>
      </c>
    </row>
    <row r="332" spans="1:14" x14ac:dyDescent="0.2">
      <c r="A332" t="s">
        <v>586</v>
      </c>
      <c r="B332" t="s">
        <v>271</v>
      </c>
      <c r="C332">
        <v>1564</v>
      </c>
      <c r="D332" t="s">
        <v>92</v>
      </c>
      <c r="E332" s="1">
        <v>45628</v>
      </c>
      <c r="F332" s="6">
        <v>2</v>
      </c>
      <c r="G332" t="s">
        <v>32</v>
      </c>
      <c r="H332" t="s">
        <v>33</v>
      </c>
      <c r="I332" t="s">
        <v>1916</v>
      </c>
      <c r="J332" t="s">
        <v>1259</v>
      </c>
      <c r="K332">
        <v>6160</v>
      </c>
      <c r="L332">
        <v>600</v>
      </c>
      <c r="M332">
        <f>Customers_Table[[#This Row],[Quantity Ordered]]*Customers_Table[[#This Row],[Sales Price (Per unit)]]</f>
        <v>1200</v>
      </c>
      <c r="N332" t="s">
        <v>1917</v>
      </c>
    </row>
    <row r="333" spans="1:14" x14ac:dyDescent="0.2">
      <c r="A333" t="s">
        <v>587</v>
      </c>
      <c r="B333" t="s">
        <v>588</v>
      </c>
      <c r="C333">
        <v>1565</v>
      </c>
      <c r="D333" t="s">
        <v>37</v>
      </c>
      <c r="E333" s="1">
        <v>45642</v>
      </c>
      <c r="F333" s="6">
        <v>2</v>
      </c>
      <c r="G333" t="s">
        <v>32</v>
      </c>
      <c r="H333" t="s">
        <v>57</v>
      </c>
      <c r="I333" t="s">
        <v>1918</v>
      </c>
      <c r="J333" t="s">
        <v>1253</v>
      </c>
      <c r="K333">
        <v>5290</v>
      </c>
      <c r="L333">
        <v>800</v>
      </c>
      <c r="M333">
        <f>Customers_Table[[#This Row],[Quantity Ordered]]*Customers_Table[[#This Row],[Sales Price (Per unit)]]</f>
        <v>1600</v>
      </c>
      <c r="N333" t="s">
        <v>1919</v>
      </c>
    </row>
    <row r="334" spans="1:14" x14ac:dyDescent="0.2">
      <c r="A334" t="s">
        <v>589</v>
      </c>
      <c r="B334" t="s">
        <v>590</v>
      </c>
      <c r="C334">
        <v>1566</v>
      </c>
      <c r="D334" t="s">
        <v>42</v>
      </c>
      <c r="E334" s="1">
        <v>45611</v>
      </c>
      <c r="F334" s="6">
        <v>3</v>
      </c>
      <c r="G334" t="s">
        <v>32</v>
      </c>
      <c r="H334" t="s">
        <v>47</v>
      </c>
      <c r="I334" t="s">
        <v>1920</v>
      </c>
      <c r="J334" t="s">
        <v>1247</v>
      </c>
      <c r="K334">
        <v>3350</v>
      </c>
      <c r="L334">
        <v>300</v>
      </c>
      <c r="M334">
        <f>Customers_Table[[#This Row],[Quantity Ordered]]*Customers_Table[[#This Row],[Sales Price (Per unit)]]</f>
        <v>900</v>
      </c>
      <c r="N334" t="s">
        <v>1921</v>
      </c>
    </row>
    <row r="335" spans="1:14" x14ac:dyDescent="0.2">
      <c r="A335" t="s">
        <v>591</v>
      </c>
      <c r="B335" t="s">
        <v>592</v>
      </c>
      <c r="C335">
        <v>1567</v>
      </c>
      <c r="D335" t="s">
        <v>51</v>
      </c>
      <c r="E335" s="1">
        <v>45568</v>
      </c>
      <c r="F335" s="6">
        <v>2</v>
      </c>
      <c r="G335" s="1" t="s">
        <v>38</v>
      </c>
      <c r="H335" t="s">
        <v>81</v>
      </c>
      <c r="I335" t="s">
        <v>1922</v>
      </c>
      <c r="J335" t="s">
        <v>1280</v>
      </c>
      <c r="K335">
        <v>800</v>
      </c>
      <c r="L335">
        <v>250</v>
      </c>
      <c r="M335">
        <f>Customers_Table[[#This Row],[Quantity Ordered]]*Customers_Table[[#This Row],[Sales Price (Per unit)]]</f>
        <v>500</v>
      </c>
      <c r="N335" t="s">
        <v>1923</v>
      </c>
    </row>
    <row r="336" spans="1:14" x14ac:dyDescent="0.2">
      <c r="A336" t="s">
        <v>593</v>
      </c>
      <c r="B336" t="s">
        <v>427</v>
      </c>
      <c r="C336">
        <v>1568</v>
      </c>
      <c r="D336" t="s">
        <v>37</v>
      </c>
      <c r="E336" s="1">
        <v>45391</v>
      </c>
      <c r="F336" s="6">
        <v>2</v>
      </c>
      <c r="G336" t="s">
        <v>32</v>
      </c>
      <c r="H336" t="s">
        <v>43</v>
      </c>
      <c r="I336" t="s">
        <v>1924</v>
      </c>
      <c r="J336" t="s">
        <v>865</v>
      </c>
      <c r="K336">
        <v>2000</v>
      </c>
      <c r="L336">
        <v>800</v>
      </c>
      <c r="M336">
        <f>Customers_Table[[#This Row],[Quantity Ordered]]*Customers_Table[[#This Row],[Sales Price (Per unit)]]</f>
        <v>1600</v>
      </c>
      <c r="N336" t="s">
        <v>1925</v>
      </c>
    </row>
    <row r="337" spans="1:14" x14ac:dyDescent="0.2">
      <c r="A337" t="s">
        <v>594</v>
      </c>
      <c r="B337" t="s">
        <v>595</v>
      </c>
      <c r="C337">
        <v>1569</v>
      </c>
      <c r="D337" t="s">
        <v>31</v>
      </c>
      <c r="E337" s="1">
        <v>45613</v>
      </c>
      <c r="F337" s="6">
        <v>2</v>
      </c>
      <c r="G337" s="1" t="s">
        <v>52</v>
      </c>
      <c r="H337" t="s">
        <v>39</v>
      </c>
      <c r="I337" t="s">
        <v>1926</v>
      </c>
      <c r="J337" t="s">
        <v>1241</v>
      </c>
      <c r="K337">
        <v>2600</v>
      </c>
      <c r="L337">
        <v>250</v>
      </c>
      <c r="M337">
        <f>Customers_Table[[#This Row],[Quantity Ordered]]*Customers_Table[[#This Row],[Sales Price (Per unit)]]</f>
        <v>500</v>
      </c>
      <c r="N337" t="s">
        <v>1927</v>
      </c>
    </row>
    <row r="338" spans="1:14" x14ac:dyDescent="0.2">
      <c r="A338" t="s">
        <v>596</v>
      </c>
      <c r="B338" t="s">
        <v>390</v>
      </c>
      <c r="C338">
        <v>1570</v>
      </c>
      <c r="D338" t="s">
        <v>92</v>
      </c>
      <c r="E338" s="1">
        <v>45649</v>
      </c>
      <c r="F338" s="6">
        <v>2</v>
      </c>
      <c r="G338" s="1" t="s">
        <v>52</v>
      </c>
      <c r="H338" t="s">
        <v>33</v>
      </c>
      <c r="I338" t="s">
        <v>1928</v>
      </c>
      <c r="J338" t="s">
        <v>1259</v>
      </c>
      <c r="K338">
        <v>6160</v>
      </c>
      <c r="L338">
        <v>600</v>
      </c>
      <c r="M338">
        <f>Customers_Table[[#This Row],[Quantity Ordered]]*Customers_Table[[#This Row],[Sales Price (Per unit)]]</f>
        <v>1200</v>
      </c>
      <c r="N338" t="s">
        <v>1929</v>
      </c>
    </row>
    <row r="339" spans="1:14" x14ac:dyDescent="0.2">
      <c r="A339" t="s">
        <v>169</v>
      </c>
      <c r="B339" t="s">
        <v>597</v>
      </c>
      <c r="C339">
        <v>1571</v>
      </c>
      <c r="D339" t="s">
        <v>76</v>
      </c>
      <c r="E339" s="1">
        <v>45529</v>
      </c>
      <c r="F339" s="6">
        <v>1</v>
      </c>
      <c r="G339" s="1" t="s">
        <v>52</v>
      </c>
      <c r="H339" t="s">
        <v>39</v>
      </c>
      <c r="I339" t="s">
        <v>1930</v>
      </c>
      <c r="J339" t="s">
        <v>1241</v>
      </c>
      <c r="K339">
        <v>2600</v>
      </c>
      <c r="L339">
        <v>1200</v>
      </c>
      <c r="M339">
        <f>Customers_Table[[#This Row],[Quantity Ordered]]*Customers_Table[[#This Row],[Sales Price (Per unit)]]</f>
        <v>1200</v>
      </c>
      <c r="N339" t="s">
        <v>1931</v>
      </c>
    </row>
    <row r="340" spans="1:14" x14ac:dyDescent="0.2">
      <c r="A340" t="s">
        <v>598</v>
      </c>
      <c r="B340" t="s">
        <v>185</v>
      </c>
      <c r="C340">
        <v>1572</v>
      </c>
      <c r="D340" t="s">
        <v>37</v>
      </c>
      <c r="E340" s="1">
        <v>45411</v>
      </c>
      <c r="F340" s="6">
        <v>3</v>
      </c>
      <c r="G340" s="1" t="s">
        <v>52</v>
      </c>
      <c r="H340" t="s">
        <v>64</v>
      </c>
      <c r="I340" t="s">
        <v>1932</v>
      </c>
      <c r="J340" t="s">
        <v>1262</v>
      </c>
      <c r="K340">
        <v>7250</v>
      </c>
      <c r="L340">
        <v>800</v>
      </c>
      <c r="M340">
        <f>Customers_Table[[#This Row],[Quantity Ordered]]*Customers_Table[[#This Row],[Sales Price (Per unit)]]</f>
        <v>2400</v>
      </c>
      <c r="N340" t="s">
        <v>1933</v>
      </c>
    </row>
    <row r="341" spans="1:14" x14ac:dyDescent="0.2">
      <c r="A341" t="s">
        <v>200</v>
      </c>
      <c r="B341" t="s">
        <v>449</v>
      </c>
      <c r="C341">
        <v>1573</v>
      </c>
      <c r="D341" t="s">
        <v>31</v>
      </c>
      <c r="E341" s="1">
        <v>45385</v>
      </c>
      <c r="F341" s="6">
        <v>1</v>
      </c>
      <c r="G341" t="s">
        <v>32</v>
      </c>
      <c r="H341" t="s">
        <v>53</v>
      </c>
      <c r="I341" t="s">
        <v>1934</v>
      </c>
      <c r="J341" t="s">
        <v>1250</v>
      </c>
      <c r="K341">
        <v>4217</v>
      </c>
      <c r="L341">
        <v>250</v>
      </c>
      <c r="M341">
        <f>Customers_Table[[#This Row],[Quantity Ordered]]*Customers_Table[[#This Row],[Sales Price (Per unit)]]</f>
        <v>250</v>
      </c>
      <c r="N341" t="s">
        <v>1935</v>
      </c>
    </row>
    <row r="342" spans="1:14" x14ac:dyDescent="0.2">
      <c r="A342" t="s">
        <v>258</v>
      </c>
      <c r="B342" t="s">
        <v>599</v>
      </c>
      <c r="C342">
        <v>1574</v>
      </c>
      <c r="D342" t="s">
        <v>92</v>
      </c>
      <c r="E342" s="1">
        <v>45656</v>
      </c>
      <c r="F342" s="6">
        <v>3</v>
      </c>
      <c r="G342" s="1" t="s">
        <v>38</v>
      </c>
      <c r="H342" t="s">
        <v>64</v>
      </c>
      <c r="I342" t="s">
        <v>1936</v>
      </c>
      <c r="J342" t="s">
        <v>1262</v>
      </c>
      <c r="K342">
        <v>7250</v>
      </c>
      <c r="L342">
        <v>600</v>
      </c>
      <c r="M342">
        <f>Customers_Table[[#This Row],[Quantity Ordered]]*Customers_Table[[#This Row],[Sales Price (Per unit)]]</f>
        <v>1800</v>
      </c>
      <c r="N342" t="s">
        <v>1937</v>
      </c>
    </row>
    <row r="343" spans="1:14" x14ac:dyDescent="0.2">
      <c r="A343" t="s">
        <v>448</v>
      </c>
      <c r="B343" t="s">
        <v>600</v>
      </c>
      <c r="C343">
        <v>1575</v>
      </c>
      <c r="D343" t="s">
        <v>37</v>
      </c>
      <c r="E343" s="1">
        <v>45464</v>
      </c>
      <c r="F343" s="6">
        <v>3</v>
      </c>
      <c r="G343" t="s">
        <v>32</v>
      </c>
      <c r="H343" t="s">
        <v>39</v>
      </c>
      <c r="I343" t="s">
        <v>1938</v>
      </c>
      <c r="J343" t="s">
        <v>1241</v>
      </c>
      <c r="K343">
        <v>2600</v>
      </c>
      <c r="L343">
        <v>800</v>
      </c>
      <c r="M343">
        <f>Customers_Table[[#This Row],[Quantity Ordered]]*Customers_Table[[#This Row],[Sales Price (Per unit)]]</f>
        <v>2400</v>
      </c>
      <c r="N343" t="s">
        <v>1939</v>
      </c>
    </row>
    <row r="344" spans="1:14" x14ac:dyDescent="0.2">
      <c r="A344" t="s">
        <v>601</v>
      </c>
      <c r="B344" t="s">
        <v>602</v>
      </c>
      <c r="C344">
        <v>1576</v>
      </c>
      <c r="D344" t="s">
        <v>51</v>
      </c>
      <c r="E344" s="1">
        <v>45346</v>
      </c>
      <c r="F344" s="6">
        <v>2</v>
      </c>
      <c r="G344" t="s">
        <v>32</v>
      </c>
      <c r="H344" t="s">
        <v>81</v>
      </c>
      <c r="I344" t="s">
        <v>1940</v>
      </c>
      <c r="J344" t="s">
        <v>1280</v>
      </c>
      <c r="K344">
        <v>800</v>
      </c>
      <c r="L344">
        <v>250</v>
      </c>
      <c r="M344">
        <f>Customers_Table[[#This Row],[Quantity Ordered]]*Customers_Table[[#This Row],[Sales Price (Per unit)]]</f>
        <v>500</v>
      </c>
      <c r="N344" t="s">
        <v>1941</v>
      </c>
    </row>
    <row r="345" spans="1:14" x14ac:dyDescent="0.2">
      <c r="A345" t="s">
        <v>603</v>
      </c>
      <c r="B345" t="s">
        <v>604</v>
      </c>
      <c r="C345">
        <v>1577</v>
      </c>
      <c r="D345" t="s">
        <v>76</v>
      </c>
      <c r="E345" s="1">
        <v>45535</v>
      </c>
      <c r="F345" s="6">
        <v>1</v>
      </c>
      <c r="G345" s="1" t="s">
        <v>52</v>
      </c>
      <c r="H345" t="s">
        <v>47</v>
      </c>
      <c r="I345" t="s">
        <v>1942</v>
      </c>
      <c r="J345" t="s">
        <v>1247</v>
      </c>
      <c r="K345">
        <v>3350</v>
      </c>
      <c r="L345">
        <v>1200</v>
      </c>
      <c r="M345">
        <f>Customers_Table[[#This Row],[Quantity Ordered]]*Customers_Table[[#This Row],[Sales Price (Per unit)]]</f>
        <v>1200</v>
      </c>
      <c r="N345" t="s">
        <v>1943</v>
      </c>
    </row>
    <row r="346" spans="1:14" x14ac:dyDescent="0.2">
      <c r="A346" t="s">
        <v>381</v>
      </c>
      <c r="B346" t="s">
        <v>605</v>
      </c>
      <c r="C346">
        <v>1578</v>
      </c>
      <c r="D346" t="s">
        <v>37</v>
      </c>
      <c r="E346" s="1">
        <v>45460</v>
      </c>
      <c r="F346" s="6">
        <v>2</v>
      </c>
      <c r="G346" t="s">
        <v>71</v>
      </c>
      <c r="H346" t="s">
        <v>57</v>
      </c>
      <c r="I346" t="s">
        <v>1944</v>
      </c>
      <c r="J346" t="s">
        <v>1253</v>
      </c>
      <c r="K346">
        <v>5290</v>
      </c>
      <c r="L346">
        <v>800</v>
      </c>
      <c r="M346">
        <f>Customers_Table[[#This Row],[Quantity Ordered]]*Customers_Table[[#This Row],[Sales Price (Per unit)]]</f>
        <v>1600</v>
      </c>
      <c r="N346" t="s">
        <v>1945</v>
      </c>
    </row>
    <row r="347" spans="1:14" x14ac:dyDescent="0.2">
      <c r="A347" t="s">
        <v>197</v>
      </c>
      <c r="B347" t="s">
        <v>606</v>
      </c>
      <c r="C347">
        <v>1579</v>
      </c>
      <c r="D347" t="s">
        <v>76</v>
      </c>
      <c r="E347" s="1">
        <v>45359</v>
      </c>
      <c r="F347" s="6">
        <v>1</v>
      </c>
      <c r="G347" s="1" t="s">
        <v>38</v>
      </c>
      <c r="H347" t="s">
        <v>57</v>
      </c>
      <c r="I347" t="s">
        <v>1946</v>
      </c>
      <c r="J347" t="s">
        <v>1095</v>
      </c>
      <c r="K347">
        <v>5000</v>
      </c>
      <c r="L347">
        <v>1200</v>
      </c>
      <c r="M347">
        <f>Customers_Table[[#This Row],[Quantity Ordered]]*Customers_Table[[#This Row],[Sales Price (Per unit)]]</f>
        <v>1200</v>
      </c>
      <c r="N347" t="s">
        <v>1947</v>
      </c>
    </row>
    <row r="348" spans="1:14" x14ac:dyDescent="0.2">
      <c r="A348" t="s">
        <v>235</v>
      </c>
      <c r="B348" t="s">
        <v>607</v>
      </c>
      <c r="C348">
        <v>1580</v>
      </c>
      <c r="D348" t="s">
        <v>42</v>
      </c>
      <c r="E348" s="1">
        <v>45379</v>
      </c>
      <c r="F348" s="6">
        <v>3</v>
      </c>
      <c r="G348" t="s">
        <v>32</v>
      </c>
      <c r="H348" t="s">
        <v>81</v>
      </c>
      <c r="I348" t="s">
        <v>1948</v>
      </c>
      <c r="J348" t="s">
        <v>1361</v>
      </c>
      <c r="K348">
        <v>870</v>
      </c>
      <c r="L348">
        <v>300</v>
      </c>
      <c r="M348">
        <f>Customers_Table[[#This Row],[Quantity Ordered]]*Customers_Table[[#This Row],[Sales Price (Per unit)]]</f>
        <v>900</v>
      </c>
      <c r="N348" t="s">
        <v>1949</v>
      </c>
    </row>
    <row r="349" spans="1:14" x14ac:dyDescent="0.2">
      <c r="A349" t="s">
        <v>608</v>
      </c>
      <c r="B349" t="s">
        <v>454</v>
      </c>
      <c r="C349">
        <v>1581</v>
      </c>
      <c r="D349" t="s">
        <v>92</v>
      </c>
      <c r="E349" s="1">
        <v>45604</v>
      </c>
      <c r="F349" s="6">
        <v>3</v>
      </c>
      <c r="G349" s="1" t="s">
        <v>52</v>
      </c>
      <c r="H349" t="s">
        <v>81</v>
      </c>
      <c r="I349" t="s">
        <v>1950</v>
      </c>
      <c r="J349" t="s">
        <v>1361</v>
      </c>
      <c r="K349">
        <v>870</v>
      </c>
      <c r="L349">
        <v>600</v>
      </c>
      <c r="M349">
        <f>Customers_Table[[#This Row],[Quantity Ordered]]*Customers_Table[[#This Row],[Sales Price (Per unit)]]</f>
        <v>1800</v>
      </c>
      <c r="N349" t="s">
        <v>1951</v>
      </c>
    </row>
    <row r="350" spans="1:14" x14ac:dyDescent="0.2">
      <c r="A350" t="s">
        <v>144</v>
      </c>
      <c r="B350" t="s">
        <v>609</v>
      </c>
      <c r="C350">
        <v>1582</v>
      </c>
      <c r="D350" t="s">
        <v>76</v>
      </c>
      <c r="E350" s="1">
        <v>45564</v>
      </c>
      <c r="F350" s="6">
        <v>1</v>
      </c>
      <c r="G350" s="1" t="s">
        <v>52</v>
      </c>
      <c r="H350" t="s">
        <v>64</v>
      </c>
      <c r="I350" t="s">
        <v>1952</v>
      </c>
      <c r="J350" t="s">
        <v>1265</v>
      </c>
      <c r="K350">
        <v>7000</v>
      </c>
      <c r="L350">
        <v>1200</v>
      </c>
      <c r="M350">
        <f>Customers_Table[[#This Row],[Quantity Ordered]]*Customers_Table[[#This Row],[Sales Price (Per unit)]]</f>
        <v>1200</v>
      </c>
      <c r="N350" t="s">
        <v>1953</v>
      </c>
    </row>
    <row r="351" spans="1:14" x14ac:dyDescent="0.2">
      <c r="A351" t="s">
        <v>610</v>
      </c>
      <c r="B351" t="s">
        <v>611</v>
      </c>
      <c r="C351">
        <v>1583</v>
      </c>
      <c r="D351" t="s">
        <v>92</v>
      </c>
      <c r="E351" s="1">
        <v>45590</v>
      </c>
      <c r="F351" s="6">
        <v>3</v>
      </c>
      <c r="G351" s="1" t="s">
        <v>52</v>
      </c>
      <c r="H351" t="s">
        <v>57</v>
      </c>
      <c r="I351" t="s">
        <v>1954</v>
      </c>
      <c r="J351" t="s">
        <v>1253</v>
      </c>
      <c r="K351">
        <v>5290</v>
      </c>
      <c r="L351">
        <v>600</v>
      </c>
      <c r="M351">
        <f>Customers_Table[[#This Row],[Quantity Ordered]]*Customers_Table[[#This Row],[Sales Price (Per unit)]]</f>
        <v>1800</v>
      </c>
      <c r="N351" t="s">
        <v>1955</v>
      </c>
    </row>
    <row r="352" spans="1:14" x14ac:dyDescent="0.2">
      <c r="A352" t="s">
        <v>203</v>
      </c>
      <c r="B352" t="s">
        <v>612</v>
      </c>
      <c r="C352">
        <v>1584</v>
      </c>
      <c r="D352" t="s">
        <v>42</v>
      </c>
      <c r="E352" s="1">
        <v>45588</v>
      </c>
      <c r="F352" s="6">
        <v>3</v>
      </c>
      <c r="G352" t="s">
        <v>32</v>
      </c>
      <c r="H352" t="s">
        <v>57</v>
      </c>
      <c r="I352" t="s">
        <v>1956</v>
      </c>
      <c r="J352" t="s">
        <v>1095</v>
      </c>
      <c r="K352">
        <v>5000</v>
      </c>
      <c r="L352">
        <v>300</v>
      </c>
      <c r="M352">
        <f>Customers_Table[[#This Row],[Quantity Ordered]]*Customers_Table[[#This Row],[Sales Price (Per unit)]]</f>
        <v>900</v>
      </c>
      <c r="N352" t="s">
        <v>1957</v>
      </c>
    </row>
    <row r="353" spans="1:14" x14ac:dyDescent="0.2">
      <c r="A353" t="s">
        <v>613</v>
      </c>
      <c r="B353" t="s">
        <v>374</v>
      </c>
      <c r="C353">
        <v>1585</v>
      </c>
      <c r="D353" t="s">
        <v>76</v>
      </c>
      <c r="E353" s="1">
        <v>45411</v>
      </c>
      <c r="F353" s="6">
        <v>1</v>
      </c>
      <c r="G353" t="s">
        <v>71</v>
      </c>
      <c r="H353" t="s">
        <v>33</v>
      </c>
      <c r="I353" t="s">
        <v>1958</v>
      </c>
      <c r="J353" t="s">
        <v>1259</v>
      </c>
      <c r="K353">
        <v>6160</v>
      </c>
      <c r="L353">
        <v>1200</v>
      </c>
      <c r="M353">
        <f>Customers_Table[[#This Row],[Quantity Ordered]]*Customers_Table[[#This Row],[Sales Price (Per unit)]]</f>
        <v>1200</v>
      </c>
      <c r="N353" t="s">
        <v>1959</v>
      </c>
    </row>
    <row r="354" spans="1:14" x14ac:dyDescent="0.2">
      <c r="A354" t="s">
        <v>426</v>
      </c>
      <c r="B354" t="s">
        <v>124</v>
      </c>
      <c r="C354">
        <v>1586</v>
      </c>
      <c r="D354" t="s">
        <v>37</v>
      </c>
      <c r="E354" s="1">
        <v>45460</v>
      </c>
      <c r="F354" s="6">
        <v>1</v>
      </c>
      <c r="G354" t="s">
        <v>71</v>
      </c>
      <c r="H354" t="s">
        <v>39</v>
      </c>
      <c r="I354" t="s">
        <v>1960</v>
      </c>
      <c r="J354" t="s">
        <v>1241</v>
      </c>
      <c r="K354">
        <v>2600</v>
      </c>
      <c r="L354">
        <v>800</v>
      </c>
      <c r="M354">
        <f>Customers_Table[[#This Row],[Quantity Ordered]]*Customers_Table[[#This Row],[Sales Price (Per unit)]]</f>
        <v>800</v>
      </c>
      <c r="N354" t="s">
        <v>1961</v>
      </c>
    </row>
    <row r="355" spans="1:14" x14ac:dyDescent="0.2">
      <c r="A355" t="s">
        <v>240</v>
      </c>
      <c r="B355" t="s">
        <v>614</v>
      </c>
      <c r="C355">
        <v>1587</v>
      </c>
      <c r="D355" t="s">
        <v>76</v>
      </c>
      <c r="E355" s="1">
        <v>45396</v>
      </c>
      <c r="F355" s="6">
        <v>1</v>
      </c>
      <c r="G355" t="s">
        <v>32</v>
      </c>
      <c r="H355" t="s">
        <v>43</v>
      </c>
      <c r="I355" t="s">
        <v>1962</v>
      </c>
      <c r="J355" t="s">
        <v>865</v>
      </c>
      <c r="K355">
        <v>2000</v>
      </c>
      <c r="L355">
        <v>1200</v>
      </c>
      <c r="M355">
        <f>Customers_Table[[#This Row],[Quantity Ordered]]*Customers_Table[[#This Row],[Sales Price (Per unit)]]</f>
        <v>1200</v>
      </c>
      <c r="N355" t="s">
        <v>1963</v>
      </c>
    </row>
    <row r="356" spans="1:14" x14ac:dyDescent="0.2">
      <c r="A356" t="s">
        <v>615</v>
      </c>
      <c r="B356" t="s">
        <v>616</v>
      </c>
      <c r="C356">
        <v>1588</v>
      </c>
      <c r="D356" t="s">
        <v>92</v>
      </c>
      <c r="E356" s="1">
        <v>45552</v>
      </c>
      <c r="F356" s="6">
        <v>2</v>
      </c>
      <c r="G356" t="s">
        <v>32</v>
      </c>
      <c r="H356" t="s">
        <v>39</v>
      </c>
      <c r="I356" t="s">
        <v>1964</v>
      </c>
      <c r="J356" t="s">
        <v>1241</v>
      </c>
      <c r="K356">
        <v>2600</v>
      </c>
      <c r="L356">
        <v>600</v>
      </c>
      <c r="M356">
        <f>Customers_Table[[#This Row],[Quantity Ordered]]*Customers_Table[[#This Row],[Sales Price (Per unit)]]</f>
        <v>1200</v>
      </c>
      <c r="N356" t="s">
        <v>1965</v>
      </c>
    </row>
    <row r="357" spans="1:14" x14ac:dyDescent="0.2">
      <c r="A357" t="s">
        <v>411</v>
      </c>
      <c r="B357" t="s">
        <v>617</v>
      </c>
      <c r="C357">
        <v>1589</v>
      </c>
      <c r="D357" t="s">
        <v>51</v>
      </c>
      <c r="E357" s="1">
        <v>45483</v>
      </c>
      <c r="F357" s="6">
        <v>1</v>
      </c>
      <c r="G357" s="1" t="s">
        <v>38</v>
      </c>
      <c r="H357" t="s">
        <v>39</v>
      </c>
      <c r="I357" t="s">
        <v>1966</v>
      </c>
      <c r="J357" t="s">
        <v>1241</v>
      </c>
      <c r="K357">
        <v>2600</v>
      </c>
      <c r="L357">
        <v>250</v>
      </c>
      <c r="M357">
        <f>Customers_Table[[#This Row],[Quantity Ordered]]*Customers_Table[[#This Row],[Sales Price (Per unit)]]</f>
        <v>250</v>
      </c>
      <c r="N357" t="s">
        <v>1967</v>
      </c>
    </row>
    <row r="358" spans="1:14" x14ac:dyDescent="0.2">
      <c r="A358" t="s">
        <v>286</v>
      </c>
      <c r="B358" t="s">
        <v>618</v>
      </c>
      <c r="C358">
        <v>1590</v>
      </c>
      <c r="D358" t="s">
        <v>51</v>
      </c>
      <c r="E358" s="1">
        <v>45507</v>
      </c>
      <c r="F358" s="6">
        <v>1</v>
      </c>
      <c r="G358" s="1" t="s">
        <v>52</v>
      </c>
      <c r="H358" t="s">
        <v>53</v>
      </c>
      <c r="I358" t="s">
        <v>1968</v>
      </c>
      <c r="J358" t="s">
        <v>1305</v>
      </c>
      <c r="K358">
        <v>4000</v>
      </c>
      <c r="L358">
        <v>250</v>
      </c>
      <c r="M358">
        <f>Customers_Table[[#This Row],[Quantity Ordered]]*Customers_Table[[#This Row],[Sales Price (Per unit)]]</f>
        <v>250</v>
      </c>
      <c r="N358" t="s">
        <v>1969</v>
      </c>
    </row>
    <row r="359" spans="1:14" x14ac:dyDescent="0.2">
      <c r="A359" t="s">
        <v>138</v>
      </c>
      <c r="B359" t="s">
        <v>218</v>
      </c>
      <c r="C359">
        <v>1591</v>
      </c>
      <c r="D359" t="s">
        <v>42</v>
      </c>
      <c r="E359" s="1">
        <v>45618</v>
      </c>
      <c r="F359" s="6">
        <v>2</v>
      </c>
      <c r="G359" t="s">
        <v>32</v>
      </c>
      <c r="H359" t="s">
        <v>39</v>
      </c>
      <c r="I359" t="s">
        <v>1970</v>
      </c>
      <c r="J359" t="s">
        <v>1241</v>
      </c>
      <c r="K359">
        <v>2600</v>
      </c>
      <c r="L359">
        <v>300</v>
      </c>
      <c r="M359">
        <f>Customers_Table[[#This Row],[Quantity Ordered]]*Customers_Table[[#This Row],[Sales Price (Per unit)]]</f>
        <v>600</v>
      </c>
      <c r="N359" t="s">
        <v>1971</v>
      </c>
    </row>
    <row r="360" spans="1:14" x14ac:dyDescent="0.2">
      <c r="A360" t="s">
        <v>619</v>
      </c>
      <c r="B360" t="s">
        <v>620</v>
      </c>
      <c r="C360">
        <v>1592</v>
      </c>
      <c r="D360" t="s">
        <v>31</v>
      </c>
      <c r="E360" s="1">
        <v>45446</v>
      </c>
      <c r="F360" s="6">
        <v>1</v>
      </c>
      <c r="G360" t="s">
        <v>71</v>
      </c>
      <c r="H360" t="s">
        <v>81</v>
      </c>
      <c r="I360" t="s">
        <v>1972</v>
      </c>
      <c r="J360" t="s">
        <v>1280</v>
      </c>
      <c r="K360">
        <v>800</v>
      </c>
      <c r="L360">
        <v>250</v>
      </c>
      <c r="M360">
        <f>Customers_Table[[#This Row],[Quantity Ordered]]*Customers_Table[[#This Row],[Sales Price (Per unit)]]</f>
        <v>250</v>
      </c>
      <c r="N360" t="s">
        <v>1973</v>
      </c>
    </row>
    <row r="361" spans="1:14" x14ac:dyDescent="0.2">
      <c r="A361" t="s">
        <v>275</v>
      </c>
      <c r="B361" t="s">
        <v>621</v>
      </c>
      <c r="C361">
        <v>1593</v>
      </c>
      <c r="D361" t="s">
        <v>76</v>
      </c>
      <c r="E361" s="1">
        <v>45506</v>
      </c>
      <c r="F361" s="6">
        <v>3</v>
      </c>
      <c r="G361" t="s">
        <v>32</v>
      </c>
      <c r="H361" t="s">
        <v>81</v>
      </c>
      <c r="I361" t="s">
        <v>1974</v>
      </c>
      <c r="J361" t="s">
        <v>1280</v>
      </c>
      <c r="K361">
        <v>800</v>
      </c>
      <c r="L361">
        <v>1200</v>
      </c>
      <c r="M361">
        <f>Customers_Table[[#This Row],[Quantity Ordered]]*Customers_Table[[#This Row],[Sales Price (Per unit)]]</f>
        <v>3600</v>
      </c>
      <c r="N361" t="s">
        <v>1975</v>
      </c>
    </row>
    <row r="362" spans="1:14" x14ac:dyDescent="0.2">
      <c r="A362" t="s">
        <v>622</v>
      </c>
      <c r="B362" t="s">
        <v>242</v>
      </c>
      <c r="C362">
        <v>1594</v>
      </c>
      <c r="D362" t="s">
        <v>76</v>
      </c>
      <c r="E362" s="1">
        <v>45576</v>
      </c>
      <c r="F362" s="6">
        <v>1</v>
      </c>
      <c r="G362" s="1" t="s">
        <v>52</v>
      </c>
      <c r="H362" t="s">
        <v>33</v>
      </c>
      <c r="I362" t="s">
        <v>1976</v>
      </c>
      <c r="J362" t="s">
        <v>1259</v>
      </c>
      <c r="K362">
        <v>6160</v>
      </c>
      <c r="L362">
        <v>1200</v>
      </c>
      <c r="M362">
        <f>Customers_Table[[#This Row],[Quantity Ordered]]*Customers_Table[[#This Row],[Sales Price (Per unit)]]</f>
        <v>1200</v>
      </c>
      <c r="N362" t="s">
        <v>1977</v>
      </c>
    </row>
    <row r="363" spans="1:14" x14ac:dyDescent="0.2">
      <c r="A363" t="s">
        <v>623</v>
      </c>
      <c r="B363" t="s">
        <v>624</v>
      </c>
      <c r="C363">
        <v>1595</v>
      </c>
      <c r="D363" t="s">
        <v>76</v>
      </c>
      <c r="E363" s="1">
        <v>45441</v>
      </c>
      <c r="F363" s="6">
        <v>2</v>
      </c>
      <c r="G363" s="1" t="s">
        <v>52</v>
      </c>
      <c r="H363" t="s">
        <v>43</v>
      </c>
      <c r="I363" t="s">
        <v>1978</v>
      </c>
      <c r="J363" t="s">
        <v>865</v>
      </c>
      <c r="K363">
        <v>2000</v>
      </c>
      <c r="L363">
        <v>1200</v>
      </c>
      <c r="M363">
        <f>Customers_Table[[#This Row],[Quantity Ordered]]*Customers_Table[[#This Row],[Sales Price (Per unit)]]</f>
        <v>2400</v>
      </c>
      <c r="N363" t="s">
        <v>1979</v>
      </c>
    </row>
    <row r="364" spans="1:14" x14ac:dyDescent="0.2">
      <c r="A364" t="s">
        <v>351</v>
      </c>
      <c r="B364" t="s">
        <v>531</v>
      </c>
      <c r="C364">
        <v>1596</v>
      </c>
      <c r="D364" t="s">
        <v>92</v>
      </c>
      <c r="E364" s="1">
        <v>45464</v>
      </c>
      <c r="F364" s="6">
        <v>1</v>
      </c>
      <c r="G364" t="s">
        <v>71</v>
      </c>
      <c r="H364" t="s">
        <v>81</v>
      </c>
      <c r="I364" t="s">
        <v>1980</v>
      </c>
      <c r="J364" t="s">
        <v>1280</v>
      </c>
      <c r="K364">
        <v>800</v>
      </c>
      <c r="L364">
        <v>600</v>
      </c>
      <c r="M364">
        <f>Customers_Table[[#This Row],[Quantity Ordered]]*Customers_Table[[#This Row],[Sales Price (Per unit)]]</f>
        <v>600</v>
      </c>
      <c r="N364" t="s">
        <v>1981</v>
      </c>
    </row>
    <row r="365" spans="1:14" x14ac:dyDescent="0.2">
      <c r="A365" t="s">
        <v>411</v>
      </c>
      <c r="B365" t="s">
        <v>625</v>
      </c>
      <c r="C365">
        <v>1597</v>
      </c>
      <c r="D365" t="s">
        <v>31</v>
      </c>
      <c r="E365" s="1">
        <v>45348</v>
      </c>
      <c r="F365" s="6">
        <v>1</v>
      </c>
      <c r="G365" s="1" t="s">
        <v>52</v>
      </c>
      <c r="H365" t="s">
        <v>33</v>
      </c>
      <c r="I365" t="s">
        <v>1982</v>
      </c>
      <c r="J365" t="s">
        <v>1302</v>
      </c>
      <c r="K365">
        <v>6000</v>
      </c>
      <c r="L365">
        <v>250</v>
      </c>
      <c r="M365">
        <f>Customers_Table[[#This Row],[Quantity Ordered]]*Customers_Table[[#This Row],[Sales Price (Per unit)]]</f>
        <v>250</v>
      </c>
      <c r="N365" t="s">
        <v>1983</v>
      </c>
    </row>
    <row r="366" spans="1:14" x14ac:dyDescent="0.2">
      <c r="A366" t="s">
        <v>626</v>
      </c>
      <c r="B366" t="s">
        <v>399</v>
      </c>
      <c r="C366">
        <v>1598</v>
      </c>
      <c r="D366" t="s">
        <v>76</v>
      </c>
      <c r="E366" s="1">
        <v>45582</v>
      </c>
      <c r="F366" s="6">
        <v>3</v>
      </c>
      <c r="G366" s="1" t="s">
        <v>52</v>
      </c>
      <c r="H366" t="s">
        <v>57</v>
      </c>
      <c r="I366" t="s">
        <v>1984</v>
      </c>
      <c r="J366" t="s">
        <v>1095</v>
      </c>
      <c r="K366">
        <v>5000</v>
      </c>
      <c r="L366">
        <v>1200</v>
      </c>
      <c r="M366">
        <f>Customers_Table[[#This Row],[Quantity Ordered]]*Customers_Table[[#This Row],[Sales Price (Per unit)]]</f>
        <v>3600</v>
      </c>
      <c r="N366" t="s">
        <v>1985</v>
      </c>
    </row>
    <row r="367" spans="1:14" x14ac:dyDescent="0.2">
      <c r="A367" t="s">
        <v>627</v>
      </c>
      <c r="B367" t="s">
        <v>206</v>
      </c>
      <c r="C367">
        <v>1599</v>
      </c>
      <c r="D367" t="s">
        <v>31</v>
      </c>
      <c r="E367" s="1">
        <v>45563</v>
      </c>
      <c r="F367" s="6">
        <v>2</v>
      </c>
      <c r="G367" t="s">
        <v>32</v>
      </c>
      <c r="H367" t="s">
        <v>33</v>
      </c>
      <c r="I367" t="s">
        <v>1986</v>
      </c>
      <c r="J367" t="s">
        <v>1238</v>
      </c>
      <c r="K367">
        <v>6725</v>
      </c>
      <c r="L367">
        <v>250</v>
      </c>
      <c r="M367">
        <f>Customers_Table[[#This Row],[Quantity Ordered]]*Customers_Table[[#This Row],[Sales Price (Per unit)]]</f>
        <v>500</v>
      </c>
      <c r="N367" t="s">
        <v>1987</v>
      </c>
    </row>
    <row r="368" spans="1:14" x14ac:dyDescent="0.2">
      <c r="A368" t="s">
        <v>105</v>
      </c>
      <c r="B368" t="s">
        <v>190</v>
      </c>
      <c r="C368">
        <v>1600</v>
      </c>
      <c r="D368" t="s">
        <v>92</v>
      </c>
      <c r="E368" s="1">
        <v>45349</v>
      </c>
      <c r="F368" s="6">
        <v>2</v>
      </c>
      <c r="G368" s="1" t="s">
        <v>38</v>
      </c>
      <c r="H368" t="s">
        <v>43</v>
      </c>
      <c r="I368" t="s">
        <v>1988</v>
      </c>
      <c r="J368" t="s">
        <v>1244</v>
      </c>
      <c r="K368">
        <v>2300</v>
      </c>
      <c r="L368">
        <v>600</v>
      </c>
      <c r="M368">
        <f>Customers_Table[[#This Row],[Quantity Ordered]]*Customers_Table[[#This Row],[Sales Price (Per unit)]]</f>
        <v>1200</v>
      </c>
      <c r="N368" t="s">
        <v>1989</v>
      </c>
    </row>
    <row r="369" spans="1:14" x14ac:dyDescent="0.2">
      <c r="A369" t="s">
        <v>628</v>
      </c>
      <c r="B369" t="s">
        <v>629</v>
      </c>
      <c r="C369">
        <v>1601</v>
      </c>
      <c r="D369" t="s">
        <v>37</v>
      </c>
      <c r="E369" s="1">
        <v>45631</v>
      </c>
      <c r="F369" s="6">
        <v>1</v>
      </c>
      <c r="G369" s="1" t="s">
        <v>52</v>
      </c>
      <c r="H369" t="s">
        <v>53</v>
      </c>
      <c r="I369" t="s">
        <v>1990</v>
      </c>
      <c r="J369" t="s">
        <v>1250</v>
      </c>
      <c r="K369">
        <v>4217</v>
      </c>
      <c r="L369">
        <v>800</v>
      </c>
      <c r="M369">
        <f>Customers_Table[[#This Row],[Quantity Ordered]]*Customers_Table[[#This Row],[Sales Price (Per unit)]]</f>
        <v>800</v>
      </c>
      <c r="N369" t="s">
        <v>1991</v>
      </c>
    </row>
    <row r="370" spans="1:14" x14ac:dyDescent="0.2">
      <c r="A370" t="s">
        <v>209</v>
      </c>
      <c r="B370" t="s">
        <v>630</v>
      </c>
      <c r="C370">
        <v>1602</v>
      </c>
      <c r="D370" t="s">
        <v>42</v>
      </c>
      <c r="E370" s="1">
        <v>45337</v>
      </c>
      <c r="F370" s="6">
        <v>2</v>
      </c>
      <c r="G370" t="s">
        <v>32</v>
      </c>
      <c r="H370" t="s">
        <v>33</v>
      </c>
      <c r="I370" t="s">
        <v>1992</v>
      </c>
      <c r="J370" t="s">
        <v>1238</v>
      </c>
      <c r="K370">
        <v>6725</v>
      </c>
      <c r="L370">
        <v>300</v>
      </c>
      <c r="M370">
        <f>Customers_Table[[#This Row],[Quantity Ordered]]*Customers_Table[[#This Row],[Sales Price (Per unit)]]</f>
        <v>600</v>
      </c>
      <c r="N370" t="s">
        <v>1993</v>
      </c>
    </row>
    <row r="371" spans="1:14" x14ac:dyDescent="0.2">
      <c r="A371" t="s">
        <v>631</v>
      </c>
      <c r="B371" t="s">
        <v>632</v>
      </c>
      <c r="C371">
        <v>1603</v>
      </c>
      <c r="D371" t="s">
        <v>92</v>
      </c>
      <c r="E371" s="1">
        <v>45576</v>
      </c>
      <c r="F371" s="6">
        <v>2</v>
      </c>
      <c r="G371" t="s">
        <v>32</v>
      </c>
      <c r="H371" t="s">
        <v>64</v>
      </c>
      <c r="I371" t="s">
        <v>1994</v>
      </c>
      <c r="J371" t="s">
        <v>1262</v>
      </c>
      <c r="K371">
        <v>7250</v>
      </c>
      <c r="L371">
        <v>600</v>
      </c>
      <c r="M371">
        <f>Customers_Table[[#This Row],[Quantity Ordered]]*Customers_Table[[#This Row],[Sales Price (Per unit)]]</f>
        <v>1200</v>
      </c>
      <c r="N371" t="s">
        <v>1995</v>
      </c>
    </row>
    <row r="372" spans="1:14" x14ac:dyDescent="0.2">
      <c r="A372" t="s">
        <v>633</v>
      </c>
      <c r="B372" t="s">
        <v>607</v>
      </c>
      <c r="C372">
        <v>1604</v>
      </c>
      <c r="D372" t="s">
        <v>76</v>
      </c>
      <c r="E372" s="1">
        <v>45628</v>
      </c>
      <c r="F372" s="6">
        <v>3</v>
      </c>
      <c r="G372" s="1" t="s">
        <v>52</v>
      </c>
      <c r="H372" t="s">
        <v>33</v>
      </c>
      <c r="I372" t="s">
        <v>1996</v>
      </c>
      <c r="J372" t="s">
        <v>1259</v>
      </c>
      <c r="K372">
        <v>6160</v>
      </c>
      <c r="L372">
        <v>1200</v>
      </c>
      <c r="M372">
        <f>Customers_Table[[#This Row],[Quantity Ordered]]*Customers_Table[[#This Row],[Sales Price (Per unit)]]</f>
        <v>3600</v>
      </c>
      <c r="N372" t="s">
        <v>1997</v>
      </c>
    </row>
    <row r="373" spans="1:14" x14ac:dyDescent="0.2">
      <c r="A373" t="s">
        <v>634</v>
      </c>
      <c r="B373" t="s">
        <v>635</v>
      </c>
      <c r="C373">
        <v>1605</v>
      </c>
      <c r="D373" t="s">
        <v>76</v>
      </c>
      <c r="E373" s="1">
        <v>45353</v>
      </c>
      <c r="F373" s="6">
        <v>3</v>
      </c>
      <c r="G373" s="1" t="s">
        <v>52</v>
      </c>
      <c r="H373" t="s">
        <v>47</v>
      </c>
      <c r="I373" t="s">
        <v>1998</v>
      </c>
      <c r="J373" t="s">
        <v>1256</v>
      </c>
      <c r="K373">
        <v>3220</v>
      </c>
      <c r="L373">
        <v>1200</v>
      </c>
      <c r="M373">
        <f>Customers_Table[[#This Row],[Quantity Ordered]]*Customers_Table[[#This Row],[Sales Price (Per unit)]]</f>
        <v>3600</v>
      </c>
      <c r="N373" t="s">
        <v>1999</v>
      </c>
    </row>
    <row r="374" spans="1:14" x14ac:dyDescent="0.2">
      <c r="A374" t="s">
        <v>636</v>
      </c>
      <c r="B374" t="s">
        <v>372</v>
      </c>
      <c r="C374">
        <v>1606</v>
      </c>
      <c r="D374" t="s">
        <v>92</v>
      </c>
      <c r="E374" s="1">
        <v>45370</v>
      </c>
      <c r="F374" s="6">
        <v>3</v>
      </c>
      <c r="G374" s="1" t="s">
        <v>52</v>
      </c>
      <c r="H374" t="s">
        <v>64</v>
      </c>
      <c r="I374" t="s">
        <v>2000</v>
      </c>
      <c r="J374" t="s">
        <v>1400</v>
      </c>
      <c r="K374">
        <v>7310</v>
      </c>
      <c r="L374">
        <v>600</v>
      </c>
      <c r="M374">
        <f>Customers_Table[[#This Row],[Quantity Ordered]]*Customers_Table[[#This Row],[Sales Price (Per unit)]]</f>
        <v>1800</v>
      </c>
      <c r="N374" t="s">
        <v>2001</v>
      </c>
    </row>
    <row r="375" spans="1:14" x14ac:dyDescent="0.2">
      <c r="A375" t="s">
        <v>637</v>
      </c>
      <c r="B375" t="s">
        <v>501</v>
      </c>
      <c r="C375">
        <v>1607</v>
      </c>
      <c r="D375" t="s">
        <v>37</v>
      </c>
      <c r="E375" s="1">
        <v>45501</v>
      </c>
      <c r="F375" s="6">
        <v>3</v>
      </c>
      <c r="G375" t="s">
        <v>32</v>
      </c>
      <c r="H375" t="s">
        <v>53</v>
      </c>
      <c r="I375" t="s">
        <v>2002</v>
      </c>
      <c r="J375" t="s">
        <v>1268</v>
      </c>
      <c r="K375">
        <v>4870</v>
      </c>
      <c r="L375">
        <v>800</v>
      </c>
      <c r="M375">
        <f>Customers_Table[[#This Row],[Quantity Ordered]]*Customers_Table[[#This Row],[Sales Price (Per unit)]]</f>
        <v>2400</v>
      </c>
      <c r="N375" t="s">
        <v>2003</v>
      </c>
    </row>
    <row r="376" spans="1:14" x14ac:dyDescent="0.2">
      <c r="A376" t="s">
        <v>568</v>
      </c>
      <c r="B376" t="s">
        <v>396</v>
      </c>
      <c r="C376">
        <v>1608</v>
      </c>
      <c r="D376" t="s">
        <v>31</v>
      </c>
      <c r="E376" s="1">
        <v>45377</v>
      </c>
      <c r="F376" s="6">
        <v>3</v>
      </c>
      <c r="G376" s="1" t="s">
        <v>52</v>
      </c>
      <c r="H376" t="s">
        <v>33</v>
      </c>
      <c r="I376" t="s">
        <v>2004</v>
      </c>
      <c r="J376" t="s">
        <v>1302</v>
      </c>
      <c r="K376">
        <v>6000</v>
      </c>
      <c r="L376">
        <v>250</v>
      </c>
      <c r="M376">
        <f>Customers_Table[[#This Row],[Quantity Ordered]]*Customers_Table[[#This Row],[Sales Price (Per unit)]]</f>
        <v>750</v>
      </c>
      <c r="N376" t="s">
        <v>2005</v>
      </c>
    </row>
    <row r="377" spans="1:14" x14ac:dyDescent="0.2">
      <c r="A377" t="s">
        <v>638</v>
      </c>
      <c r="B377" t="s">
        <v>639</v>
      </c>
      <c r="C377">
        <v>1609</v>
      </c>
      <c r="D377" t="s">
        <v>92</v>
      </c>
      <c r="E377" s="1">
        <v>45526</v>
      </c>
      <c r="F377" s="6">
        <v>2</v>
      </c>
      <c r="G377" s="1" t="s">
        <v>38</v>
      </c>
      <c r="H377" t="s">
        <v>64</v>
      </c>
      <c r="I377" t="s">
        <v>2006</v>
      </c>
      <c r="J377" t="s">
        <v>1400</v>
      </c>
      <c r="K377">
        <v>7310</v>
      </c>
      <c r="L377">
        <v>600</v>
      </c>
      <c r="M377">
        <f>Customers_Table[[#This Row],[Quantity Ordered]]*Customers_Table[[#This Row],[Sales Price (Per unit)]]</f>
        <v>1200</v>
      </c>
      <c r="N377" t="s">
        <v>2007</v>
      </c>
    </row>
    <row r="378" spans="1:14" x14ac:dyDescent="0.2">
      <c r="A378" t="s">
        <v>640</v>
      </c>
      <c r="B378" t="s">
        <v>567</v>
      </c>
      <c r="C378">
        <v>1610</v>
      </c>
      <c r="D378" t="s">
        <v>42</v>
      </c>
      <c r="E378" s="1">
        <v>45566</v>
      </c>
      <c r="F378" s="6">
        <v>3</v>
      </c>
      <c r="G378" s="1" t="s">
        <v>38</v>
      </c>
      <c r="H378" t="s">
        <v>57</v>
      </c>
      <c r="I378" t="s">
        <v>2008</v>
      </c>
      <c r="J378" t="s">
        <v>1350</v>
      </c>
      <c r="K378">
        <v>5600</v>
      </c>
      <c r="L378">
        <v>300</v>
      </c>
      <c r="M378">
        <f>Customers_Table[[#This Row],[Quantity Ordered]]*Customers_Table[[#This Row],[Sales Price (Per unit)]]</f>
        <v>900</v>
      </c>
      <c r="N378" t="s">
        <v>2009</v>
      </c>
    </row>
    <row r="379" spans="1:14" x14ac:dyDescent="0.2">
      <c r="A379" t="s">
        <v>219</v>
      </c>
      <c r="B379" t="s">
        <v>641</v>
      </c>
      <c r="C379">
        <v>1611</v>
      </c>
      <c r="D379" t="s">
        <v>76</v>
      </c>
      <c r="E379" s="1">
        <v>45515</v>
      </c>
      <c r="F379" s="6">
        <v>3</v>
      </c>
      <c r="G379" t="s">
        <v>71</v>
      </c>
      <c r="H379" t="s">
        <v>39</v>
      </c>
      <c r="I379" t="s">
        <v>2010</v>
      </c>
      <c r="J379" t="s">
        <v>1241</v>
      </c>
      <c r="K379">
        <v>2600</v>
      </c>
      <c r="L379">
        <v>1200</v>
      </c>
      <c r="M379">
        <f>Customers_Table[[#This Row],[Quantity Ordered]]*Customers_Table[[#This Row],[Sales Price (Per unit)]]</f>
        <v>3600</v>
      </c>
      <c r="N379" t="s">
        <v>2011</v>
      </c>
    </row>
    <row r="380" spans="1:14" x14ac:dyDescent="0.2">
      <c r="A380" t="s">
        <v>642</v>
      </c>
      <c r="B380" t="s">
        <v>643</v>
      </c>
      <c r="C380">
        <v>1612</v>
      </c>
      <c r="D380" t="s">
        <v>76</v>
      </c>
      <c r="E380" s="1">
        <v>45570</v>
      </c>
      <c r="F380" s="6">
        <v>1</v>
      </c>
      <c r="G380" t="s">
        <v>32</v>
      </c>
      <c r="H380" t="s">
        <v>57</v>
      </c>
      <c r="I380" t="s">
        <v>2012</v>
      </c>
      <c r="J380" t="s">
        <v>1253</v>
      </c>
      <c r="K380">
        <v>5290</v>
      </c>
      <c r="L380">
        <v>1200</v>
      </c>
      <c r="M380">
        <f>Customers_Table[[#This Row],[Quantity Ordered]]*Customers_Table[[#This Row],[Sales Price (Per unit)]]</f>
        <v>1200</v>
      </c>
      <c r="N380" t="s">
        <v>2013</v>
      </c>
    </row>
    <row r="381" spans="1:14" x14ac:dyDescent="0.2">
      <c r="A381" t="s">
        <v>603</v>
      </c>
      <c r="B381" t="s">
        <v>346</v>
      </c>
      <c r="C381">
        <v>1613</v>
      </c>
      <c r="D381" t="s">
        <v>31</v>
      </c>
      <c r="E381" s="1">
        <v>45471</v>
      </c>
      <c r="F381" s="6">
        <v>3</v>
      </c>
      <c r="G381" s="1" t="s">
        <v>52</v>
      </c>
      <c r="H381" t="s">
        <v>64</v>
      </c>
      <c r="I381" t="s">
        <v>2014</v>
      </c>
      <c r="J381" t="s">
        <v>1262</v>
      </c>
      <c r="K381">
        <v>7250</v>
      </c>
      <c r="L381">
        <v>250</v>
      </c>
      <c r="M381">
        <f>Customers_Table[[#This Row],[Quantity Ordered]]*Customers_Table[[#This Row],[Sales Price (Per unit)]]</f>
        <v>750</v>
      </c>
      <c r="N381" t="s">
        <v>2015</v>
      </c>
    </row>
    <row r="382" spans="1:14" x14ac:dyDescent="0.2">
      <c r="A382" t="s">
        <v>644</v>
      </c>
      <c r="B382" t="s">
        <v>569</v>
      </c>
      <c r="C382">
        <v>1614</v>
      </c>
      <c r="D382" t="s">
        <v>31</v>
      </c>
      <c r="E382" s="1">
        <v>45501</v>
      </c>
      <c r="F382" s="6">
        <v>2</v>
      </c>
      <c r="G382" t="s">
        <v>71</v>
      </c>
      <c r="H382" t="s">
        <v>57</v>
      </c>
      <c r="I382" t="s">
        <v>2016</v>
      </c>
      <c r="J382" t="s">
        <v>1095</v>
      </c>
      <c r="K382">
        <v>5000</v>
      </c>
      <c r="L382">
        <v>250</v>
      </c>
      <c r="M382">
        <f>Customers_Table[[#This Row],[Quantity Ordered]]*Customers_Table[[#This Row],[Sales Price (Per unit)]]</f>
        <v>500</v>
      </c>
      <c r="N382" t="s">
        <v>2017</v>
      </c>
    </row>
    <row r="383" spans="1:14" x14ac:dyDescent="0.2">
      <c r="A383" t="s">
        <v>306</v>
      </c>
      <c r="B383" t="s">
        <v>307</v>
      </c>
      <c r="C383">
        <v>1373</v>
      </c>
      <c r="D383" t="s">
        <v>76</v>
      </c>
      <c r="E383" s="1">
        <v>45405</v>
      </c>
      <c r="F383" s="6">
        <v>2</v>
      </c>
      <c r="G383" s="1" t="s">
        <v>52</v>
      </c>
      <c r="H383" t="s">
        <v>81</v>
      </c>
      <c r="I383" t="s">
        <v>2018</v>
      </c>
      <c r="J383" t="s">
        <v>1361</v>
      </c>
      <c r="K383">
        <v>870</v>
      </c>
      <c r="L383">
        <v>1200</v>
      </c>
      <c r="M383">
        <f>Customers_Table[[#This Row],[Quantity Ordered]]*Customers_Table[[#This Row],[Sales Price (Per unit)]]</f>
        <v>2400</v>
      </c>
      <c r="N383" t="s">
        <v>2019</v>
      </c>
    </row>
    <row r="384" spans="1:14" x14ac:dyDescent="0.2">
      <c r="A384" t="s">
        <v>645</v>
      </c>
      <c r="B384" t="s">
        <v>646</v>
      </c>
      <c r="C384">
        <v>1615</v>
      </c>
      <c r="D384" t="s">
        <v>37</v>
      </c>
      <c r="E384" s="1">
        <v>45378</v>
      </c>
      <c r="F384" s="6">
        <v>1</v>
      </c>
      <c r="G384" s="1" t="s">
        <v>52</v>
      </c>
      <c r="H384" t="s">
        <v>64</v>
      </c>
      <c r="I384" t="s">
        <v>2020</v>
      </c>
      <c r="J384" t="s">
        <v>1400</v>
      </c>
      <c r="K384">
        <v>7310</v>
      </c>
      <c r="L384">
        <v>800</v>
      </c>
      <c r="M384">
        <f>Customers_Table[[#This Row],[Quantity Ordered]]*Customers_Table[[#This Row],[Sales Price (Per unit)]]</f>
        <v>800</v>
      </c>
      <c r="N384" t="s">
        <v>2021</v>
      </c>
    </row>
    <row r="385" spans="1:14" x14ac:dyDescent="0.2">
      <c r="A385" t="s">
        <v>647</v>
      </c>
      <c r="B385" t="s">
        <v>179</v>
      </c>
      <c r="C385">
        <v>1616</v>
      </c>
      <c r="D385" t="s">
        <v>76</v>
      </c>
      <c r="E385" s="1">
        <v>45439</v>
      </c>
      <c r="F385" s="6">
        <v>3</v>
      </c>
      <c r="G385" s="1" t="s">
        <v>38</v>
      </c>
      <c r="H385" t="s">
        <v>53</v>
      </c>
      <c r="I385" t="s">
        <v>2022</v>
      </c>
      <c r="J385" t="s">
        <v>1250</v>
      </c>
      <c r="K385">
        <v>4217</v>
      </c>
      <c r="L385">
        <v>1200</v>
      </c>
      <c r="M385">
        <f>Customers_Table[[#This Row],[Quantity Ordered]]*Customers_Table[[#This Row],[Sales Price (Per unit)]]</f>
        <v>3600</v>
      </c>
      <c r="N385" t="s">
        <v>2023</v>
      </c>
    </row>
    <row r="386" spans="1:14" x14ac:dyDescent="0.2">
      <c r="A386" t="s">
        <v>648</v>
      </c>
      <c r="B386" t="s">
        <v>649</v>
      </c>
      <c r="C386">
        <v>1617</v>
      </c>
      <c r="D386" t="s">
        <v>76</v>
      </c>
      <c r="E386" s="1">
        <v>45605</v>
      </c>
      <c r="F386" s="6">
        <v>3</v>
      </c>
      <c r="G386" s="1" t="s">
        <v>52</v>
      </c>
      <c r="H386" t="s">
        <v>64</v>
      </c>
      <c r="I386" t="s">
        <v>2024</v>
      </c>
      <c r="J386" t="s">
        <v>1262</v>
      </c>
      <c r="K386">
        <v>7250</v>
      </c>
      <c r="L386">
        <v>1200</v>
      </c>
      <c r="M386">
        <f>Customers_Table[[#This Row],[Quantity Ordered]]*Customers_Table[[#This Row],[Sales Price (Per unit)]]</f>
        <v>3600</v>
      </c>
      <c r="N386" t="s">
        <v>2025</v>
      </c>
    </row>
    <row r="387" spans="1:14" x14ac:dyDescent="0.2">
      <c r="A387" t="s">
        <v>511</v>
      </c>
      <c r="B387" t="s">
        <v>650</v>
      </c>
      <c r="C387">
        <v>1618</v>
      </c>
      <c r="D387" t="s">
        <v>42</v>
      </c>
      <c r="E387" s="1">
        <v>45415</v>
      </c>
      <c r="F387" s="6">
        <v>3</v>
      </c>
      <c r="G387" t="s">
        <v>32</v>
      </c>
      <c r="H387" t="s">
        <v>39</v>
      </c>
      <c r="I387" t="s">
        <v>2026</v>
      </c>
      <c r="J387" t="s">
        <v>1241</v>
      </c>
      <c r="K387">
        <v>2600</v>
      </c>
      <c r="L387">
        <v>300</v>
      </c>
      <c r="M387">
        <f>Customers_Table[[#This Row],[Quantity Ordered]]*Customers_Table[[#This Row],[Sales Price (Per unit)]]</f>
        <v>900</v>
      </c>
      <c r="N387" t="s">
        <v>2027</v>
      </c>
    </row>
    <row r="388" spans="1:14" x14ac:dyDescent="0.2">
      <c r="A388" t="s">
        <v>651</v>
      </c>
      <c r="B388" t="s">
        <v>481</v>
      </c>
      <c r="C388">
        <v>1619</v>
      </c>
      <c r="D388" t="s">
        <v>76</v>
      </c>
      <c r="E388" s="1">
        <v>45573</v>
      </c>
      <c r="F388" s="6">
        <v>2</v>
      </c>
      <c r="G388" t="s">
        <v>32</v>
      </c>
      <c r="H388" t="s">
        <v>53</v>
      </c>
      <c r="I388" t="s">
        <v>2028</v>
      </c>
      <c r="J388" t="s">
        <v>1268</v>
      </c>
      <c r="K388">
        <v>4870</v>
      </c>
      <c r="L388">
        <v>1200</v>
      </c>
      <c r="M388">
        <f>Customers_Table[[#This Row],[Quantity Ordered]]*Customers_Table[[#This Row],[Sales Price (Per unit)]]</f>
        <v>2400</v>
      </c>
      <c r="N388" t="s">
        <v>2029</v>
      </c>
    </row>
    <row r="389" spans="1:14" x14ac:dyDescent="0.2">
      <c r="A389" t="s">
        <v>152</v>
      </c>
      <c r="B389" t="s">
        <v>652</v>
      </c>
      <c r="C389">
        <v>1620</v>
      </c>
      <c r="D389" t="s">
        <v>92</v>
      </c>
      <c r="E389" s="1">
        <v>45491</v>
      </c>
      <c r="F389" s="6">
        <v>1</v>
      </c>
      <c r="G389" t="s">
        <v>71</v>
      </c>
      <c r="H389" t="s">
        <v>57</v>
      </c>
      <c r="I389" t="s">
        <v>2030</v>
      </c>
      <c r="J389" t="s">
        <v>1350</v>
      </c>
      <c r="K389">
        <v>5600</v>
      </c>
      <c r="L389">
        <v>600</v>
      </c>
      <c r="M389">
        <f>Customers_Table[[#This Row],[Quantity Ordered]]*Customers_Table[[#This Row],[Sales Price (Per unit)]]</f>
        <v>600</v>
      </c>
      <c r="N389" t="s">
        <v>2031</v>
      </c>
    </row>
    <row r="390" spans="1:14" x14ac:dyDescent="0.2">
      <c r="A390" t="s">
        <v>653</v>
      </c>
      <c r="B390" t="s">
        <v>654</v>
      </c>
      <c r="C390">
        <v>1621</v>
      </c>
      <c r="D390" t="s">
        <v>76</v>
      </c>
      <c r="E390" s="1">
        <v>45608</v>
      </c>
      <c r="F390" s="6">
        <v>1</v>
      </c>
      <c r="G390" t="s">
        <v>71</v>
      </c>
      <c r="H390" t="s">
        <v>43</v>
      </c>
      <c r="I390" t="s">
        <v>2032</v>
      </c>
      <c r="J390" t="s">
        <v>1299</v>
      </c>
      <c r="K390">
        <v>2500</v>
      </c>
      <c r="L390">
        <v>1200</v>
      </c>
      <c r="M390">
        <f>Customers_Table[[#This Row],[Quantity Ordered]]*Customers_Table[[#This Row],[Sales Price (Per unit)]]</f>
        <v>1200</v>
      </c>
      <c r="N390" t="s">
        <v>2033</v>
      </c>
    </row>
    <row r="391" spans="1:14" x14ac:dyDescent="0.2">
      <c r="A391" t="s">
        <v>655</v>
      </c>
      <c r="B391" t="s">
        <v>160</v>
      </c>
      <c r="C391">
        <v>1622</v>
      </c>
      <c r="D391" t="s">
        <v>92</v>
      </c>
      <c r="E391" s="1">
        <v>45536</v>
      </c>
      <c r="F391" s="6">
        <v>3</v>
      </c>
      <c r="G391" s="1" t="s">
        <v>52</v>
      </c>
      <c r="H391" t="s">
        <v>57</v>
      </c>
      <c r="I391" t="s">
        <v>2034</v>
      </c>
      <c r="J391" t="s">
        <v>1350</v>
      </c>
      <c r="K391">
        <v>5600</v>
      </c>
      <c r="L391">
        <v>600</v>
      </c>
      <c r="M391">
        <f>Customers_Table[[#This Row],[Quantity Ordered]]*Customers_Table[[#This Row],[Sales Price (Per unit)]]</f>
        <v>1800</v>
      </c>
      <c r="N391" t="s">
        <v>2035</v>
      </c>
    </row>
    <row r="392" spans="1:14" x14ac:dyDescent="0.2">
      <c r="A392" t="s">
        <v>322</v>
      </c>
      <c r="B392" t="s">
        <v>167</v>
      </c>
      <c r="C392">
        <v>1623</v>
      </c>
      <c r="D392" t="s">
        <v>51</v>
      </c>
      <c r="E392" s="1">
        <v>45514</v>
      </c>
      <c r="F392" s="6">
        <v>3</v>
      </c>
      <c r="G392" t="s">
        <v>32</v>
      </c>
      <c r="H392" t="s">
        <v>64</v>
      </c>
      <c r="I392" t="s">
        <v>2036</v>
      </c>
      <c r="J392" t="s">
        <v>1265</v>
      </c>
      <c r="K392">
        <v>7000</v>
      </c>
      <c r="L392">
        <v>250</v>
      </c>
      <c r="M392">
        <f>Customers_Table[[#This Row],[Quantity Ordered]]*Customers_Table[[#This Row],[Sales Price (Per unit)]]</f>
        <v>750</v>
      </c>
      <c r="N392" t="s">
        <v>2037</v>
      </c>
    </row>
    <row r="393" spans="1:14" x14ac:dyDescent="0.2">
      <c r="A393" t="s">
        <v>656</v>
      </c>
      <c r="B393" t="s">
        <v>657</v>
      </c>
      <c r="C393">
        <v>1624</v>
      </c>
      <c r="D393" t="s">
        <v>92</v>
      </c>
      <c r="E393" s="1">
        <v>45517</v>
      </c>
      <c r="F393" s="6">
        <v>1</v>
      </c>
      <c r="G393" s="1" t="s">
        <v>52</v>
      </c>
      <c r="H393" t="s">
        <v>43</v>
      </c>
      <c r="I393" t="s">
        <v>2038</v>
      </c>
      <c r="J393" t="s">
        <v>1299</v>
      </c>
      <c r="K393">
        <v>2500</v>
      </c>
      <c r="L393">
        <v>600</v>
      </c>
      <c r="M393">
        <f>Customers_Table[[#This Row],[Quantity Ordered]]*Customers_Table[[#This Row],[Sales Price (Per unit)]]</f>
        <v>600</v>
      </c>
      <c r="N393" t="s">
        <v>2039</v>
      </c>
    </row>
    <row r="394" spans="1:14" x14ac:dyDescent="0.2">
      <c r="A394" t="s">
        <v>648</v>
      </c>
      <c r="B394" t="s">
        <v>123</v>
      </c>
      <c r="C394">
        <v>1625</v>
      </c>
      <c r="D394" t="s">
        <v>51</v>
      </c>
      <c r="E394" s="1">
        <v>45443</v>
      </c>
      <c r="F394" s="6">
        <v>3</v>
      </c>
      <c r="G394" t="s">
        <v>71</v>
      </c>
      <c r="H394" t="s">
        <v>47</v>
      </c>
      <c r="I394" t="s">
        <v>2040</v>
      </c>
      <c r="J394" t="s">
        <v>1247</v>
      </c>
      <c r="K394">
        <v>3350</v>
      </c>
      <c r="L394">
        <v>250</v>
      </c>
      <c r="M394">
        <f>Customers_Table[[#This Row],[Quantity Ordered]]*Customers_Table[[#This Row],[Sales Price (Per unit)]]</f>
        <v>750</v>
      </c>
      <c r="N394" t="s">
        <v>2041</v>
      </c>
    </row>
    <row r="395" spans="1:14" x14ac:dyDescent="0.2">
      <c r="A395" t="s">
        <v>658</v>
      </c>
      <c r="B395" t="s">
        <v>659</v>
      </c>
      <c r="C395">
        <v>1626</v>
      </c>
      <c r="D395" t="s">
        <v>92</v>
      </c>
      <c r="E395" s="1">
        <v>45611</v>
      </c>
      <c r="F395" s="6">
        <v>1</v>
      </c>
      <c r="G395" s="1" t="s">
        <v>52</v>
      </c>
      <c r="H395" t="s">
        <v>33</v>
      </c>
      <c r="I395" t="s">
        <v>2042</v>
      </c>
      <c r="J395" t="s">
        <v>1259</v>
      </c>
      <c r="K395">
        <v>6160</v>
      </c>
      <c r="L395">
        <v>600</v>
      </c>
      <c r="M395">
        <f>Customers_Table[[#This Row],[Quantity Ordered]]*Customers_Table[[#This Row],[Sales Price (Per unit)]]</f>
        <v>600</v>
      </c>
      <c r="N395" t="s">
        <v>2043</v>
      </c>
    </row>
    <row r="396" spans="1:14" x14ac:dyDescent="0.2">
      <c r="A396" t="s">
        <v>660</v>
      </c>
      <c r="B396" t="s">
        <v>661</v>
      </c>
      <c r="C396">
        <v>1627</v>
      </c>
      <c r="D396" t="s">
        <v>76</v>
      </c>
      <c r="E396" s="1">
        <v>45602</v>
      </c>
      <c r="F396" s="6">
        <v>1</v>
      </c>
      <c r="G396" t="s">
        <v>32</v>
      </c>
      <c r="H396" t="s">
        <v>81</v>
      </c>
      <c r="I396" t="s">
        <v>2044</v>
      </c>
      <c r="J396" t="s">
        <v>1280</v>
      </c>
      <c r="K396">
        <v>800</v>
      </c>
      <c r="L396">
        <v>1200</v>
      </c>
      <c r="M396">
        <f>Customers_Table[[#This Row],[Quantity Ordered]]*Customers_Table[[#This Row],[Sales Price (Per unit)]]</f>
        <v>1200</v>
      </c>
      <c r="N396" t="s">
        <v>2045</v>
      </c>
    </row>
    <row r="397" spans="1:14" x14ac:dyDescent="0.2">
      <c r="A397" t="s">
        <v>662</v>
      </c>
      <c r="B397" t="s">
        <v>663</v>
      </c>
      <c r="C397">
        <v>1628</v>
      </c>
      <c r="D397" t="s">
        <v>37</v>
      </c>
      <c r="E397" s="1">
        <v>45591</v>
      </c>
      <c r="F397" s="6">
        <v>3</v>
      </c>
      <c r="G397" s="1" t="s">
        <v>52</v>
      </c>
      <c r="H397" t="s">
        <v>47</v>
      </c>
      <c r="I397" t="s">
        <v>2046</v>
      </c>
      <c r="J397" t="s">
        <v>1247</v>
      </c>
      <c r="K397">
        <v>3350</v>
      </c>
      <c r="L397">
        <v>800</v>
      </c>
      <c r="M397">
        <f>Customers_Table[[#This Row],[Quantity Ordered]]*Customers_Table[[#This Row],[Sales Price (Per unit)]]</f>
        <v>2400</v>
      </c>
      <c r="N397" t="s">
        <v>2047</v>
      </c>
    </row>
    <row r="398" spans="1:14" x14ac:dyDescent="0.2">
      <c r="A398" t="s">
        <v>172</v>
      </c>
      <c r="B398" t="s">
        <v>327</v>
      </c>
      <c r="C398">
        <v>1629</v>
      </c>
      <c r="D398" t="s">
        <v>76</v>
      </c>
      <c r="E398" s="1">
        <v>45341</v>
      </c>
      <c r="F398" s="6">
        <v>3</v>
      </c>
      <c r="G398" s="1" t="s">
        <v>52</v>
      </c>
      <c r="H398" t="s">
        <v>81</v>
      </c>
      <c r="I398" t="s">
        <v>2048</v>
      </c>
      <c r="J398" t="s">
        <v>1361</v>
      </c>
      <c r="K398">
        <v>870</v>
      </c>
      <c r="L398">
        <v>1200</v>
      </c>
      <c r="M398">
        <f>Customers_Table[[#This Row],[Quantity Ordered]]*Customers_Table[[#This Row],[Sales Price (Per unit)]]</f>
        <v>3600</v>
      </c>
      <c r="N398" t="s">
        <v>2049</v>
      </c>
    </row>
    <row r="399" spans="1:14" x14ac:dyDescent="0.2">
      <c r="A399" t="s">
        <v>543</v>
      </c>
      <c r="B399" t="s">
        <v>664</v>
      </c>
      <c r="C399">
        <v>1630</v>
      </c>
      <c r="D399" t="s">
        <v>92</v>
      </c>
      <c r="E399" s="1">
        <v>45538</v>
      </c>
      <c r="F399" s="6">
        <v>3</v>
      </c>
      <c r="G399" s="1" t="s">
        <v>52</v>
      </c>
      <c r="H399" t="s">
        <v>33</v>
      </c>
      <c r="I399" t="s">
        <v>2050</v>
      </c>
      <c r="J399" t="s">
        <v>1238</v>
      </c>
      <c r="K399">
        <v>6725</v>
      </c>
      <c r="L399">
        <v>600</v>
      </c>
      <c r="M399">
        <f>Customers_Table[[#This Row],[Quantity Ordered]]*Customers_Table[[#This Row],[Sales Price (Per unit)]]</f>
        <v>1800</v>
      </c>
      <c r="N399" t="s">
        <v>2051</v>
      </c>
    </row>
    <row r="400" spans="1:14" x14ac:dyDescent="0.2">
      <c r="A400" t="s">
        <v>611</v>
      </c>
      <c r="B400" t="s">
        <v>203</v>
      </c>
      <c r="C400">
        <v>1631</v>
      </c>
      <c r="D400" t="s">
        <v>42</v>
      </c>
      <c r="E400" s="1">
        <v>45375</v>
      </c>
      <c r="F400" s="6">
        <v>3</v>
      </c>
      <c r="G400" t="s">
        <v>32</v>
      </c>
      <c r="H400" t="s">
        <v>64</v>
      </c>
      <c r="I400" t="s">
        <v>2052</v>
      </c>
      <c r="J400" t="s">
        <v>1265</v>
      </c>
      <c r="K400">
        <v>7000</v>
      </c>
      <c r="L400">
        <v>300</v>
      </c>
      <c r="M400">
        <f>Customers_Table[[#This Row],[Quantity Ordered]]*Customers_Table[[#This Row],[Sales Price (Per unit)]]</f>
        <v>900</v>
      </c>
      <c r="N400" t="s">
        <v>2053</v>
      </c>
    </row>
    <row r="401" spans="1:14" x14ac:dyDescent="0.2">
      <c r="A401" t="s">
        <v>665</v>
      </c>
      <c r="B401" t="s">
        <v>459</v>
      </c>
      <c r="C401">
        <v>1632</v>
      </c>
      <c r="D401" t="s">
        <v>92</v>
      </c>
      <c r="E401" s="1">
        <v>45352</v>
      </c>
      <c r="F401" s="6">
        <v>3</v>
      </c>
      <c r="G401" t="s">
        <v>32</v>
      </c>
      <c r="H401" t="s">
        <v>47</v>
      </c>
      <c r="I401" t="s">
        <v>2054</v>
      </c>
      <c r="J401" t="s">
        <v>1275</v>
      </c>
      <c r="K401">
        <v>3000</v>
      </c>
      <c r="L401">
        <v>600</v>
      </c>
      <c r="M401">
        <f>Customers_Table[[#This Row],[Quantity Ordered]]*Customers_Table[[#This Row],[Sales Price (Per unit)]]</f>
        <v>1800</v>
      </c>
      <c r="N401" t="s">
        <v>2055</v>
      </c>
    </row>
    <row r="402" spans="1:14" x14ac:dyDescent="0.2">
      <c r="A402" t="s">
        <v>88</v>
      </c>
      <c r="B402" t="s">
        <v>666</v>
      </c>
      <c r="C402">
        <v>1633</v>
      </c>
      <c r="D402" t="s">
        <v>76</v>
      </c>
      <c r="E402" s="1">
        <v>45607</v>
      </c>
      <c r="F402" s="6">
        <v>3</v>
      </c>
      <c r="G402" s="1" t="s">
        <v>52</v>
      </c>
      <c r="H402" t="s">
        <v>39</v>
      </c>
      <c r="I402" t="s">
        <v>2056</v>
      </c>
      <c r="J402" t="s">
        <v>1241</v>
      </c>
      <c r="K402">
        <v>2600</v>
      </c>
      <c r="L402">
        <v>1200</v>
      </c>
      <c r="M402">
        <f>Customers_Table[[#This Row],[Quantity Ordered]]*Customers_Table[[#This Row],[Sales Price (Per unit)]]</f>
        <v>3600</v>
      </c>
      <c r="N402" t="s">
        <v>2057</v>
      </c>
    </row>
    <row r="403" spans="1:14" x14ac:dyDescent="0.2">
      <c r="A403" t="s">
        <v>667</v>
      </c>
      <c r="B403" t="s">
        <v>668</v>
      </c>
      <c r="C403">
        <v>1634</v>
      </c>
      <c r="D403" t="s">
        <v>37</v>
      </c>
      <c r="E403" s="1">
        <v>45419</v>
      </c>
      <c r="F403" s="6">
        <v>3</v>
      </c>
      <c r="G403" s="1" t="s">
        <v>52</v>
      </c>
      <c r="H403" t="s">
        <v>81</v>
      </c>
      <c r="I403" t="s">
        <v>2058</v>
      </c>
      <c r="J403" t="s">
        <v>1280</v>
      </c>
      <c r="K403">
        <v>800</v>
      </c>
      <c r="L403">
        <v>800</v>
      </c>
      <c r="M403">
        <f>Customers_Table[[#This Row],[Quantity Ordered]]*Customers_Table[[#This Row],[Sales Price (Per unit)]]</f>
        <v>2400</v>
      </c>
      <c r="N403" t="s">
        <v>2059</v>
      </c>
    </row>
    <row r="404" spans="1:14" x14ac:dyDescent="0.2">
      <c r="A404" t="s">
        <v>669</v>
      </c>
      <c r="B404" t="s">
        <v>270</v>
      </c>
      <c r="C404">
        <v>1635</v>
      </c>
      <c r="D404" t="s">
        <v>76</v>
      </c>
      <c r="E404" s="1">
        <v>45529</v>
      </c>
      <c r="F404" s="6">
        <v>2</v>
      </c>
      <c r="G404" t="s">
        <v>32</v>
      </c>
      <c r="H404" t="s">
        <v>47</v>
      </c>
      <c r="I404" t="s">
        <v>2060</v>
      </c>
      <c r="J404" t="s">
        <v>1275</v>
      </c>
      <c r="K404">
        <v>3000</v>
      </c>
      <c r="L404">
        <v>1200</v>
      </c>
      <c r="M404">
        <f>Customers_Table[[#This Row],[Quantity Ordered]]*Customers_Table[[#This Row],[Sales Price (Per unit)]]</f>
        <v>2400</v>
      </c>
      <c r="N404" t="s">
        <v>2061</v>
      </c>
    </row>
    <row r="405" spans="1:14" x14ac:dyDescent="0.2">
      <c r="A405" t="s">
        <v>65</v>
      </c>
      <c r="B405" t="s">
        <v>670</v>
      </c>
      <c r="C405">
        <v>1636</v>
      </c>
      <c r="D405" t="s">
        <v>31</v>
      </c>
      <c r="E405" s="1">
        <v>45503</v>
      </c>
      <c r="F405" s="6">
        <v>2</v>
      </c>
      <c r="G405" t="s">
        <v>71</v>
      </c>
      <c r="H405" t="s">
        <v>47</v>
      </c>
      <c r="I405" t="s">
        <v>2062</v>
      </c>
      <c r="J405" t="s">
        <v>1275</v>
      </c>
      <c r="K405">
        <v>3000</v>
      </c>
      <c r="L405">
        <v>250</v>
      </c>
      <c r="M405">
        <f>Customers_Table[[#This Row],[Quantity Ordered]]*Customers_Table[[#This Row],[Sales Price (Per unit)]]</f>
        <v>500</v>
      </c>
      <c r="N405" t="s">
        <v>2063</v>
      </c>
    </row>
    <row r="406" spans="1:14" x14ac:dyDescent="0.2">
      <c r="A406" t="s">
        <v>671</v>
      </c>
      <c r="B406" t="s">
        <v>672</v>
      </c>
      <c r="C406">
        <v>1637</v>
      </c>
      <c r="D406" t="s">
        <v>42</v>
      </c>
      <c r="E406" s="1">
        <v>45656</v>
      </c>
      <c r="F406" s="6">
        <v>3</v>
      </c>
      <c r="G406" s="1" t="s">
        <v>52</v>
      </c>
      <c r="H406" t="s">
        <v>33</v>
      </c>
      <c r="I406" t="s">
        <v>2064</v>
      </c>
      <c r="J406" t="s">
        <v>1259</v>
      </c>
      <c r="K406">
        <v>6160</v>
      </c>
      <c r="L406">
        <v>300</v>
      </c>
      <c r="M406">
        <f>Customers_Table[[#This Row],[Quantity Ordered]]*Customers_Table[[#This Row],[Sales Price (Per unit)]]</f>
        <v>900</v>
      </c>
      <c r="N406" t="s">
        <v>2065</v>
      </c>
    </row>
    <row r="407" spans="1:14" x14ac:dyDescent="0.2">
      <c r="A407" t="s">
        <v>673</v>
      </c>
      <c r="B407" t="s">
        <v>529</v>
      </c>
      <c r="C407">
        <v>1638</v>
      </c>
      <c r="D407" t="s">
        <v>37</v>
      </c>
      <c r="E407" s="1">
        <v>45339</v>
      </c>
      <c r="F407" s="6">
        <v>1</v>
      </c>
      <c r="G407" s="1" t="s">
        <v>38</v>
      </c>
      <c r="H407" t="s">
        <v>39</v>
      </c>
      <c r="I407" t="s">
        <v>2066</v>
      </c>
      <c r="J407" t="s">
        <v>1241</v>
      </c>
      <c r="K407">
        <v>2600</v>
      </c>
      <c r="L407">
        <v>800</v>
      </c>
      <c r="M407">
        <f>Customers_Table[[#This Row],[Quantity Ordered]]*Customers_Table[[#This Row],[Sales Price (Per unit)]]</f>
        <v>800</v>
      </c>
      <c r="N407" t="s">
        <v>2067</v>
      </c>
    </row>
    <row r="408" spans="1:14" x14ac:dyDescent="0.2">
      <c r="A408" t="s">
        <v>674</v>
      </c>
      <c r="B408" t="s">
        <v>451</v>
      </c>
      <c r="C408">
        <v>1639</v>
      </c>
      <c r="D408" t="s">
        <v>51</v>
      </c>
      <c r="E408" s="1">
        <v>45337</v>
      </c>
      <c r="F408" s="6">
        <v>3</v>
      </c>
      <c r="G408" t="s">
        <v>71</v>
      </c>
      <c r="H408" t="s">
        <v>47</v>
      </c>
      <c r="I408" t="s">
        <v>2068</v>
      </c>
      <c r="J408" t="s">
        <v>1275</v>
      </c>
      <c r="K408">
        <v>3000</v>
      </c>
      <c r="L408">
        <v>250</v>
      </c>
      <c r="M408">
        <f>Customers_Table[[#This Row],[Quantity Ordered]]*Customers_Table[[#This Row],[Sales Price (Per unit)]]</f>
        <v>750</v>
      </c>
      <c r="N408" t="s">
        <v>2069</v>
      </c>
    </row>
    <row r="409" spans="1:14" x14ac:dyDescent="0.2">
      <c r="A409" t="s">
        <v>675</v>
      </c>
      <c r="B409" t="s">
        <v>676</v>
      </c>
      <c r="C409">
        <v>1640</v>
      </c>
      <c r="D409" t="s">
        <v>51</v>
      </c>
      <c r="E409" s="1">
        <v>45597</v>
      </c>
      <c r="F409" s="6">
        <v>3</v>
      </c>
      <c r="G409" s="1" t="s">
        <v>52</v>
      </c>
      <c r="H409" t="s">
        <v>64</v>
      </c>
      <c r="I409" t="s">
        <v>2070</v>
      </c>
      <c r="J409" t="s">
        <v>1262</v>
      </c>
      <c r="K409">
        <v>7250</v>
      </c>
      <c r="L409">
        <v>250</v>
      </c>
      <c r="M409">
        <f>Customers_Table[[#This Row],[Quantity Ordered]]*Customers_Table[[#This Row],[Sales Price (Per unit)]]</f>
        <v>750</v>
      </c>
      <c r="N409" t="s">
        <v>2071</v>
      </c>
    </row>
    <row r="410" spans="1:14" x14ac:dyDescent="0.2">
      <c r="A410" t="s">
        <v>677</v>
      </c>
      <c r="B410" t="s">
        <v>678</v>
      </c>
      <c r="C410">
        <v>1641</v>
      </c>
      <c r="D410" t="s">
        <v>92</v>
      </c>
      <c r="E410" s="1">
        <v>45321</v>
      </c>
      <c r="F410" s="6">
        <v>2</v>
      </c>
      <c r="G410" s="1" t="s">
        <v>52</v>
      </c>
      <c r="H410" t="s">
        <v>39</v>
      </c>
      <c r="I410" t="s">
        <v>2072</v>
      </c>
      <c r="J410" t="s">
        <v>1241</v>
      </c>
      <c r="K410">
        <v>2600</v>
      </c>
      <c r="L410">
        <v>600</v>
      </c>
      <c r="M410">
        <f>Customers_Table[[#This Row],[Quantity Ordered]]*Customers_Table[[#This Row],[Sales Price (Per unit)]]</f>
        <v>1200</v>
      </c>
      <c r="N410" t="s">
        <v>2073</v>
      </c>
    </row>
    <row r="411" spans="1:14" x14ac:dyDescent="0.2">
      <c r="A411" t="s">
        <v>679</v>
      </c>
      <c r="B411" t="s">
        <v>680</v>
      </c>
      <c r="C411">
        <v>1642</v>
      </c>
      <c r="D411" t="s">
        <v>42</v>
      </c>
      <c r="E411" s="1">
        <v>45414</v>
      </c>
      <c r="F411" s="6">
        <v>3</v>
      </c>
      <c r="G411" s="1" t="s">
        <v>38</v>
      </c>
      <c r="H411" t="s">
        <v>53</v>
      </c>
      <c r="I411" t="s">
        <v>2074</v>
      </c>
      <c r="J411" t="s">
        <v>1305</v>
      </c>
      <c r="K411">
        <v>4000</v>
      </c>
      <c r="L411">
        <v>300</v>
      </c>
      <c r="M411">
        <f>Customers_Table[[#This Row],[Quantity Ordered]]*Customers_Table[[#This Row],[Sales Price (Per unit)]]</f>
        <v>900</v>
      </c>
      <c r="N411" t="s">
        <v>2075</v>
      </c>
    </row>
    <row r="412" spans="1:14" x14ac:dyDescent="0.2">
      <c r="A412" t="s">
        <v>665</v>
      </c>
      <c r="B412" t="s">
        <v>681</v>
      </c>
      <c r="C412">
        <v>1643</v>
      </c>
      <c r="D412" t="s">
        <v>31</v>
      </c>
      <c r="E412" s="1">
        <v>45511</v>
      </c>
      <c r="F412" s="6">
        <v>1</v>
      </c>
      <c r="G412" s="1" t="s">
        <v>38</v>
      </c>
      <c r="H412" t="s">
        <v>47</v>
      </c>
      <c r="I412" t="s">
        <v>2076</v>
      </c>
      <c r="J412" t="s">
        <v>1256</v>
      </c>
      <c r="K412">
        <v>3220</v>
      </c>
      <c r="L412">
        <v>250</v>
      </c>
      <c r="M412">
        <f>Customers_Table[[#This Row],[Quantity Ordered]]*Customers_Table[[#This Row],[Sales Price (Per unit)]]</f>
        <v>250</v>
      </c>
      <c r="N412" t="s">
        <v>2077</v>
      </c>
    </row>
    <row r="413" spans="1:14" x14ac:dyDescent="0.2">
      <c r="A413" t="s">
        <v>561</v>
      </c>
      <c r="B413" t="s">
        <v>118</v>
      </c>
      <c r="C413">
        <v>1644</v>
      </c>
      <c r="D413" t="s">
        <v>92</v>
      </c>
      <c r="E413" s="1">
        <v>45541</v>
      </c>
      <c r="F413" s="6">
        <v>1</v>
      </c>
      <c r="G413" s="1" t="s">
        <v>52</v>
      </c>
      <c r="H413" t="s">
        <v>43</v>
      </c>
      <c r="I413" t="s">
        <v>2078</v>
      </c>
      <c r="J413" t="s">
        <v>1299</v>
      </c>
      <c r="K413">
        <v>2500</v>
      </c>
      <c r="L413">
        <v>600</v>
      </c>
      <c r="M413">
        <f>Customers_Table[[#This Row],[Quantity Ordered]]*Customers_Table[[#This Row],[Sales Price (Per unit)]]</f>
        <v>600</v>
      </c>
      <c r="N413" t="s">
        <v>2079</v>
      </c>
    </row>
    <row r="414" spans="1:14" x14ac:dyDescent="0.2">
      <c r="A414" t="s">
        <v>682</v>
      </c>
      <c r="B414" t="s">
        <v>683</v>
      </c>
      <c r="C414">
        <v>1645</v>
      </c>
      <c r="D414" t="s">
        <v>76</v>
      </c>
      <c r="E414" s="1">
        <v>45339</v>
      </c>
      <c r="F414" s="6">
        <v>3</v>
      </c>
      <c r="G414" t="s">
        <v>32</v>
      </c>
      <c r="H414" t="s">
        <v>64</v>
      </c>
      <c r="I414" t="s">
        <v>2080</v>
      </c>
      <c r="J414" t="s">
        <v>1265</v>
      </c>
      <c r="K414">
        <v>7000</v>
      </c>
      <c r="L414">
        <v>1200</v>
      </c>
      <c r="M414">
        <f>Customers_Table[[#This Row],[Quantity Ordered]]*Customers_Table[[#This Row],[Sales Price (Per unit)]]</f>
        <v>3600</v>
      </c>
      <c r="N414" t="s">
        <v>2081</v>
      </c>
    </row>
    <row r="415" spans="1:14" x14ac:dyDescent="0.2">
      <c r="A415" t="s">
        <v>84</v>
      </c>
      <c r="B415" t="s">
        <v>684</v>
      </c>
      <c r="C415">
        <v>1646</v>
      </c>
      <c r="D415" t="s">
        <v>92</v>
      </c>
      <c r="E415" s="1">
        <v>45328</v>
      </c>
      <c r="F415" s="6">
        <v>3</v>
      </c>
      <c r="G415" s="1" t="s">
        <v>38</v>
      </c>
      <c r="H415" t="s">
        <v>39</v>
      </c>
      <c r="I415" t="s">
        <v>2082</v>
      </c>
      <c r="J415" t="s">
        <v>1241</v>
      </c>
      <c r="K415">
        <v>2600</v>
      </c>
      <c r="L415">
        <v>600</v>
      </c>
      <c r="M415">
        <f>Customers_Table[[#This Row],[Quantity Ordered]]*Customers_Table[[#This Row],[Sales Price (Per unit)]]</f>
        <v>1800</v>
      </c>
      <c r="N415" t="s">
        <v>2083</v>
      </c>
    </row>
    <row r="416" spans="1:14" x14ac:dyDescent="0.2">
      <c r="A416" t="s">
        <v>685</v>
      </c>
      <c r="B416" t="s">
        <v>225</v>
      </c>
      <c r="C416">
        <v>1647</v>
      </c>
      <c r="D416" t="s">
        <v>31</v>
      </c>
      <c r="E416" s="1">
        <v>45518</v>
      </c>
      <c r="F416" s="6">
        <v>2</v>
      </c>
      <c r="G416" t="s">
        <v>32</v>
      </c>
      <c r="H416" t="s">
        <v>57</v>
      </c>
      <c r="I416" t="s">
        <v>2084</v>
      </c>
      <c r="J416" t="s">
        <v>1350</v>
      </c>
      <c r="K416">
        <v>5600</v>
      </c>
      <c r="L416">
        <v>250</v>
      </c>
      <c r="M416">
        <f>Customers_Table[[#This Row],[Quantity Ordered]]*Customers_Table[[#This Row],[Sales Price (Per unit)]]</f>
        <v>500</v>
      </c>
      <c r="N416" t="s">
        <v>2085</v>
      </c>
    </row>
    <row r="417" spans="1:14" x14ac:dyDescent="0.2">
      <c r="A417" t="s">
        <v>686</v>
      </c>
      <c r="B417" t="s">
        <v>687</v>
      </c>
      <c r="C417">
        <v>1648</v>
      </c>
      <c r="D417" t="s">
        <v>51</v>
      </c>
      <c r="E417" s="1">
        <v>45447</v>
      </c>
      <c r="F417" s="6">
        <v>1</v>
      </c>
      <c r="G417" t="s">
        <v>32</v>
      </c>
      <c r="H417" t="s">
        <v>47</v>
      </c>
      <c r="I417" t="s">
        <v>2086</v>
      </c>
      <c r="J417" t="s">
        <v>1256</v>
      </c>
      <c r="K417">
        <v>3220</v>
      </c>
      <c r="L417">
        <v>250</v>
      </c>
      <c r="M417">
        <f>Customers_Table[[#This Row],[Quantity Ordered]]*Customers_Table[[#This Row],[Sales Price (Per unit)]]</f>
        <v>250</v>
      </c>
      <c r="N417" t="s">
        <v>2087</v>
      </c>
    </row>
    <row r="418" spans="1:14" x14ac:dyDescent="0.2">
      <c r="A418" t="s">
        <v>688</v>
      </c>
      <c r="B418" t="s">
        <v>689</v>
      </c>
      <c r="C418">
        <v>1649</v>
      </c>
      <c r="D418" t="s">
        <v>31</v>
      </c>
      <c r="E418" s="1">
        <v>45521</v>
      </c>
      <c r="F418" s="6">
        <v>1</v>
      </c>
      <c r="G418" s="1" t="s">
        <v>52</v>
      </c>
      <c r="H418" t="s">
        <v>53</v>
      </c>
      <c r="I418" t="s">
        <v>2088</v>
      </c>
      <c r="J418" t="s">
        <v>1250</v>
      </c>
      <c r="K418">
        <v>4217</v>
      </c>
      <c r="L418">
        <v>250</v>
      </c>
      <c r="M418">
        <f>Customers_Table[[#This Row],[Quantity Ordered]]*Customers_Table[[#This Row],[Sales Price (Per unit)]]</f>
        <v>250</v>
      </c>
      <c r="N418" t="s">
        <v>2089</v>
      </c>
    </row>
    <row r="419" spans="1:14" x14ac:dyDescent="0.2">
      <c r="A419" t="s">
        <v>690</v>
      </c>
      <c r="B419" t="s">
        <v>691</v>
      </c>
      <c r="C419">
        <v>1650</v>
      </c>
      <c r="D419" t="s">
        <v>37</v>
      </c>
      <c r="E419" s="1">
        <v>45657</v>
      </c>
      <c r="F419" s="6">
        <v>2</v>
      </c>
      <c r="G419" s="1" t="s">
        <v>52</v>
      </c>
      <c r="H419" t="s">
        <v>57</v>
      </c>
      <c r="I419" t="s">
        <v>2090</v>
      </c>
      <c r="J419" t="s">
        <v>1095</v>
      </c>
      <c r="K419">
        <v>5000</v>
      </c>
      <c r="L419">
        <v>800</v>
      </c>
      <c r="M419">
        <f>Customers_Table[[#This Row],[Quantity Ordered]]*Customers_Table[[#This Row],[Sales Price (Per unit)]]</f>
        <v>1600</v>
      </c>
      <c r="N419" t="s">
        <v>2091</v>
      </c>
    </row>
    <row r="420" spans="1:14" x14ac:dyDescent="0.2">
      <c r="A420" t="s">
        <v>692</v>
      </c>
      <c r="B420" t="s">
        <v>693</v>
      </c>
      <c r="C420">
        <v>1651</v>
      </c>
      <c r="D420" t="s">
        <v>51</v>
      </c>
      <c r="E420" s="1">
        <v>45456</v>
      </c>
      <c r="F420" s="6">
        <v>2</v>
      </c>
      <c r="G420" t="s">
        <v>71</v>
      </c>
      <c r="H420" t="s">
        <v>64</v>
      </c>
      <c r="I420" t="s">
        <v>2092</v>
      </c>
      <c r="J420" t="s">
        <v>1400</v>
      </c>
      <c r="K420">
        <v>7310</v>
      </c>
      <c r="L420">
        <v>250</v>
      </c>
      <c r="M420">
        <f>Customers_Table[[#This Row],[Quantity Ordered]]*Customers_Table[[#This Row],[Sales Price (Per unit)]]</f>
        <v>500</v>
      </c>
      <c r="N420" t="s">
        <v>2093</v>
      </c>
    </row>
    <row r="421" spans="1:14" x14ac:dyDescent="0.2">
      <c r="A421" t="s">
        <v>154</v>
      </c>
      <c r="B421" t="s">
        <v>610</v>
      </c>
      <c r="C421">
        <v>1652</v>
      </c>
      <c r="D421" t="s">
        <v>76</v>
      </c>
      <c r="E421" s="1">
        <v>45528</v>
      </c>
      <c r="F421" s="6">
        <v>2</v>
      </c>
      <c r="G421" t="s">
        <v>32</v>
      </c>
      <c r="H421" t="s">
        <v>43</v>
      </c>
      <c r="I421" t="s">
        <v>2094</v>
      </c>
      <c r="J421" t="s">
        <v>865</v>
      </c>
      <c r="K421">
        <v>2000</v>
      </c>
      <c r="L421">
        <v>1200</v>
      </c>
      <c r="M421">
        <f>Customers_Table[[#This Row],[Quantity Ordered]]*Customers_Table[[#This Row],[Sales Price (Per unit)]]</f>
        <v>2400</v>
      </c>
      <c r="N421" t="s">
        <v>2095</v>
      </c>
    </row>
    <row r="422" spans="1:14" x14ac:dyDescent="0.2">
      <c r="A422" t="s">
        <v>306</v>
      </c>
      <c r="B422" t="s">
        <v>56</v>
      </c>
      <c r="C422">
        <v>1653</v>
      </c>
      <c r="D422" t="s">
        <v>37</v>
      </c>
      <c r="E422" s="1">
        <v>45591</v>
      </c>
      <c r="F422" s="6">
        <v>3</v>
      </c>
      <c r="G422" s="1" t="s">
        <v>38</v>
      </c>
      <c r="H422" t="s">
        <v>33</v>
      </c>
      <c r="I422" t="s">
        <v>2096</v>
      </c>
      <c r="J422" t="s">
        <v>1238</v>
      </c>
      <c r="K422">
        <v>6725</v>
      </c>
      <c r="L422">
        <v>800</v>
      </c>
      <c r="M422">
        <f>Customers_Table[[#This Row],[Quantity Ordered]]*Customers_Table[[#This Row],[Sales Price (Per unit)]]</f>
        <v>2400</v>
      </c>
      <c r="N422" t="s">
        <v>2097</v>
      </c>
    </row>
    <row r="423" spans="1:14" x14ac:dyDescent="0.2">
      <c r="A423" t="s">
        <v>694</v>
      </c>
      <c r="B423" t="s">
        <v>695</v>
      </c>
      <c r="C423">
        <v>1654</v>
      </c>
      <c r="D423" t="s">
        <v>76</v>
      </c>
      <c r="E423" s="1">
        <v>45422</v>
      </c>
      <c r="F423" s="6">
        <v>1</v>
      </c>
      <c r="G423" t="s">
        <v>32</v>
      </c>
      <c r="H423" t="s">
        <v>33</v>
      </c>
      <c r="I423" t="s">
        <v>2098</v>
      </c>
      <c r="J423" t="s">
        <v>1238</v>
      </c>
      <c r="K423">
        <v>6725</v>
      </c>
      <c r="L423">
        <v>1200</v>
      </c>
      <c r="M423">
        <f>Customers_Table[[#This Row],[Quantity Ordered]]*Customers_Table[[#This Row],[Sales Price (Per unit)]]</f>
        <v>1200</v>
      </c>
      <c r="N423" t="s">
        <v>2099</v>
      </c>
    </row>
    <row r="424" spans="1:14" x14ac:dyDescent="0.2">
      <c r="A424" t="s">
        <v>696</v>
      </c>
      <c r="B424" t="s">
        <v>376</v>
      </c>
      <c r="C424">
        <v>1655</v>
      </c>
      <c r="D424" t="s">
        <v>37</v>
      </c>
      <c r="E424" s="1">
        <v>45609</v>
      </c>
      <c r="F424" s="6">
        <v>3</v>
      </c>
      <c r="G424" t="s">
        <v>32</v>
      </c>
      <c r="H424" t="s">
        <v>81</v>
      </c>
      <c r="I424" t="s">
        <v>2100</v>
      </c>
      <c r="J424" t="s">
        <v>1361</v>
      </c>
      <c r="K424">
        <v>870</v>
      </c>
      <c r="L424">
        <v>800</v>
      </c>
      <c r="M424">
        <f>Customers_Table[[#This Row],[Quantity Ordered]]*Customers_Table[[#This Row],[Sales Price (Per unit)]]</f>
        <v>2400</v>
      </c>
      <c r="N424" t="s">
        <v>2101</v>
      </c>
    </row>
    <row r="425" spans="1:14" x14ac:dyDescent="0.2">
      <c r="A425" t="s">
        <v>454</v>
      </c>
      <c r="B425" t="s">
        <v>307</v>
      </c>
      <c r="C425">
        <v>1656</v>
      </c>
      <c r="D425" t="s">
        <v>51</v>
      </c>
      <c r="E425" s="1">
        <v>45379</v>
      </c>
      <c r="F425" s="6">
        <v>3</v>
      </c>
      <c r="G425" s="1" t="s">
        <v>52</v>
      </c>
      <c r="H425" t="s">
        <v>53</v>
      </c>
      <c r="I425" t="s">
        <v>2102</v>
      </c>
      <c r="J425" t="s">
        <v>1268</v>
      </c>
      <c r="K425">
        <v>4870</v>
      </c>
      <c r="L425">
        <v>250</v>
      </c>
      <c r="M425">
        <f>Customers_Table[[#This Row],[Quantity Ordered]]*Customers_Table[[#This Row],[Sales Price (Per unit)]]</f>
        <v>750</v>
      </c>
      <c r="N425" t="s">
        <v>2103</v>
      </c>
    </row>
    <row r="426" spans="1:14" x14ac:dyDescent="0.2">
      <c r="A426" t="s">
        <v>697</v>
      </c>
      <c r="B426" t="s">
        <v>698</v>
      </c>
      <c r="C426">
        <v>1657</v>
      </c>
      <c r="D426" t="s">
        <v>42</v>
      </c>
      <c r="E426" s="1">
        <v>45335</v>
      </c>
      <c r="F426" s="6">
        <v>2</v>
      </c>
      <c r="G426" t="s">
        <v>32</v>
      </c>
      <c r="H426" t="s">
        <v>33</v>
      </c>
      <c r="I426" t="s">
        <v>2104</v>
      </c>
      <c r="J426" t="s">
        <v>1302</v>
      </c>
      <c r="K426">
        <v>6000</v>
      </c>
      <c r="L426">
        <v>300</v>
      </c>
      <c r="M426">
        <f>Customers_Table[[#This Row],[Quantity Ordered]]*Customers_Table[[#This Row],[Sales Price (Per unit)]]</f>
        <v>600</v>
      </c>
      <c r="N426" t="s">
        <v>2105</v>
      </c>
    </row>
    <row r="427" spans="1:14" x14ac:dyDescent="0.2">
      <c r="A427" t="s">
        <v>125</v>
      </c>
      <c r="B427" t="s">
        <v>59</v>
      </c>
      <c r="C427">
        <v>1658</v>
      </c>
      <c r="D427" t="s">
        <v>37</v>
      </c>
      <c r="E427" s="1">
        <v>45550</v>
      </c>
      <c r="F427" s="6">
        <v>1</v>
      </c>
      <c r="G427" t="s">
        <v>71</v>
      </c>
      <c r="H427" t="s">
        <v>64</v>
      </c>
      <c r="I427" t="s">
        <v>2106</v>
      </c>
      <c r="J427" t="s">
        <v>1262</v>
      </c>
      <c r="K427">
        <v>7250</v>
      </c>
      <c r="L427">
        <v>800</v>
      </c>
      <c r="M427">
        <f>Customers_Table[[#This Row],[Quantity Ordered]]*Customers_Table[[#This Row],[Sales Price (Per unit)]]</f>
        <v>800</v>
      </c>
      <c r="N427" t="s">
        <v>2107</v>
      </c>
    </row>
    <row r="428" spans="1:14" x14ac:dyDescent="0.2">
      <c r="A428" t="s">
        <v>699</v>
      </c>
      <c r="B428" t="s">
        <v>700</v>
      </c>
      <c r="C428">
        <v>1659</v>
      </c>
      <c r="D428" t="s">
        <v>31</v>
      </c>
      <c r="E428" s="1">
        <v>45457</v>
      </c>
      <c r="F428" s="6">
        <v>3</v>
      </c>
      <c r="G428" s="1" t="s">
        <v>52</v>
      </c>
      <c r="H428" t="s">
        <v>81</v>
      </c>
      <c r="I428" t="s">
        <v>2108</v>
      </c>
      <c r="J428" t="s">
        <v>1361</v>
      </c>
      <c r="K428">
        <v>870</v>
      </c>
      <c r="L428">
        <v>250</v>
      </c>
      <c r="M428">
        <f>Customers_Table[[#This Row],[Quantity Ordered]]*Customers_Table[[#This Row],[Sales Price (Per unit)]]</f>
        <v>750</v>
      </c>
      <c r="N428" t="s">
        <v>2109</v>
      </c>
    </row>
    <row r="429" spans="1:14" x14ac:dyDescent="0.2">
      <c r="A429" t="s">
        <v>701</v>
      </c>
      <c r="B429" t="s">
        <v>702</v>
      </c>
      <c r="C429">
        <v>1660</v>
      </c>
      <c r="D429" t="s">
        <v>42</v>
      </c>
      <c r="E429" s="1">
        <v>45627</v>
      </c>
      <c r="F429" s="6">
        <v>2</v>
      </c>
      <c r="G429" s="1" t="s">
        <v>52</v>
      </c>
      <c r="H429" t="s">
        <v>64</v>
      </c>
      <c r="I429" t="s">
        <v>2110</v>
      </c>
      <c r="J429" t="s">
        <v>1265</v>
      </c>
      <c r="K429">
        <v>7000</v>
      </c>
      <c r="L429">
        <v>300</v>
      </c>
      <c r="M429">
        <f>Customers_Table[[#This Row],[Quantity Ordered]]*Customers_Table[[#This Row],[Sales Price (Per unit)]]</f>
        <v>600</v>
      </c>
      <c r="N429" t="s">
        <v>2111</v>
      </c>
    </row>
    <row r="430" spans="1:14" x14ac:dyDescent="0.2">
      <c r="A430" t="s">
        <v>448</v>
      </c>
      <c r="B430" t="s">
        <v>703</v>
      </c>
      <c r="C430">
        <v>1661</v>
      </c>
      <c r="D430" t="s">
        <v>51</v>
      </c>
      <c r="E430" s="1">
        <v>45657</v>
      </c>
      <c r="F430" s="6">
        <v>1</v>
      </c>
      <c r="G430" s="1" t="s">
        <v>38</v>
      </c>
      <c r="H430" t="s">
        <v>43</v>
      </c>
      <c r="I430" t="s">
        <v>2112</v>
      </c>
      <c r="J430" t="s">
        <v>1244</v>
      </c>
      <c r="K430">
        <v>2300</v>
      </c>
      <c r="L430">
        <v>250</v>
      </c>
      <c r="M430">
        <f>Customers_Table[[#This Row],[Quantity Ordered]]*Customers_Table[[#This Row],[Sales Price (Per unit)]]</f>
        <v>250</v>
      </c>
      <c r="N430" t="s">
        <v>2113</v>
      </c>
    </row>
    <row r="431" spans="1:14" x14ac:dyDescent="0.2">
      <c r="A431" t="s">
        <v>219</v>
      </c>
      <c r="B431" t="s">
        <v>531</v>
      </c>
      <c r="C431">
        <v>1662</v>
      </c>
      <c r="D431" t="s">
        <v>92</v>
      </c>
      <c r="E431" s="1">
        <v>45441</v>
      </c>
      <c r="F431" s="6">
        <v>2</v>
      </c>
      <c r="G431" t="s">
        <v>32</v>
      </c>
      <c r="H431" t="s">
        <v>39</v>
      </c>
      <c r="I431" t="s">
        <v>2114</v>
      </c>
      <c r="J431" t="s">
        <v>1241</v>
      </c>
      <c r="K431">
        <v>2600</v>
      </c>
      <c r="L431">
        <v>600</v>
      </c>
      <c r="M431">
        <f>Customers_Table[[#This Row],[Quantity Ordered]]*Customers_Table[[#This Row],[Sales Price (Per unit)]]</f>
        <v>1200</v>
      </c>
      <c r="N431" t="s">
        <v>2115</v>
      </c>
    </row>
    <row r="432" spans="1:14" x14ac:dyDescent="0.2">
      <c r="A432" t="s">
        <v>704</v>
      </c>
      <c r="B432" t="s">
        <v>691</v>
      </c>
      <c r="C432">
        <v>1663</v>
      </c>
      <c r="D432" t="s">
        <v>51</v>
      </c>
      <c r="E432" s="1">
        <v>45362</v>
      </c>
      <c r="F432" s="6">
        <v>2</v>
      </c>
      <c r="G432" s="1" t="s">
        <v>38</v>
      </c>
      <c r="H432" t="s">
        <v>53</v>
      </c>
      <c r="I432" t="s">
        <v>2116</v>
      </c>
      <c r="J432" t="s">
        <v>1268</v>
      </c>
      <c r="K432">
        <v>4870</v>
      </c>
      <c r="L432">
        <v>250</v>
      </c>
      <c r="M432">
        <f>Customers_Table[[#This Row],[Quantity Ordered]]*Customers_Table[[#This Row],[Sales Price (Per unit)]]</f>
        <v>500</v>
      </c>
      <c r="N432" t="s">
        <v>2117</v>
      </c>
    </row>
    <row r="433" spans="1:14" x14ac:dyDescent="0.2">
      <c r="A433" t="s">
        <v>528</v>
      </c>
      <c r="B433" t="s">
        <v>705</v>
      </c>
      <c r="C433">
        <v>1664</v>
      </c>
      <c r="D433" t="s">
        <v>42</v>
      </c>
      <c r="E433" s="1">
        <v>45626</v>
      </c>
      <c r="F433" s="6">
        <v>1</v>
      </c>
      <c r="G433" t="s">
        <v>32</v>
      </c>
      <c r="H433" t="s">
        <v>33</v>
      </c>
      <c r="I433" t="s">
        <v>2118</v>
      </c>
      <c r="J433" t="s">
        <v>1259</v>
      </c>
      <c r="K433">
        <v>6160</v>
      </c>
      <c r="L433">
        <v>300</v>
      </c>
      <c r="M433">
        <f>Customers_Table[[#This Row],[Quantity Ordered]]*Customers_Table[[#This Row],[Sales Price (Per unit)]]</f>
        <v>300</v>
      </c>
      <c r="N433" t="s">
        <v>2119</v>
      </c>
    </row>
    <row r="434" spans="1:14" x14ac:dyDescent="0.2">
      <c r="A434" t="s">
        <v>706</v>
      </c>
      <c r="B434" t="s">
        <v>707</v>
      </c>
      <c r="C434">
        <v>1665</v>
      </c>
      <c r="D434" t="s">
        <v>42</v>
      </c>
      <c r="E434" s="1">
        <v>45351</v>
      </c>
      <c r="F434" s="6">
        <v>2</v>
      </c>
      <c r="G434" t="s">
        <v>32</v>
      </c>
      <c r="H434" t="s">
        <v>53</v>
      </c>
      <c r="I434" t="s">
        <v>2120</v>
      </c>
      <c r="J434" t="s">
        <v>1305</v>
      </c>
      <c r="K434">
        <v>4000</v>
      </c>
      <c r="L434">
        <v>300</v>
      </c>
      <c r="M434">
        <f>Customers_Table[[#This Row],[Quantity Ordered]]*Customers_Table[[#This Row],[Sales Price (Per unit)]]</f>
        <v>600</v>
      </c>
      <c r="N434" t="s">
        <v>2121</v>
      </c>
    </row>
    <row r="435" spans="1:14" x14ac:dyDescent="0.2">
      <c r="A435" t="s">
        <v>708</v>
      </c>
      <c r="B435" t="s">
        <v>709</v>
      </c>
      <c r="C435">
        <v>1666</v>
      </c>
      <c r="D435" t="s">
        <v>37</v>
      </c>
      <c r="E435" s="1">
        <v>45391</v>
      </c>
      <c r="F435" s="6">
        <v>2</v>
      </c>
      <c r="G435" t="s">
        <v>32</v>
      </c>
      <c r="H435" t="s">
        <v>81</v>
      </c>
      <c r="I435" t="s">
        <v>2122</v>
      </c>
      <c r="J435" t="s">
        <v>1361</v>
      </c>
      <c r="K435">
        <v>870</v>
      </c>
      <c r="L435">
        <v>800</v>
      </c>
      <c r="M435">
        <f>Customers_Table[[#This Row],[Quantity Ordered]]*Customers_Table[[#This Row],[Sales Price (Per unit)]]</f>
        <v>1600</v>
      </c>
      <c r="N435" t="s">
        <v>2123</v>
      </c>
    </row>
    <row r="436" spans="1:14" x14ac:dyDescent="0.2">
      <c r="A436" t="s">
        <v>710</v>
      </c>
      <c r="B436" t="s">
        <v>711</v>
      </c>
      <c r="C436">
        <v>1667</v>
      </c>
      <c r="D436" t="s">
        <v>37</v>
      </c>
      <c r="E436" s="1">
        <v>45581</v>
      </c>
      <c r="F436" s="6">
        <v>3</v>
      </c>
      <c r="G436" t="s">
        <v>32</v>
      </c>
      <c r="H436" t="s">
        <v>43</v>
      </c>
      <c r="I436" t="s">
        <v>2124</v>
      </c>
      <c r="J436" t="s">
        <v>1244</v>
      </c>
      <c r="K436">
        <v>2300</v>
      </c>
      <c r="L436">
        <v>800</v>
      </c>
      <c r="M436">
        <f>Customers_Table[[#This Row],[Quantity Ordered]]*Customers_Table[[#This Row],[Sales Price (Per unit)]]</f>
        <v>2400</v>
      </c>
      <c r="N436" t="s">
        <v>2125</v>
      </c>
    </row>
    <row r="437" spans="1:14" x14ac:dyDescent="0.2">
      <c r="A437" t="s">
        <v>712</v>
      </c>
      <c r="B437" t="s">
        <v>492</v>
      </c>
      <c r="C437">
        <v>1668</v>
      </c>
      <c r="D437" t="s">
        <v>51</v>
      </c>
      <c r="E437" s="1">
        <v>45550</v>
      </c>
      <c r="F437" s="6">
        <v>1</v>
      </c>
      <c r="G437" s="1" t="s">
        <v>52</v>
      </c>
      <c r="H437" t="s">
        <v>33</v>
      </c>
      <c r="I437" t="s">
        <v>2126</v>
      </c>
      <c r="J437" t="s">
        <v>1238</v>
      </c>
      <c r="K437">
        <v>6725</v>
      </c>
      <c r="L437">
        <v>250</v>
      </c>
      <c r="M437">
        <f>Customers_Table[[#This Row],[Quantity Ordered]]*Customers_Table[[#This Row],[Sales Price (Per unit)]]</f>
        <v>250</v>
      </c>
      <c r="N437" t="s">
        <v>2127</v>
      </c>
    </row>
    <row r="438" spans="1:14" x14ac:dyDescent="0.2">
      <c r="A438" t="s">
        <v>311</v>
      </c>
      <c r="B438" t="s">
        <v>185</v>
      </c>
      <c r="C438">
        <v>1669</v>
      </c>
      <c r="D438" t="s">
        <v>51</v>
      </c>
      <c r="E438" s="1">
        <v>45379</v>
      </c>
      <c r="F438" s="6">
        <v>1</v>
      </c>
      <c r="G438" s="1" t="s">
        <v>52</v>
      </c>
      <c r="H438" t="s">
        <v>53</v>
      </c>
      <c r="I438" t="s">
        <v>2128</v>
      </c>
      <c r="J438" t="s">
        <v>1305</v>
      </c>
      <c r="K438">
        <v>4000</v>
      </c>
      <c r="L438">
        <v>250</v>
      </c>
      <c r="M438">
        <f>Customers_Table[[#This Row],[Quantity Ordered]]*Customers_Table[[#This Row],[Sales Price (Per unit)]]</f>
        <v>250</v>
      </c>
      <c r="N438" t="s">
        <v>2129</v>
      </c>
    </row>
    <row r="439" spans="1:14" x14ac:dyDescent="0.2">
      <c r="A439" t="s">
        <v>713</v>
      </c>
      <c r="B439" t="s">
        <v>394</v>
      </c>
      <c r="C439">
        <v>1670</v>
      </c>
      <c r="D439" t="s">
        <v>51</v>
      </c>
      <c r="E439" s="1">
        <v>45636</v>
      </c>
      <c r="F439" s="6">
        <v>2</v>
      </c>
      <c r="G439" s="1" t="s">
        <v>38</v>
      </c>
      <c r="H439" t="s">
        <v>33</v>
      </c>
      <c r="I439" t="s">
        <v>2130</v>
      </c>
      <c r="J439" t="s">
        <v>1238</v>
      </c>
      <c r="K439">
        <v>6725</v>
      </c>
      <c r="L439">
        <v>250</v>
      </c>
      <c r="M439">
        <f>Customers_Table[[#This Row],[Quantity Ordered]]*Customers_Table[[#This Row],[Sales Price (Per unit)]]</f>
        <v>500</v>
      </c>
      <c r="N439" t="s">
        <v>2131</v>
      </c>
    </row>
    <row r="440" spans="1:14" x14ac:dyDescent="0.2">
      <c r="A440" t="s">
        <v>714</v>
      </c>
      <c r="B440" t="s">
        <v>715</v>
      </c>
      <c r="C440">
        <v>1671</v>
      </c>
      <c r="D440" t="s">
        <v>31</v>
      </c>
      <c r="E440" s="1">
        <v>45296</v>
      </c>
      <c r="F440" s="6">
        <v>1</v>
      </c>
      <c r="G440" s="1" t="s">
        <v>52</v>
      </c>
      <c r="H440" t="s">
        <v>53</v>
      </c>
      <c r="I440" t="s">
        <v>2132</v>
      </c>
      <c r="J440" t="s">
        <v>1305</v>
      </c>
      <c r="K440">
        <v>4000</v>
      </c>
      <c r="L440">
        <v>250</v>
      </c>
      <c r="M440">
        <f>Customers_Table[[#This Row],[Quantity Ordered]]*Customers_Table[[#This Row],[Sales Price (Per unit)]]</f>
        <v>250</v>
      </c>
      <c r="N440" t="s">
        <v>2133</v>
      </c>
    </row>
    <row r="441" spans="1:14" x14ac:dyDescent="0.2">
      <c r="A441" t="s">
        <v>112</v>
      </c>
      <c r="B441" t="s">
        <v>716</v>
      </c>
      <c r="C441">
        <v>1672</v>
      </c>
      <c r="D441" t="s">
        <v>42</v>
      </c>
      <c r="E441" s="1">
        <v>45561</v>
      </c>
      <c r="F441" s="6">
        <v>3</v>
      </c>
      <c r="G441" s="1" t="s">
        <v>52</v>
      </c>
      <c r="H441" t="s">
        <v>39</v>
      </c>
      <c r="I441" t="s">
        <v>2134</v>
      </c>
      <c r="J441" t="s">
        <v>1241</v>
      </c>
      <c r="K441">
        <v>2600</v>
      </c>
      <c r="L441">
        <v>300</v>
      </c>
      <c r="M441">
        <f>Customers_Table[[#This Row],[Quantity Ordered]]*Customers_Table[[#This Row],[Sales Price (Per unit)]]</f>
        <v>900</v>
      </c>
      <c r="N441" t="s">
        <v>2135</v>
      </c>
    </row>
    <row r="442" spans="1:14" x14ac:dyDescent="0.2">
      <c r="A442" t="s">
        <v>717</v>
      </c>
      <c r="B442" t="s">
        <v>646</v>
      </c>
      <c r="C442">
        <v>1673</v>
      </c>
      <c r="D442" t="s">
        <v>76</v>
      </c>
      <c r="E442" s="1">
        <v>45525</v>
      </c>
      <c r="F442" s="6">
        <v>3</v>
      </c>
      <c r="G442" t="s">
        <v>32</v>
      </c>
      <c r="H442" t="s">
        <v>53</v>
      </c>
      <c r="I442" t="s">
        <v>2136</v>
      </c>
      <c r="J442" t="s">
        <v>1268</v>
      </c>
      <c r="K442">
        <v>4870</v>
      </c>
      <c r="L442">
        <v>1200</v>
      </c>
      <c r="M442">
        <f>Customers_Table[[#This Row],[Quantity Ordered]]*Customers_Table[[#This Row],[Sales Price (Per unit)]]</f>
        <v>3600</v>
      </c>
      <c r="N442" t="s">
        <v>2137</v>
      </c>
    </row>
    <row r="443" spans="1:14" x14ac:dyDescent="0.2">
      <c r="A443" t="s">
        <v>718</v>
      </c>
      <c r="B443" t="s">
        <v>719</v>
      </c>
      <c r="C443">
        <v>1674</v>
      </c>
      <c r="D443" t="s">
        <v>31</v>
      </c>
      <c r="E443" s="1">
        <v>45468</v>
      </c>
      <c r="F443" s="6">
        <v>1</v>
      </c>
      <c r="G443" s="1" t="s">
        <v>52</v>
      </c>
      <c r="H443" t="s">
        <v>47</v>
      </c>
      <c r="I443" t="s">
        <v>2138</v>
      </c>
      <c r="J443" t="s">
        <v>1247</v>
      </c>
      <c r="K443">
        <v>3350</v>
      </c>
      <c r="L443">
        <v>250</v>
      </c>
      <c r="M443">
        <f>Customers_Table[[#This Row],[Quantity Ordered]]*Customers_Table[[#This Row],[Sales Price (Per unit)]]</f>
        <v>250</v>
      </c>
      <c r="N443" t="s">
        <v>2139</v>
      </c>
    </row>
    <row r="444" spans="1:14" x14ac:dyDescent="0.2">
      <c r="A444" t="s">
        <v>720</v>
      </c>
      <c r="B444" t="s">
        <v>721</v>
      </c>
      <c r="C444">
        <v>1675</v>
      </c>
      <c r="D444" t="s">
        <v>76</v>
      </c>
      <c r="E444" s="1">
        <v>45611</v>
      </c>
      <c r="F444" s="6">
        <v>2</v>
      </c>
      <c r="G444" t="s">
        <v>32</v>
      </c>
      <c r="H444" t="s">
        <v>47</v>
      </c>
      <c r="I444" t="s">
        <v>2140</v>
      </c>
      <c r="J444" t="s">
        <v>1247</v>
      </c>
      <c r="K444">
        <v>3350</v>
      </c>
      <c r="L444">
        <v>1200</v>
      </c>
      <c r="M444">
        <f>Customers_Table[[#This Row],[Quantity Ordered]]*Customers_Table[[#This Row],[Sales Price (Per unit)]]</f>
        <v>2400</v>
      </c>
      <c r="N444" t="s">
        <v>2141</v>
      </c>
    </row>
    <row r="445" spans="1:14" x14ac:dyDescent="0.2">
      <c r="A445" t="s">
        <v>722</v>
      </c>
      <c r="B445" t="s">
        <v>723</v>
      </c>
      <c r="C445">
        <v>1676</v>
      </c>
      <c r="D445" t="s">
        <v>37</v>
      </c>
      <c r="E445" s="1">
        <v>45469</v>
      </c>
      <c r="F445" s="6">
        <v>2</v>
      </c>
      <c r="G445" s="1" t="s">
        <v>52</v>
      </c>
      <c r="H445" t="s">
        <v>47</v>
      </c>
      <c r="I445" t="s">
        <v>2142</v>
      </c>
      <c r="J445" t="s">
        <v>1247</v>
      </c>
      <c r="K445">
        <v>3350</v>
      </c>
      <c r="L445">
        <v>800</v>
      </c>
      <c r="M445">
        <f>Customers_Table[[#This Row],[Quantity Ordered]]*Customers_Table[[#This Row],[Sales Price (Per unit)]]</f>
        <v>1600</v>
      </c>
      <c r="N445" t="s">
        <v>2143</v>
      </c>
    </row>
    <row r="446" spans="1:14" x14ac:dyDescent="0.2">
      <c r="A446" t="s">
        <v>724</v>
      </c>
      <c r="B446" t="s">
        <v>559</v>
      </c>
      <c r="C446">
        <v>1677</v>
      </c>
      <c r="D446" t="s">
        <v>76</v>
      </c>
      <c r="E446" s="1">
        <v>45488</v>
      </c>
      <c r="F446" s="6">
        <v>1</v>
      </c>
      <c r="G446" s="1" t="s">
        <v>52</v>
      </c>
      <c r="H446" t="s">
        <v>43</v>
      </c>
      <c r="I446" t="s">
        <v>2144</v>
      </c>
      <c r="J446" t="s">
        <v>1244</v>
      </c>
      <c r="K446">
        <v>2300</v>
      </c>
      <c r="L446">
        <v>1200</v>
      </c>
      <c r="M446">
        <f>Customers_Table[[#This Row],[Quantity Ordered]]*Customers_Table[[#This Row],[Sales Price (Per unit)]]</f>
        <v>1200</v>
      </c>
      <c r="N446" t="s">
        <v>2145</v>
      </c>
    </row>
    <row r="447" spans="1:14" x14ac:dyDescent="0.2">
      <c r="A447" t="s">
        <v>487</v>
      </c>
      <c r="B447" t="s">
        <v>725</v>
      </c>
      <c r="C447">
        <v>1678</v>
      </c>
      <c r="D447" t="s">
        <v>31</v>
      </c>
      <c r="E447" s="1">
        <v>45558</v>
      </c>
      <c r="F447" s="6">
        <v>1</v>
      </c>
      <c r="G447" s="1" t="s">
        <v>52</v>
      </c>
      <c r="H447" t="s">
        <v>57</v>
      </c>
      <c r="I447" t="s">
        <v>2146</v>
      </c>
      <c r="J447" t="s">
        <v>1095</v>
      </c>
      <c r="K447">
        <v>5000</v>
      </c>
      <c r="L447">
        <v>250</v>
      </c>
      <c r="M447">
        <f>Customers_Table[[#This Row],[Quantity Ordered]]*Customers_Table[[#This Row],[Sales Price (Per unit)]]</f>
        <v>250</v>
      </c>
      <c r="N447" t="s">
        <v>2147</v>
      </c>
    </row>
    <row r="448" spans="1:14" x14ac:dyDescent="0.2">
      <c r="A448" t="s">
        <v>726</v>
      </c>
      <c r="B448" t="s">
        <v>206</v>
      </c>
      <c r="C448">
        <v>1679</v>
      </c>
      <c r="D448" t="s">
        <v>92</v>
      </c>
      <c r="E448" s="1">
        <v>45530</v>
      </c>
      <c r="F448" s="6">
        <v>1</v>
      </c>
      <c r="G448" t="s">
        <v>32</v>
      </c>
      <c r="H448" t="s">
        <v>81</v>
      </c>
      <c r="I448" t="s">
        <v>2148</v>
      </c>
      <c r="J448" t="s">
        <v>1361</v>
      </c>
      <c r="K448">
        <v>870</v>
      </c>
      <c r="L448">
        <v>600</v>
      </c>
      <c r="M448">
        <f>Customers_Table[[#This Row],[Quantity Ordered]]*Customers_Table[[#This Row],[Sales Price (Per unit)]]</f>
        <v>600</v>
      </c>
      <c r="N448" t="s">
        <v>2149</v>
      </c>
    </row>
    <row r="449" spans="1:14" x14ac:dyDescent="0.2">
      <c r="A449" t="s">
        <v>180</v>
      </c>
      <c r="B449" t="s">
        <v>727</v>
      </c>
      <c r="C449">
        <v>1680</v>
      </c>
      <c r="D449" t="s">
        <v>31</v>
      </c>
      <c r="E449" s="1">
        <v>45330</v>
      </c>
      <c r="F449" s="6">
        <v>3</v>
      </c>
      <c r="G449" s="1" t="s">
        <v>38</v>
      </c>
      <c r="H449" t="s">
        <v>43</v>
      </c>
      <c r="I449" t="s">
        <v>2150</v>
      </c>
      <c r="J449" t="s">
        <v>1244</v>
      </c>
      <c r="K449">
        <v>2300</v>
      </c>
      <c r="L449">
        <v>250</v>
      </c>
      <c r="M449">
        <f>Customers_Table[[#This Row],[Quantity Ordered]]*Customers_Table[[#This Row],[Sales Price (Per unit)]]</f>
        <v>750</v>
      </c>
      <c r="N449" t="s">
        <v>2151</v>
      </c>
    </row>
    <row r="450" spans="1:14" x14ac:dyDescent="0.2">
      <c r="A450" t="s">
        <v>728</v>
      </c>
      <c r="B450" t="s">
        <v>729</v>
      </c>
      <c r="C450">
        <v>1681</v>
      </c>
      <c r="D450" t="s">
        <v>42</v>
      </c>
      <c r="E450" s="1">
        <v>45468</v>
      </c>
      <c r="F450" s="6">
        <v>2</v>
      </c>
      <c r="G450" t="s">
        <v>71</v>
      </c>
      <c r="H450" t="s">
        <v>53</v>
      </c>
      <c r="I450" t="s">
        <v>2152</v>
      </c>
      <c r="J450" t="s">
        <v>1305</v>
      </c>
      <c r="K450">
        <v>4000</v>
      </c>
      <c r="L450">
        <v>300</v>
      </c>
      <c r="M450">
        <f>Customers_Table[[#This Row],[Quantity Ordered]]*Customers_Table[[#This Row],[Sales Price (Per unit)]]</f>
        <v>600</v>
      </c>
      <c r="N450" t="s">
        <v>2153</v>
      </c>
    </row>
    <row r="451" spans="1:14" x14ac:dyDescent="0.2">
      <c r="A451" t="s">
        <v>128</v>
      </c>
      <c r="B451" t="s">
        <v>730</v>
      </c>
      <c r="C451">
        <v>1682</v>
      </c>
      <c r="D451" t="s">
        <v>37</v>
      </c>
      <c r="E451" s="1">
        <v>45458</v>
      </c>
      <c r="F451" s="6">
        <v>2</v>
      </c>
      <c r="G451" t="s">
        <v>71</v>
      </c>
      <c r="H451" t="s">
        <v>64</v>
      </c>
      <c r="I451" t="s">
        <v>2154</v>
      </c>
      <c r="J451" t="s">
        <v>1400</v>
      </c>
      <c r="K451">
        <v>7310</v>
      </c>
      <c r="L451">
        <v>800</v>
      </c>
      <c r="M451">
        <f>Customers_Table[[#This Row],[Quantity Ordered]]*Customers_Table[[#This Row],[Sales Price (Per unit)]]</f>
        <v>1600</v>
      </c>
      <c r="N451" t="s">
        <v>2155</v>
      </c>
    </row>
    <row r="452" spans="1:14" x14ac:dyDescent="0.2">
      <c r="A452" t="s">
        <v>731</v>
      </c>
      <c r="B452" t="s">
        <v>732</v>
      </c>
      <c r="C452">
        <v>1683</v>
      </c>
      <c r="D452" t="s">
        <v>51</v>
      </c>
      <c r="E452" s="1">
        <v>45334</v>
      </c>
      <c r="F452" s="6">
        <v>3</v>
      </c>
      <c r="G452" t="s">
        <v>32</v>
      </c>
      <c r="H452" t="s">
        <v>53</v>
      </c>
      <c r="I452" t="s">
        <v>2156</v>
      </c>
      <c r="J452" t="s">
        <v>1250</v>
      </c>
      <c r="K452">
        <v>4217</v>
      </c>
      <c r="L452">
        <v>250</v>
      </c>
      <c r="M452">
        <f>Customers_Table[[#This Row],[Quantity Ordered]]*Customers_Table[[#This Row],[Sales Price (Per unit)]]</f>
        <v>750</v>
      </c>
      <c r="N452" t="s">
        <v>2157</v>
      </c>
    </row>
    <row r="453" spans="1:14" x14ac:dyDescent="0.2">
      <c r="A453" t="s">
        <v>733</v>
      </c>
      <c r="B453" t="s">
        <v>599</v>
      </c>
      <c r="C453">
        <v>1684</v>
      </c>
      <c r="D453" t="s">
        <v>31</v>
      </c>
      <c r="E453" s="1">
        <v>45322</v>
      </c>
      <c r="F453" s="6">
        <v>3</v>
      </c>
      <c r="G453" s="1" t="s">
        <v>38</v>
      </c>
      <c r="H453" t="s">
        <v>47</v>
      </c>
      <c r="I453" t="s">
        <v>2158</v>
      </c>
      <c r="J453" t="s">
        <v>1256</v>
      </c>
      <c r="K453">
        <v>3220</v>
      </c>
      <c r="L453">
        <v>250</v>
      </c>
      <c r="M453">
        <f>Customers_Table[[#This Row],[Quantity Ordered]]*Customers_Table[[#This Row],[Sales Price (Per unit)]]</f>
        <v>750</v>
      </c>
      <c r="N453" t="s">
        <v>2159</v>
      </c>
    </row>
    <row r="454" spans="1:14" x14ac:dyDescent="0.2">
      <c r="A454" t="s">
        <v>734</v>
      </c>
      <c r="B454" t="s">
        <v>188</v>
      </c>
      <c r="C454">
        <v>1685</v>
      </c>
      <c r="D454" t="s">
        <v>31</v>
      </c>
      <c r="E454" s="1">
        <v>45375</v>
      </c>
      <c r="F454" s="6">
        <v>1</v>
      </c>
      <c r="G454" t="s">
        <v>32</v>
      </c>
      <c r="H454" t="s">
        <v>81</v>
      </c>
      <c r="I454" t="s">
        <v>2160</v>
      </c>
      <c r="J454" t="s">
        <v>1280</v>
      </c>
      <c r="K454">
        <v>800</v>
      </c>
      <c r="L454">
        <v>250</v>
      </c>
      <c r="M454">
        <f>Customers_Table[[#This Row],[Quantity Ordered]]*Customers_Table[[#This Row],[Sales Price (Per unit)]]</f>
        <v>250</v>
      </c>
      <c r="N454" t="s">
        <v>2161</v>
      </c>
    </row>
    <row r="455" spans="1:14" x14ac:dyDescent="0.2">
      <c r="A455" t="s">
        <v>217</v>
      </c>
      <c r="B455" t="s">
        <v>735</v>
      </c>
      <c r="C455">
        <v>1686</v>
      </c>
      <c r="D455" t="s">
        <v>76</v>
      </c>
      <c r="E455" s="1">
        <v>45591</v>
      </c>
      <c r="F455" s="6">
        <v>2</v>
      </c>
      <c r="G455" t="s">
        <v>32</v>
      </c>
      <c r="H455" t="s">
        <v>81</v>
      </c>
      <c r="I455" t="s">
        <v>2162</v>
      </c>
      <c r="J455" t="s">
        <v>1280</v>
      </c>
      <c r="K455">
        <v>800</v>
      </c>
      <c r="L455">
        <v>1200</v>
      </c>
      <c r="M455">
        <f>Customers_Table[[#This Row],[Quantity Ordered]]*Customers_Table[[#This Row],[Sales Price (Per unit)]]</f>
        <v>2400</v>
      </c>
      <c r="N455" t="s">
        <v>2163</v>
      </c>
    </row>
    <row r="456" spans="1:14" x14ac:dyDescent="0.2">
      <c r="A456" t="s">
        <v>736</v>
      </c>
      <c r="B456" t="s">
        <v>527</v>
      </c>
      <c r="C456">
        <v>1687</v>
      </c>
      <c r="D456" t="s">
        <v>51</v>
      </c>
      <c r="E456" s="1">
        <v>45424</v>
      </c>
      <c r="F456" s="6">
        <v>1</v>
      </c>
      <c r="G456" s="1" t="s">
        <v>52</v>
      </c>
      <c r="H456" t="s">
        <v>53</v>
      </c>
      <c r="I456" t="s">
        <v>2164</v>
      </c>
      <c r="J456" t="s">
        <v>1268</v>
      </c>
      <c r="K456">
        <v>4870</v>
      </c>
      <c r="L456">
        <v>250</v>
      </c>
      <c r="M456">
        <f>Customers_Table[[#This Row],[Quantity Ordered]]*Customers_Table[[#This Row],[Sales Price (Per unit)]]</f>
        <v>250</v>
      </c>
      <c r="N456" t="s">
        <v>2165</v>
      </c>
    </row>
    <row r="457" spans="1:14" x14ac:dyDescent="0.2">
      <c r="A457" t="s">
        <v>737</v>
      </c>
      <c r="B457" t="s">
        <v>405</v>
      </c>
      <c r="C457">
        <v>1688</v>
      </c>
      <c r="D457" t="s">
        <v>51</v>
      </c>
      <c r="E457" s="1">
        <v>45462</v>
      </c>
      <c r="F457" s="6">
        <v>3</v>
      </c>
      <c r="G457" t="s">
        <v>32</v>
      </c>
      <c r="H457" t="s">
        <v>81</v>
      </c>
      <c r="I457" t="s">
        <v>2166</v>
      </c>
      <c r="J457" t="s">
        <v>1361</v>
      </c>
      <c r="K457">
        <v>870</v>
      </c>
      <c r="L457">
        <v>250</v>
      </c>
      <c r="M457">
        <f>Customers_Table[[#This Row],[Quantity Ordered]]*Customers_Table[[#This Row],[Sales Price (Per unit)]]</f>
        <v>750</v>
      </c>
      <c r="N457" t="s">
        <v>2167</v>
      </c>
    </row>
    <row r="458" spans="1:14" x14ac:dyDescent="0.2">
      <c r="A458" t="s">
        <v>738</v>
      </c>
      <c r="B458" t="s">
        <v>739</v>
      </c>
      <c r="C458">
        <v>1689</v>
      </c>
      <c r="D458" t="s">
        <v>37</v>
      </c>
      <c r="E458" s="1">
        <v>45571</v>
      </c>
      <c r="F458" s="6">
        <v>3</v>
      </c>
      <c r="G458" t="s">
        <v>32</v>
      </c>
      <c r="H458" t="s">
        <v>64</v>
      </c>
      <c r="I458" t="s">
        <v>2168</v>
      </c>
      <c r="J458" t="s">
        <v>1262</v>
      </c>
      <c r="K458">
        <v>7250</v>
      </c>
      <c r="L458">
        <v>800</v>
      </c>
      <c r="M458">
        <f>Customers_Table[[#This Row],[Quantity Ordered]]*Customers_Table[[#This Row],[Sales Price (Per unit)]]</f>
        <v>2400</v>
      </c>
      <c r="N458" t="s">
        <v>2169</v>
      </c>
    </row>
    <row r="459" spans="1:14" x14ac:dyDescent="0.2">
      <c r="A459" t="s">
        <v>740</v>
      </c>
      <c r="B459" t="s">
        <v>741</v>
      </c>
      <c r="C459">
        <v>1690</v>
      </c>
      <c r="D459" t="s">
        <v>42</v>
      </c>
      <c r="E459" s="1">
        <v>45497</v>
      </c>
      <c r="F459" s="6">
        <v>2</v>
      </c>
      <c r="G459" t="s">
        <v>32</v>
      </c>
      <c r="H459" t="s">
        <v>81</v>
      </c>
      <c r="I459" t="s">
        <v>2170</v>
      </c>
      <c r="J459" t="s">
        <v>1280</v>
      </c>
      <c r="K459">
        <v>800</v>
      </c>
      <c r="L459">
        <v>300</v>
      </c>
      <c r="M459">
        <f>Customers_Table[[#This Row],[Quantity Ordered]]*Customers_Table[[#This Row],[Sales Price (Per unit)]]</f>
        <v>600</v>
      </c>
      <c r="N459" t="s">
        <v>2171</v>
      </c>
    </row>
    <row r="460" spans="1:14" x14ac:dyDescent="0.2">
      <c r="A460" t="s">
        <v>742</v>
      </c>
      <c r="B460" t="s">
        <v>743</v>
      </c>
      <c r="C460">
        <v>1691</v>
      </c>
      <c r="D460" t="s">
        <v>42</v>
      </c>
      <c r="E460" s="1">
        <v>45353</v>
      </c>
      <c r="F460" s="6">
        <v>1</v>
      </c>
      <c r="G460" s="1" t="s">
        <v>52</v>
      </c>
      <c r="H460" t="s">
        <v>81</v>
      </c>
      <c r="I460" t="s">
        <v>2172</v>
      </c>
      <c r="J460" t="s">
        <v>1361</v>
      </c>
      <c r="K460">
        <v>870</v>
      </c>
      <c r="L460">
        <v>300</v>
      </c>
      <c r="M460">
        <f>Customers_Table[[#This Row],[Quantity Ordered]]*Customers_Table[[#This Row],[Sales Price (Per unit)]]</f>
        <v>300</v>
      </c>
      <c r="N460" t="s">
        <v>2173</v>
      </c>
    </row>
    <row r="461" spans="1:14" x14ac:dyDescent="0.2">
      <c r="A461" t="s">
        <v>744</v>
      </c>
      <c r="B461" t="s">
        <v>745</v>
      </c>
      <c r="C461">
        <v>1692</v>
      </c>
      <c r="D461" t="s">
        <v>92</v>
      </c>
      <c r="E461" s="1">
        <v>45484</v>
      </c>
      <c r="F461" s="6">
        <v>2</v>
      </c>
      <c r="G461" s="1" t="s">
        <v>52</v>
      </c>
      <c r="H461" t="s">
        <v>57</v>
      </c>
      <c r="I461" t="s">
        <v>2174</v>
      </c>
      <c r="J461" t="s">
        <v>1350</v>
      </c>
      <c r="K461">
        <v>5600</v>
      </c>
      <c r="L461">
        <v>600</v>
      </c>
      <c r="M461">
        <f>Customers_Table[[#This Row],[Quantity Ordered]]*Customers_Table[[#This Row],[Sales Price (Per unit)]]</f>
        <v>1200</v>
      </c>
      <c r="N461" t="s">
        <v>2175</v>
      </c>
    </row>
    <row r="462" spans="1:14" x14ac:dyDescent="0.2">
      <c r="A462" t="s">
        <v>746</v>
      </c>
      <c r="B462" t="s">
        <v>228</v>
      </c>
      <c r="C462">
        <v>1693</v>
      </c>
      <c r="D462" t="s">
        <v>76</v>
      </c>
      <c r="E462" s="1">
        <v>45607</v>
      </c>
      <c r="F462" s="6">
        <v>2</v>
      </c>
      <c r="G462" s="1" t="s">
        <v>52</v>
      </c>
      <c r="H462" t="s">
        <v>57</v>
      </c>
      <c r="I462" t="s">
        <v>2176</v>
      </c>
      <c r="J462" t="s">
        <v>1350</v>
      </c>
      <c r="K462">
        <v>5600</v>
      </c>
      <c r="L462">
        <v>1200</v>
      </c>
      <c r="M462">
        <f>Customers_Table[[#This Row],[Quantity Ordered]]*Customers_Table[[#This Row],[Sales Price (Per unit)]]</f>
        <v>2400</v>
      </c>
      <c r="N462" t="s">
        <v>2177</v>
      </c>
    </row>
    <row r="463" spans="1:14" x14ac:dyDescent="0.2">
      <c r="A463" t="s">
        <v>708</v>
      </c>
      <c r="B463" t="s">
        <v>454</v>
      </c>
      <c r="C463">
        <v>1694</v>
      </c>
      <c r="D463" t="s">
        <v>76</v>
      </c>
      <c r="E463" s="1">
        <v>45370</v>
      </c>
      <c r="F463" s="6">
        <v>1</v>
      </c>
      <c r="G463" s="1" t="s">
        <v>38</v>
      </c>
      <c r="H463" t="s">
        <v>64</v>
      </c>
      <c r="I463" t="s">
        <v>2178</v>
      </c>
      <c r="J463" t="s">
        <v>1262</v>
      </c>
      <c r="K463">
        <v>7250</v>
      </c>
      <c r="L463">
        <v>1200</v>
      </c>
      <c r="M463">
        <f>Customers_Table[[#This Row],[Quantity Ordered]]*Customers_Table[[#This Row],[Sales Price (Per unit)]]</f>
        <v>1200</v>
      </c>
      <c r="N463" t="s">
        <v>2179</v>
      </c>
    </row>
    <row r="464" spans="1:14" x14ac:dyDescent="0.2">
      <c r="A464" t="s">
        <v>502</v>
      </c>
      <c r="B464" t="s">
        <v>747</v>
      </c>
      <c r="C464">
        <v>1695</v>
      </c>
      <c r="D464" t="s">
        <v>42</v>
      </c>
      <c r="E464" s="1">
        <v>45402</v>
      </c>
      <c r="F464" s="6">
        <v>1</v>
      </c>
      <c r="G464" t="s">
        <v>32</v>
      </c>
      <c r="H464" t="s">
        <v>33</v>
      </c>
      <c r="I464" t="s">
        <v>2180</v>
      </c>
      <c r="J464" t="s">
        <v>1259</v>
      </c>
      <c r="K464">
        <v>6160</v>
      </c>
      <c r="L464">
        <v>300</v>
      </c>
      <c r="M464">
        <f>Customers_Table[[#This Row],[Quantity Ordered]]*Customers_Table[[#This Row],[Sales Price (Per unit)]]</f>
        <v>300</v>
      </c>
      <c r="N464" t="s">
        <v>2181</v>
      </c>
    </row>
    <row r="465" spans="1:14" x14ac:dyDescent="0.2">
      <c r="A465" t="s">
        <v>748</v>
      </c>
      <c r="B465" t="s">
        <v>749</v>
      </c>
      <c r="C465">
        <v>1696</v>
      </c>
      <c r="D465" t="s">
        <v>37</v>
      </c>
      <c r="E465" s="1">
        <v>45316</v>
      </c>
      <c r="F465" s="6">
        <v>2</v>
      </c>
      <c r="G465" s="1" t="s">
        <v>52</v>
      </c>
      <c r="H465" t="s">
        <v>57</v>
      </c>
      <c r="I465" t="s">
        <v>2182</v>
      </c>
      <c r="J465" t="s">
        <v>1253</v>
      </c>
      <c r="K465">
        <v>5290</v>
      </c>
      <c r="L465">
        <v>800</v>
      </c>
      <c r="M465">
        <f>Customers_Table[[#This Row],[Quantity Ordered]]*Customers_Table[[#This Row],[Sales Price (Per unit)]]</f>
        <v>1600</v>
      </c>
      <c r="N465" t="s">
        <v>2183</v>
      </c>
    </row>
    <row r="466" spans="1:14" x14ac:dyDescent="0.2">
      <c r="A466" t="s">
        <v>720</v>
      </c>
      <c r="B466" t="s">
        <v>750</v>
      </c>
      <c r="C466">
        <v>1697</v>
      </c>
      <c r="D466" t="s">
        <v>51</v>
      </c>
      <c r="E466" s="1">
        <v>45344</v>
      </c>
      <c r="F466" s="6">
        <v>1</v>
      </c>
      <c r="G466" s="1" t="s">
        <v>52</v>
      </c>
      <c r="H466" t="s">
        <v>43</v>
      </c>
      <c r="I466" t="s">
        <v>2184</v>
      </c>
      <c r="J466" t="s">
        <v>1299</v>
      </c>
      <c r="K466">
        <v>2500</v>
      </c>
      <c r="L466">
        <v>250</v>
      </c>
      <c r="M466">
        <f>Customers_Table[[#This Row],[Quantity Ordered]]*Customers_Table[[#This Row],[Sales Price (Per unit)]]</f>
        <v>250</v>
      </c>
      <c r="N466" t="s">
        <v>2185</v>
      </c>
    </row>
    <row r="467" spans="1:14" x14ac:dyDescent="0.2">
      <c r="A467" t="s">
        <v>751</v>
      </c>
      <c r="B467" t="s">
        <v>752</v>
      </c>
      <c r="C467">
        <v>1698</v>
      </c>
      <c r="D467" t="s">
        <v>51</v>
      </c>
      <c r="E467" s="1">
        <v>45369</v>
      </c>
      <c r="F467" s="6">
        <v>3</v>
      </c>
      <c r="G467" s="1" t="s">
        <v>52</v>
      </c>
      <c r="H467" t="s">
        <v>47</v>
      </c>
      <c r="I467" t="s">
        <v>2186</v>
      </c>
      <c r="J467" t="s">
        <v>1256</v>
      </c>
      <c r="K467">
        <v>3220</v>
      </c>
      <c r="L467">
        <v>250</v>
      </c>
      <c r="M467">
        <f>Customers_Table[[#This Row],[Quantity Ordered]]*Customers_Table[[#This Row],[Sales Price (Per unit)]]</f>
        <v>750</v>
      </c>
      <c r="N467" t="s">
        <v>2187</v>
      </c>
    </row>
    <row r="468" spans="1:14" x14ac:dyDescent="0.2">
      <c r="A468" t="s">
        <v>753</v>
      </c>
      <c r="B468" t="s">
        <v>754</v>
      </c>
      <c r="C468">
        <v>1699</v>
      </c>
      <c r="D468" t="s">
        <v>42</v>
      </c>
      <c r="E468" s="1">
        <v>45298</v>
      </c>
      <c r="F468" s="6">
        <v>3</v>
      </c>
      <c r="G468" t="s">
        <v>32</v>
      </c>
      <c r="H468" t="s">
        <v>39</v>
      </c>
      <c r="I468" t="s">
        <v>2188</v>
      </c>
      <c r="J468" t="s">
        <v>1241</v>
      </c>
      <c r="K468">
        <v>2600</v>
      </c>
      <c r="L468">
        <v>300</v>
      </c>
      <c r="M468">
        <f>Customers_Table[[#This Row],[Quantity Ordered]]*Customers_Table[[#This Row],[Sales Price (Per unit)]]</f>
        <v>900</v>
      </c>
      <c r="N468" t="s">
        <v>2189</v>
      </c>
    </row>
    <row r="469" spans="1:14" x14ac:dyDescent="0.2">
      <c r="A469" t="s">
        <v>547</v>
      </c>
      <c r="B469" t="s">
        <v>319</v>
      </c>
      <c r="C469">
        <v>1700</v>
      </c>
      <c r="D469" t="s">
        <v>51</v>
      </c>
      <c r="E469" s="1">
        <v>45425</v>
      </c>
      <c r="F469" s="6">
        <v>3</v>
      </c>
      <c r="G469" s="1" t="s">
        <v>52</v>
      </c>
      <c r="H469" t="s">
        <v>57</v>
      </c>
      <c r="I469" t="s">
        <v>2190</v>
      </c>
      <c r="J469" t="s">
        <v>1253</v>
      </c>
      <c r="K469">
        <v>5290</v>
      </c>
      <c r="L469">
        <v>250</v>
      </c>
      <c r="M469">
        <f>Customers_Table[[#This Row],[Quantity Ordered]]*Customers_Table[[#This Row],[Sales Price (Per unit)]]</f>
        <v>750</v>
      </c>
      <c r="N469" t="s">
        <v>2191</v>
      </c>
    </row>
    <row r="470" spans="1:14" x14ac:dyDescent="0.2">
      <c r="A470" t="s">
        <v>755</v>
      </c>
      <c r="B470" t="s">
        <v>181</v>
      </c>
      <c r="C470">
        <v>1701</v>
      </c>
      <c r="D470" t="s">
        <v>51</v>
      </c>
      <c r="E470" s="1">
        <v>45504</v>
      </c>
      <c r="F470" s="6">
        <v>2</v>
      </c>
      <c r="G470" s="1" t="s">
        <v>38</v>
      </c>
      <c r="H470" t="s">
        <v>53</v>
      </c>
      <c r="I470" t="s">
        <v>2192</v>
      </c>
      <c r="J470" t="s">
        <v>1250</v>
      </c>
      <c r="K470">
        <v>4217</v>
      </c>
      <c r="L470">
        <v>250</v>
      </c>
      <c r="M470">
        <f>Customers_Table[[#This Row],[Quantity Ordered]]*Customers_Table[[#This Row],[Sales Price (Per unit)]]</f>
        <v>500</v>
      </c>
      <c r="N470" t="s">
        <v>2193</v>
      </c>
    </row>
    <row r="471" spans="1:14" x14ac:dyDescent="0.2">
      <c r="A471" t="s">
        <v>756</v>
      </c>
      <c r="B471" t="s">
        <v>757</v>
      </c>
      <c r="C471">
        <v>1702</v>
      </c>
      <c r="D471" t="s">
        <v>37</v>
      </c>
      <c r="E471" s="1">
        <v>45515</v>
      </c>
      <c r="F471" s="6">
        <v>3</v>
      </c>
      <c r="G471" t="s">
        <v>32</v>
      </c>
      <c r="H471" t="s">
        <v>39</v>
      </c>
      <c r="I471" t="s">
        <v>2194</v>
      </c>
      <c r="J471" t="s">
        <v>1241</v>
      </c>
      <c r="K471">
        <v>2600</v>
      </c>
      <c r="L471">
        <v>800</v>
      </c>
      <c r="M471">
        <f>Customers_Table[[#This Row],[Quantity Ordered]]*Customers_Table[[#This Row],[Sales Price (Per unit)]]</f>
        <v>2400</v>
      </c>
      <c r="N471" t="s">
        <v>2195</v>
      </c>
    </row>
    <row r="472" spans="1:14" x14ac:dyDescent="0.2">
      <c r="A472" t="s">
        <v>758</v>
      </c>
      <c r="B472" t="s">
        <v>632</v>
      </c>
      <c r="C472">
        <v>1703</v>
      </c>
      <c r="D472" t="s">
        <v>42</v>
      </c>
      <c r="E472" s="1">
        <v>45604</v>
      </c>
      <c r="F472" s="6">
        <v>2</v>
      </c>
      <c r="G472" s="1" t="s">
        <v>52</v>
      </c>
      <c r="H472" t="s">
        <v>81</v>
      </c>
      <c r="I472" t="s">
        <v>2196</v>
      </c>
      <c r="J472" t="s">
        <v>1280</v>
      </c>
      <c r="K472">
        <v>800</v>
      </c>
      <c r="L472">
        <v>300</v>
      </c>
      <c r="M472">
        <f>Customers_Table[[#This Row],[Quantity Ordered]]*Customers_Table[[#This Row],[Sales Price (Per unit)]]</f>
        <v>600</v>
      </c>
      <c r="N472" t="s">
        <v>2197</v>
      </c>
    </row>
    <row r="473" spans="1:14" x14ac:dyDescent="0.2">
      <c r="A473" t="s">
        <v>759</v>
      </c>
      <c r="B473" t="s">
        <v>745</v>
      </c>
      <c r="C473">
        <v>1704</v>
      </c>
      <c r="D473" t="s">
        <v>51</v>
      </c>
      <c r="E473" s="1">
        <v>45300</v>
      </c>
      <c r="F473" s="6">
        <v>1</v>
      </c>
      <c r="G473" t="s">
        <v>71</v>
      </c>
      <c r="H473" t="s">
        <v>43</v>
      </c>
      <c r="I473" t="s">
        <v>2198</v>
      </c>
      <c r="J473" t="s">
        <v>1299</v>
      </c>
      <c r="K473">
        <v>2500</v>
      </c>
      <c r="L473">
        <v>250</v>
      </c>
      <c r="M473">
        <f>Customers_Table[[#This Row],[Quantity Ordered]]*Customers_Table[[#This Row],[Sales Price (Per unit)]]</f>
        <v>250</v>
      </c>
      <c r="N473" t="s">
        <v>2199</v>
      </c>
    </row>
    <row r="474" spans="1:14" x14ac:dyDescent="0.2">
      <c r="A474" t="s">
        <v>760</v>
      </c>
      <c r="B474" t="s">
        <v>270</v>
      </c>
      <c r="C474">
        <v>1705</v>
      </c>
      <c r="D474" t="s">
        <v>76</v>
      </c>
      <c r="E474" s="1">
        <v>45360</v>
      </c>
      <c r="F474" s="6">
        <v>2</v>
      </c>
      <c r="G474" s="1" t="s">
        <v>52</v>
      </c>
      <c r="H474" t="s">
        <v>43</v>
      </c>
      <c r="I474" t="s">
        <v>2200</v>
      </c>
      <c r="J474" t="s">
        <v>1244</v>
      </c>
      <c r="K474">
        <v>2300</v>
      </c>
      <c r="L474">
        <v>1200</v>
      </c>
      <c r="M474">
        <f>Customers_Table[[#This Row],[Quantity Ordered]]*Customers_Table[[#This Row],[Sales Price (Per unit)]]</f>
        <v>2400</v>
      </c>
      <c r="N474" t="s">
        <v>2201</v>
      </c>
    </row>
    <row r="475" spans="1:14" x14ac:dyDescent="0.2">
      <c r="A475" t="s">
        <v>761</v>
      </c>
      <c r="B475" t="s">
        <v>762</v>
      </c>
      <c r="C475">
        <v>1706</v>
      </c>
      <c r="D475" t="s">
        <v>42</v>
      </c>
      <c r="E475" s="1">
        <v>45378</v>
      </c>
      <c r="F475" s="6">
        <v>3</v>
      </c>
      <c r="G475" s="1" t="s">
        <v>52</v>
      </c>
      <c r="H475" t="s">
        <v>39</v>
      </c>
      <c r="I475" t="s">
        <v>2202</v>
      </c>
      <c r="J475" t="s">
        <v>1241</v>
      </c>
      <c r="K475">
        <v>2600</v>
      </c>
      <c r="L475">
        <v>300</v>
      </c>
      <c r="M475">
        <f>Customers_Table[[#This Row],[Quantity Ordered]]*Customers_Table[[#This Row],[Sales Price (Per unit)]]</f>
        <v>900</v>
      </c>
      <c r="N475" t="s">
        <v>2203</v>
      </c>
    </row>
    <row r="476" spans="1:14" x14ac:dyDescent="0.2">
      <c r="A476" t="s">
        <v>763</v>
      </c>
      <c r="B476" t="s">
        <v>764</v>
      </c>
      <c r="C476">
        <v>1707</v>
      </c>
      <c r="D476" t="s">
        <v>31</v>
      </c>
      <c r="E476" s="1">
        <v>45496</v>
      </c>
      <c r="F476" s="6">
        <v>3</v>
      </c>
      <c r="G476" t="s">
        <v>32</v>
      </c>
      <c r="H476" t="s">
        <v>81</v>
      </c>
      <c r="I476" t="s">
        <v>2204</v>
      </c>
      <c r="J476" t="s">
        <v>1280</v>
      </c>
      <c r="K476">
        <v>800</v>
      </c>
      <c r="L476">
        <v>250</v>
      </c>
      <c r="M476">
        <f>Customers_Table[[#This Row],[Quantity Ordered]]*Customers_Table[[#This Row],[Sales Price (Per unit)]]</f>
        <v>750</v>
      </c>
      <c r="N476" t="s">
        <v>2205</v>
      </c>
    </row>
    <row r="477" spans="1:14" x14ac:dyDescent="0.2">
      <c r="A477" t="s">
        <v>690</v>
      </c>
      <c r="B477" t="s">
        <v>243</v>
      </c>
      <c r="C477">
        <v>1708</v>
      </c>
      <c r="D477" t="s">
        <v>42</v>
      </c>
      <c r="E477" s="1">
        <v>45323</v>
      </c>
      <c r="F477" s="6">
        <v>1</v>
      </c>
      <c r="G477" t="s">
        <v>32</v>
      </c>
      <c r="H477" t="s">
        <v>43</v>
      </c>
      <c r="I477" t="s">
        <v>2206</v>
      </c>
      <c r="J477" t="s">
        <v>1299</v>
      </c>
      <c r="K477">
        <v>2500</v>
      </c>
      <c r="L477">
        <v>300</v>
      </c>
      <c r="M477">
        <f>Customers_Table[[#This Row],[Quantity Ordered]]*Customers_Table[[#This Row],[Sales Price (Per unit)]]</f>
        <v>300</v>
      </c>
      <c r="N477" t="s">
        <v>2207</v>
      </c>
    </row>
    <row r="478" spans="1:14" x14ac:dyDescent="0.2">
      <c r="A478" t="s">
        <v>765</v>
      </c>
      <c r="B478" t="s">
        <v>201</v>
      </c>
      <c r="C478">
        <v>1709</v>
      </c>
      <c r="D478" t="s">
        <v>31</v>
      </c>
      <c r="E478" s="1">
        <v>45636</v>
      </c>
      <c r="F478" s="6">
        <v>1</v>
      </c>
      <c r="G478" t="s">
        <v>32</v>
      </c>
      <c r="H478" t="s">
        <v>53</v>
      </c>
      <c r="I478" t="s">
        <v>2208</v>
      </c>
      <c r="J478" t="s">
        <v>1268</v>
      </c>
      <c r="K478">
        <v>4870</v>
      </c>
      <c r="L478">
        <v>250</v>
      </c>
      <c r="M478">
        <f>Customers_Table[[#This Row],[Quantity Ordered]]*Customers_Table[[#This Row],[Sales Price (Per unit)]]</f>
        <v>250</v>
      </c>
      <c r="N478" t="s">
        <v>2209</v>
      </c>
    </row>
    <row r="479" spans="1:14" x14ac:dyDescent="0.2">
      <c r="A479" t="s">
        <v>407</v>
      </c>
      <c r="B479" t="s">
        <v>729</v>
      </c>
      <c r="C479">
        <v>1710</v>
      </c>
      <c r="D479" t="s">
        <v>51</v>
      </c>
      <c r="E479" s="1">
        <v>45424</v>
      </c>
      <c r="F479" s="6">
        <v>2</v>
      </c>
      <c r="G479" t="s">
        <v>32</v>
      </c>
      <c r="H479" t="s">
        <v>47</v>
      </c>
      <c r="I479" t="s">
        <v>2210</v>
      </c>
      <c r="J479" t="s">
        <v>1275</v>
      </c>
      <c r="K479">
        <v>3000</v>
      </c>
      <c r="L479">
        <v>250</v>
      </c>
      <c r="M479">
        <f>Customers_Table[[#This Row],[Quantity Ordered]]*Customers_Table[[#This Row],[Sales Price (Per unit)]]</f>
        <v>500</v>
      </c>
      <c r="N479" t="s">
        <v>2211</v>
      </c>
    </row>
    <row r="480" spans="1:14" x14ac:dyDescent="0.2">
      <c r="A480" t="s">
        <v>564</v>
      </c>
      <c r="B480" t="s">
        <v>766</v>
      </c>
      <c r="C480">
        <v>1711</v>
      </c>
      <c r="D480" t="s">
        <v>37</v>
      </c>
      <c r="E480" s="1">
        <v>45561</v>
      </c>
      <c r="F480" s="6">
        <v>2</v>
      </c>
      <c r="G480" s="1" t="s">
        <v>52</v>
      </c>
      <c r="H480" t="s">
        <v>53</v>
      </c>
      <c r="I480" t="s">
        <v>2212</v>
      </c>
      <c r="J480" t="s">
        <v>1268</v>
      </c>
      <c r="K480">
        <v>4870</v>
      </c>
      <c r="L480">
        <v>800</v>
      </c>
      <c r="M480">
        <f>Customers_Table[[#This Row],[Quantity Ordered]]*Customers_Table[[#This Row],[Sales Price (Per unit)]]</f>
        <v>1600</v>
      </c>
      <c r="N480" t="s">
        <v>2213</v>
      </c>
    </row>
    <row r="481" spans="1:14" x14ac:dyDescent="0.2">
      <c r="A481" t="s">
        <v>477</v>
      </c>
      <c r="B481" t="s">
        <v>522</v>
      </c>
      <c r="C481">
        <v>1712</v>
      </c>
      <c r="D481" t="s">
        <v>51</v>
      </c>
      <c r="E481" s="1">
        <v>45507</v>
      </c>
      <c r="F481" s="6">
        <v>2</v>
      </c>
      <c r="G481" t="s">
        <v>32</v>
      </c>
      <c r="H481" t="s">
        <v>39</v>
      </c>
      <c r="I481" t="s">
        <v>2214</v>
      </c>
      <c r="J481" t="s">
        <v>1241</v>
      </c>
      <c r="K481">
        <v>2600</v>
      </c>
      <c r="L481">
        <v>250</v>
      </c>
      <c r="M481">
        <f>Customers_Table[[#This Row],[Quantity Ordered]]*Customers_Table[[#This Row],[Sales Price (Per unit)]]</f>
        <v>500</v>
      </c>
      <c r="N481" t="s">
        <v>2215</v>
      </c>
    </row>
    <row r="482" spans="1:14" x14ac:dyDescent="0.2">
      <c r="A482" t="s">
        <v>767</v>
      </c>
      <c r="B482" t="s">
        <v>768</v>
      </c>
      <c r="C482">
        <v>1713</v>
      </c>
      <c r="D482" t="s">
        <v>92</v>
      </c>
      <c r="E482" s="1">
        <v>45640</v>
      </c>
      <c r="F482" s="6">
        <v>3</v>
      </c>
      <c r="G482" s="1" t="s">
        <v>52</v>
      </c>
      <c r="H482" t="s">
        <v>57</v>
      </c>
      <c r="I482" t="s">
        <v>2216</v>
      </c>
      <c r="J482" t="s">
        <v>1253</v>
      </c>
      <c r="K482">
        <v>5290</v>
      </c>
      <c r="L482">
        <v>600</v>
      </c>
      <c r="M482">
        <f>Customers_Table[[#This Row],[Quantity Ordered]]*Customers_Table[[#This Row],[Sales Price (Per unit)]]</f>
        <v>1800</v>
      </c>
      <c r="N482" t="s">
        <v>2217</v>
      </c>
    </row>
    <row r="483" spans="1:14" x14ac:dyDescent="0.2">
      <c r="A483" t="s">
        <v>769</v>
      </c>
      <c r="B483" t="s">
        <v>488</v>
      </c>
      <c r="C483">
        <v>1714</v>
      </c>
      <c r="D483" t="s">
        <v>51</v>
      </c>
      <c r="E483" s="1">
        <v>45500</v>
      </c>
      <c r="F483" s="6">
        <v>2</v>
      </c>
      <c r="G483" s="1" t="s">
        <v>52</v>
      </c>
      <c r="H483" t="s">
        <v>33</v>
      </c>
      <c r="I483" t="s">
        <v>2218</v>
      </c>
      <c r="J483" t="s">
        <v>1302</v>
      </c>
      <c r="K483">
        <v>6000</v>
      </c>
      <c r="L483">
        <v>250</v>
      </c>
      <c r="M483">
        <f>Customers_Table[[#This Row],[Quantity Ordered]]*Customers_Table[[#This Row],[Sales Price (Per unit)]]</f>
        <v>500</v>
      </c>
      <c r="N483" t="s">
        <v>2219</v>
      </c>
    </row>
    <row r="484" spans="1:14" x14ac:dyDescent="0.2">
      <c r="A484" t="s">
        <v>770</v>
      </c>
      <c r="B484" t="s">
        <v>771</v>
      </c>
      <c r="C484">
        <v>1715</v>
      </c>
      <c r="D484" t="s">
        <v>42</v>
      </c>
      <c r="E484" s="1">
        <v>45375</v>
      </c>
      <c r="F484" s="6">
        <v>3</v>
      </c>
      <c r="G484" s="1" t="s">
        <v>52</v>
      </c>
      <c r="H484" t="s">
        <v>33</v>
      </c>
      <c r="I484" t="s">
        <v>2220</v>
      </c>
      <c r="J484" t="s">
        <v>1259</v>
      </c>
      <c r="K484">
        <v>6160</v>
      </c>
      <c r="L484">
        <v>300</v>
      </c>
      <c r="M484">
        <f>Customers_Table[[#This Row],[Quantity Ordered]]*Customers_Table[[#This Row],[Sales Price (Per unit)]]</f>
        <v>900</v>
      </c>
      <c r="N484" t="s">
        <v>2221</v>
      </c>
    </row>
    <row r="485" spans="1:14" x14ac:dyDescent="0.2">
      <c r="A485" t="s">
        <v>450</v>
      </c>
      <c r="B485" t="s">
        <v>295</v>
      </c>
      <c r="C485">
        <v>1716</v>
      </c>
      <c r="D485" t="s">
        <v>42</v>
      </c>
      <c r="E485" s="1">
        <v>45579</v>
      </c>
      <c r="F485" s="6">
        <v>2</v>
      </c>
      <c r="G485" s="1" t="s">
        <v>52</v>
      </c>
      <c r="H485" t="s">
        <v>53</v>
      </c>
      <c r="I485" t="s">
        <v>2222</v>
      </c>
      <c r="J485" t="s">
        <v>1305</v>
      </c>
      <c r="K485">
        <v>4000</v>
      </c>
      <c r="L485">
        <v>300</v>
      </c>
      <c r="M485">
        <f>Customers_Table[[#This Row],[Quantity Ordered]]*Customers_Table[[#This Row],[Sales Price (Per unit)]]</f>
        <v>600</v>
      </c>
      <c r="N485" t="s">
        <v>2223</v>
      </c>
    </row>
    <row r="486" spans="1:14" x14ac:dyDescent="0.2">
      <c r="A486" t="s">
        <v>772</v>
      </c>
      <c r="B486" t="s">
        <v>661</v>
      </c>
      <c r="C486">
        <v>1717</v>
      </c>
      <c r="D486" t="s">
        <v>92</v>
      </c>
      <c r="E486" s="1">
        <v>45617</v>
      </c>
      <c r="F486" s="6">
        <v>1</v>
      </c>
      <c r="G486" s="1" t="s">
        <v>52</v>
      </c>
      <c r="H486" t="s">
        <v>81</v>
      </c>
      <c r="I486" t="s">
        <v>2224</v>
      </c>
      <c r="J486" t="s">
        <v>1361</v>
      </c>
      <c r="K486">
        <v>870</v>
      </c>
      <c r="L486">
        <v>600</v>
      </c>
      <c r="M486">
        <f>Customers_Table[[#This Row],[Quantity Ordered]]*Customers_Table[[#This Row],[Sales Price (Per unit)]]</f>
        <v>600</v>
      </c>
      <c r="N486" t="s">
        <v>2225</v>
      </c>
    </row>
    <row r="487" spans="1:14" x14ac:dyDescent="0.2">
      <c r="A487" t="s">
        <v>724</v>
      </c>
      <c r="B487" t="s">
        <v>303</v>
      </c>
      <c r="C487">
        <v>1718</v>
      </c>
      <c r="D487" t="s">
        <v>31</v>
      </c>
      <c r="E487" s="1">
        <v>45612</v>
      </c>
      <c r="F487" s="6">
        <v>2</v>
      </c>
      <c r="G487" s="1" t="s">
        <v>52</v>
      </c>
      <c r="H487" t="s">
        <v>33</v>
      </c>
      <c r="I487" t="s">
        <v>2226</v>
      </c>
      <c r="J487" t="s">
        <v>1259</v>
      </c>
      <c r="K487">
        <v>6160</v>
      </c>
      <c r="L487">
        <v>250</v>
      </c>
      <c r="M487">
        <f>Customers_Table[[#This Row],[Quantity Ordered]]*Customers_Table[[#This Row],[Sales Price (Per unit)]]</f>
        <v>500</v>
      </c>
      <c r="N487" t="s">
        <v>2227</v>
      </c>
    </row>
    <row r="488" spans="1:14" x14ac:dyDescent="0.2">
      <c r="A488" t="s">
        <v>773</v>
      </c>
      <c r="B488" t="s">
        <v>499</v>
      </c>
      <c r="C488">
        <v>1719</v>
      </c>
      <c r="D488" t="s">
        <v>31</v>
      </c>
      <c r="E488" s="1">
        <v>45593</v>
      </c>
      <c r="F488" s="6">
        <v>2</v>
      </c>
      <c r="G488" s="1" t="s">
        <v>52</v>
      </c>
      <c r="H488" t="s">
        <v>39</v>
      </c>
      <c r="I488" t="s">
        <v>2228</v>
      </c>
      <c r="J488" t="s">
        <v>1241</v>
      </c>
      <c r="K488">
        <v>2600</v>
      </c>
      <c r="L488">
        <v>250</v>
      </c>
      <c r="M488">
        <f>Customers_Table[[#This Row],[Quantity Ordered]]*Customers_Table[[#This Row],[Sales Price (Per unit)]]</f>
        <v>500</v>
      </c>
      <c r="N488" t="s">
        <v>2229</v>
      </c>
    </row>
    <row r="489" spans="1:14" x14ac:dyDescent="0.2">
      <c r="A489" t="s">
        <v>381</v>
      </c>
      <c r="B489" t="s">
        <v>774</v>
      </c>
      <c r="C489">
        <v>1720</v>
      </c>
      <c r="D489" t="s">
        <v>42</v>
      </c>
      <c r="E489" s="1">
        <v>45569</v>
      </c>
      <c r="F489" s="6">
        <v>1</v>
      </c>
      <c r="G489" t="s">
        <v>32</v>
      </c>
      <c r="H489" t="s">
        <v>43</v>
      </c>
      <c r="I489" t="s">
        <v>2230</v>
      </c>
      <c r="J489" t="s">
        <v>865</v>
      </c>
      <c r="K489">
        <v>2000</v>
      </c>
      <c r="L489">
        <v>300</v>
      </c>
      <c r="M489">
        <f>Customers_Table[[#This Row],[Quantity Ordered]]*Customers_Table[[#This Row],[Sales Price (Per unit)]]</f>
        <v>300</v>
      </c>
      <c r="N489" t="s">
        <v>2231</v>
      </c>
    </row>
    <row r="490" spans="1:14" x14ac:dyDescent="0.2">
      <c r="A490" t="s">
        <v>347</v>
      </c>
      <c r="B490" t="s">
        <v>335</v>
      </c>
      <c r="C490">
        <v>1721</v>
      </c>
      <c r="D490" t="s">
        <v>51</v>
      </c>
      <c r="E490" s="1">
        <v>45499</v>
      </c>
      <c r="F490" s="6">
        <v>3</v>
      </c>
      <c r="G490" t="s">
        <v>32</v>
      </c>
      <c r="H490" t="s">
        <v>33</v>
      </c>
      <c r="I490" t="s">
        <v>2232</v>
      </c>
      <c r="J490" t="s">
        <v>1238</v>
      </c>
      <c r="K490">
        <v>6725</v>
      </c>
      <c r="L490">
        <v>250</v>
      </c>
      <c r="M490">
        <f>Customers_Table[[#This Row],[Quantity Ordered]]*Customers_Table[[#This Row],[Sales Price (Per unit)]]</f>
        <v>750</v>
      </c>
      <c r="N490" t="s">
        <v>2233</v>
      </c>
    </row>
    <row r="491" spans="1:14" x14ac:dyDescent="0.2">
      <c r="A491" t="s">
        <v>775</v>
      </c>
      <c r="B491" t="s">
        <v>73</v>
      </c>
      <c r="C491">
        <v>1722</v>
      </c>
      <c r="D491" t="s">
        <v>76</v>
      </c>
      <c r="E491" s="1">
        <v>45549</v>
      </c>
      <c r="F491" s="6">
        <v>1</v>
      </c>
      <c r="G491" s="1" t="s">
        <v>52</v>
      </c>
      <c r="H491" t="s">
        <v>81</v>
      </c>
      <c r="I491" t="s">
        <v>2234</v>
      </c>
      <c r="J491" t="s">
        <v>1361</v>
      </c>
      <c r="K491">
        <v>870</v>
      </c>
      <c r="L491">
        <v>1200</v>
      </c>
      <c r="M491">
        <f>Customers_Table[[#This Row],[Quantity Ordered]]*Customers_Table[[#This Row],[Sales Price (Per unit)]]</f>
        <v>1200</v>
      </c>
      <c r="N491" t="s">
        <v>2235</v>
      </c>
    </row>
    <row r="492" spans="1:14" x14ac:dyDescent="0.2">
      <c r="A492" t="s">
        <v>776</v>
      </c>
      <c r="B492" t="s">
        <v>777</v>
      </c>
      <c r="C492">
        <v>1723</v>
      </c>
      <c r="D492" t="s">
        <v>42</v>
      </c>
      <c r="E492" s="1">
        <v>45499</v>
      </c>
      <c r="F492" s="6">
        <v>3</v>
      </c>
      <c r="G492" t="s">
        <v>32</v>
      </c>
      <c r="H492" t="s">
        <v>33</v>
      </c>
      <c r="I492" t="s">
        <v>2236</v>
      </c>
      <c r="J492" t="s">
        <v>1302</v>
      </c>
      <c r="K492">
        <v>6000</v>
      </c>
      <c r="L492">
        <v>300</v>
      </c>
      <c r="M492">
        <f>Customers_Table[[#This Row],[Quantity Ordered]]*Customers_Table[[#This Row],[Sales Price (Per unit)]]</f>
        <v>900</v>
      </c>
      <c r="N492" t="s">
        <v>2237</v>
      </c>
    </row>
    <row r="493" spans="1:14" x14ac:dyDescent="0.2">
      <c r="A493" t="s">
        <v>345</v>
      </c>
      <c r="B493" t="s">
        <v>778</v>
      </c>
      <c r="C493">
        <v>1724</v>
      </c>
      <c r="D493" t="s">
        <v>37</v>
      </c>
      <c r="E493" s="1">
        <v>45567</v>
      </c>
      <c r="F493" s="6">
        <v>1</v>
      </c>
      <c r="G493" t="s">
        <v>71</v>
      </c>
      <c r="H493" t="s">
        <v>57</v>
      </c>
      <c r="I493" t="s">
        <v>2238</v>
      </c>
      <c r="J493" t="s">
        <v>1350</v>
      </c>
      <c r="K493">
        <v>5600</v>
      </c>
      <c r="L493">
        <v>800</v>
      </c>
      <c r="M493">
        <f>Customers_Table[[#This Row],[Quantity Ordered]]*Customers_Table[[#This Row],[Sales Price (Per unit)]]</f>
        <v>800</v>
      </c>
      <c r="N493" t="s">
        <v>2239</v>
      </c>
    </row>
    <row r="494" spans="1:14" x14ac:dyDescent="0.2">
      <c r="A494" t="s">
        <v>299</v>
      </c>
      <c r="B494" t="s">
        <v>779</v>
      </c>
      <c r="C494">
        <v>1725</v>
      </c>
      <c r="D494" t="s">
        <v>51</v>
      </c>
      <c r="E494" s="1">
        <v>45326</v>
      </c>
      <c r="F494" s="6">
        <v>2</v>
      </c>
      <c r="G494" t="s">
        <v>71</v>
      </c>
      <c r="H494" t="s">
        <v>33</v>
      </c>
      <c r="I494" t="s">
        <v>2240</v>
      </c>
      <c r="J494" t="s">
        <v>1238</v>
      </c>
      <c r="K494">
        <v>6725</v>
      </c>
      <c r="L494">
        <v>250</v>
      </c>
      <c r="M494">
        <f>Customers_Table[[#This Row],[Quantity Ordered]]*Customers_Table[[#This Row],[Sales Price (Per unit)]]</f>
        <v>500</v>
      </c>
      <c r="N494" t="s">
        <v>2241</v>
      </c>
    </row>
    <row r="495" spans="1:14" x14ac:dyDescent="0.2">
      <c r="A495" t="s">
        <v>780</v>
      </c>
      <c r="B495" t="s">
        <v>781</v>
      </c>
      <c r="C495">
        <v>1726</v>
      </c>
      <c r="D495" t="s">
        <v>37</v>
      </c>
      <c r="E495" s="1">
        <v>45557</v>
      </c>
      <c r="F495" s="6">
        <v>3</v>
      </c>
      <c r="G495" t="s">
        <v>71</v>
      </c>
      <c r="H495" t="s">
        <v>81</v>
      </c>
      <c r="I495" t="s">
        <v>2242</v>
      </c>
      <c r="J495" t="s">
        <v>1361</v>
      </c>
      <c r="K495">
        <v>870</v>
      </c>
      <c r="L495">
        <v>800</v>
      </c>
      <c r="M495">
        <f>Customers_Table[[#This Row],[Quantity Ordered]]*Customers_Table[[#This Row],[Sales Price (Per unit)]]</f>
        <v>2400</v>
      </c>
      <c r="N495" t="s">
        <v>2243</v>
      </c>
    </row>
    <row r="496" spans="1:14" x14ac:dyDescent="0.2">
      <c r="A496" t="s">
        <v>782</v>
      </c>
      <c r="B496" t="s">
        <v>783</v>
      </c>
      <c r="C496">
        <v>1727</v>
      </c>
      <c r="D496" t="s">
        <v>92</v>
      </c>
      <c r="E496" s="1">
        <v>45612</v>
      </c>
      <c r="F496" s="6">
        <v>2</v>
      </c>
      <c r="G496" s="1" t="s">
        <v>52</v>
      </c>
      <c r="H496" t="s">
        <v>47</v>
      </c>
      <c r="I496" t="s">
        <v>2244</v>
      </c>
      <c r="J496" t="s">
        <v>1256</v>
      </c>
      <c r="K496">
        <v>3220</v>
      </c>
      <c r="L496">
        <v>600</v>
      </c>
      <c r="M496">
        <f>Customers_Table[[#This Row],[Quantity Ordered]]*Customers_Table[[#This Row],[Sales Price (Per unit)]]</f>
        <v>1200</v>
      </c>
      <c r="N496" t="s">
        <v>2245</v>
      </c>
    </row>
    <row r="497" spans="1:14" x14ac:dyDescent="0.2">
      <c r="A497" t="s">
        <v>784</v>
      </c>
      <c r="B497" t="s">
        <v>785</v>
      </c>
      <c r="C497">
        <v>1728</v>
      </c>
      <c r="D497" t="s">
        <v>92</v>
      </c>
      <c r="E497" s="1">
        <v>45585</v>
      </c>
      <c r="F497" s="6">
        <v>2</v>
      </c>
      <c r="G497" t="s">
        <v>32</v>
      </c>
      <c r="H497" t="s">
        <v>47</v>
      </c>
      <c r="I497" t="s">
        <v>2246</v>
      </c>
      <c r="J497" t="s">
        <v>1247</v>
      </c>
      <c r="K497">
        <v>3350</v>
      </c>
      <c r="L497">
        <v>600</v>
      </c>
      <c r="M497">
        <f>Customers_Table[[#This Row],[Quantity Ordered]]*Customers_Table[[#This Row],[Sales Price (Per unit)]]</f>
        <v>1200</v>
      </c>
      <c r="N497" t="s">
        <v>2247</v>
      </c>
    </row>
    <row r="498" spans="1:14" x14ac:dyDescent="0.2">
      <c r="A498" t="s">
        <v>422</v>
      </c>
      <c r="B498" t="s">
        <v>725</v>
      </c>
      <c r="C498">
        <v>1729</v>
      </c>
      <c r="D498" t="s">
        <v>76</v>
      </c>
      <c r="E498" s="1">
        <v>45560</v>
      </c>
      <c r="F498" s="6">
        <v>2</v>
      </c>
      <c r="G498" s="1" t="s">
        <v>52</v>
      </c>
      <c r="H498" t="s">
        <v>39</v>
      </c>
      <c r="I498" t="s">
        <v>2248</v>
      </c>
      <c r="J498" t="s">
        <v>1241</v>
      </c>
      <c r="K498">
        <v>2600</v>
      </c>
      <c r="L498">
        <v>1200</v>
      </c>
      <c r="M498">
        <f>Customers_Table[[#This Row],[Quantity Ordered]]*Customers_Table[[#This Row],[Sales Price (Per unit)]]</f>
        <v>2400</v>
      </c>
      <c r="N498" t="s">
        <v>2249</v>
      </c>
    </row>
    <row r="499" spans="1:14" x14ac:dyDescent="0.2">
      <c r="A499" t="s">
        <v>233</v>
      </c>
      <c r="B499" t="s">
        <v>786</v>
      </c>
      <c r="C499">
        <v>1730</v>
      </c>
      <c r="D499" t="s">
        <v>76</v>
      </c>
      <c r="E499" s="1">
        <v>45409</v>
      </c>
      <c r="F499" s="6">
        <v>2</v>
      </c>
      <c r="G499" s="1" t="s">
        <v>52</v>
      </c>
      <c r="H499" t="s">
        <v>47</v>
      </c>
      <c r="I499" t="s">
        <v>2250</v>
      </c>
      <c r="J499" t="s">
        <v>1275</v>
      </c>
      <c r="K499">
        <v>3000</v>
      </c>
      <c r="L499">
        <v>1200</v>
      </c>
      <c r="M499">
        <f>Customers_Table[[#This Row],[Quantity Ordered]]*Customers_Table[[#This Row],[Sales Price (Per unit)]]</f>
        <v>2400</v>
      </c>
      <c r="N499" t="s">
        <v>2251</v>
      </c>
    </row>
    <row r="500" spans="1:14" x14ac:dyDescent="0.2">
      <c r="A500" t="s">
        <v>656</v>
      </c>
      <c r="B500" t="s">
        <v>787</v>
      </c>
      <c r="C500">
        <v>1731</v>
      </c>
      <c r="D500" t="s">
        <v>76</v>
      </c>
      <c r="E500" s="1">
        <v>45300</v>
      </c>
      <c r="F500" s="6">
        <v>1</v>
      </c>
      <c r="G500" t="s">
        <v>32</v>
      </c>
      <c r="H500" t="s">
        <v>64</v>
      </c>
      <c r="I500" t="s">
        <v>2252</v>
      </c>
      <c r="J500" t="s">
        <v>1262</v>
      </c>
      <c r="K500">
        <v>7250</v>
      </c>
      <c r="L500">
        <v>1200</v>
      </c>
      <c r="M500">
        <f>Customers_Table[[#This Row],[Quantity Ordered]]*Customers_Table[[#This Row],[Sales Price (Per unit)]]</f>
        <v>1200</v>
      </c>
      <c r="N500" t="s">
        <v>2253</v>
      </c>
    </row>
    <row r="501" spans="1:14" x14ac:dyDescent="0.2">
      <c r="A501" t="s">
        <v>364</v>
      </c>
      <c r="B501" t="s">
        <v>788</v>
      </c>
      <c r="C501">
        <v>1732</v>
      </c>
      <c r="D501" t="s">
        <v>37</v>
      </c>
      <c r="E501" s="1">
        <v>45576</v>
      </c>
      <c r="F501" s="6">
        <v>3</v>
      </c>
      <c r="G501" t="s">
        <v>71</v>
      </c>
      <c r="H501" t="s">
        <v>33</v>
      </c>
      <c r="I501" t="s">
        <v>2254</v>
      </c>
      <c r="J501" t="s">
        <v>1302</v>
      </c>
      <c r="K501">
        <v>6000</v>
      </c>
      <c r="L501">
        <v>800</v>
      </c>
      <c r="M501">
        <f>Customers_Table[[#This Row],[Quantity Ordered]]*Customers_Table[[#This Row],[Sales Price (Per unit)]]</f>
        <v>2400</v>
      </c>
      <c r="N501" t="s">
        <v>2255</v>
      </c>
    </row>
    <row r="502" spans="1:14" x14ac:dyDescent="0.2">
      <c r="A502" t="s">
        <v>789</v>
      </c>
      <c r="B502" t="s">
        <v>74</v>
      </c>
      <c r="C502">
        <v>1733</v>
      </c>
      <c r="D502" t="s">
        <v>92</v>
      </c>
      <c r="E502" s="1">
        <v>45368</v>
      </c>
      <c r="F502" s="6">
        <v>3</v>
      </c>
      <c r="G502" t="s">
        <v>32</v>
      </c>
      <c r="H502" t="s">
        <v>33</v>
      </c>
      <c r="I502" t="s">
        <v>2256</v>
      </c>
      <c r="J502" t="s">
        <v>1259</v>
      </c>
      <c r="K502">
        <v>6160</v>
      </c>
      <c r="L502">
        <v>600</v>
      </c>
      <c r="M502">
        <f>Customers_Table[[#This Row],[Quantity Ordered]]*Customers_Table[[#This Row],[Sales Price (Per unit)]]</f>
        <v>1800</v>
      </c>
      <c r="N502" t="s">
        <v>2257</v>
      </c>
    </row>
    <row r="503" spans="1:14" x14ac:dyDescent="0.2">
      <c r="A503" t="s">
        <v>790</v>
      </c>
      <c r="B503" t="s">
        <v>791</v>
      </c>
      <c r="C503">
        <v>1734</v>
      </c>
      <c r="D503" t="s">
        <v>37</v>
      </c>
      <c r="E503" s="1">
        <v>45633</v>
      </c>
      <c r="F503" s="6">
        <v>3</v>
      </c>
      <c r="G503" s="1" t="s">
        <v>38</v>
      </c>
      <c r="H503" t="s">
        <v>47</v>
      </c>
      <c r="I503" t="s">
        <v>2258</v>
      </c>
      <c r="J503" t="s">
        <v>1275</v>
      </c>
      <c r="K503">
        <v>3000</v>
      </c>
      <c r="L503">
        <v>800</v>
      </c>
      <c r="M503">
        <f>Customers_Table[[#This Row],[Quantity Ordered]]*Customers_Table[[#This Row],[Sales Price (Per unit)]]</f>
        <v>2400</v>
      </c>
      <c r="N503" t="s">
        <v>2259</v>
      </c>
    </row>
    <row r="504" spans="1:14" x14ac:dyDescent="0.2">
      <c r="A504" t="s">
        <v>279</v>
      </c>
      <c r="B504" t="s">
        <v>397</v>
      </c>
      <c r="C504">
        <v>1735</v>
      </c>
      <c r="D504" t="s">
        <v>42</v>
      </c>
      <c r="E504" s="1">
        <v>45548</v>
      </c>
      <c r="F504" s="6">
        <v>1</v>
      </c>
      <c r="G504" s="1" t="s">
        <v>52</v>
      </c>
      <c r="H504" t="s">
        <v>43</v>
      </c>
      <c r="I504" t="s">
        <v>2260</v>
      </c>
      <c r="J504" t="s">
        <v>1299</v>
      </c>
      <c r="K504">
        <v>2500</v>
      </c>
      <c r="L504">
        <v>300</v>
      </c>
      <c r="M504">
        <f>Customers_Table[[#This Row],[Quantity Ordered]]*Customers_Table[[#This Row],[Sales Price (Per unit)]]</f>
        <v>300</v>
      </c>
      <c r="N504" t="s">
        <v>2261</v>
      </c>
    </row>
    <row r="505" spans="1:14" x14ac:dyDescent="0.2">
      <c r="A505" t="s">
        <v>193</v>
      </c>
      <c r="B505" t="s">
        <v>792</v>
      </c>
      <c r="C505">
        <v>1736</v>
      </c>
      <c r="D505" t="s">
        <v>42</v>
      </c>
      <c r="E505" s="1">
        <v>45455</v>
      </c>
      <c r="F505" s="6">
        <v>3</v>
      </c>
      <c r="G505" t="s">
        <v>71</v>
      </c>
      <c r="H505" t="s">
        <v>43</v>
      </c>
      <c r="I505" t="s">
        <v>2262</v>
      </c>
      <c r="J505" t="s">
        <v>1299</v>
      </c>
      <c r="K505">
        <v>2500</v>
      </c>
      <c r="L505">
        <v>300</v>
      </c>
      <c r="M505">
        <f>Customers_Table[[#This Row],[Quantity Ordered]]*Customers_Table[[#This Row],[Sales Price (Per unit)]]</f>
        <v>900</v>
      </c>
      <c r="N505" t="s">
        <v>2263</v>
      </c>
    </row>
    <row r="506" spans="1:14" x14ac:dyDescent="0.2">
      <c r="A506" t="s">
        <v>168</v>
      </c>
      <c r="B506" t="s">
        <v>793</v>
      </c>
      <c r="C506">
        <v>1737</v>
      </c>
      <c r="D506" t="s">
        <v>42</v>
      </c>
      <c r="E506" s="1">
        <v>45654</v>
      </c>
      <c r="F506" s="6">
        <v>3</v>
      </c>
      <c r="G506" t="s">
        <v>32</v>
      </c>
      <c r="H506" t="s">
        <v>57</v>
      </c>
      <c r="I506" t="s">
        <v>2264</v>
      </c>
      <c r="J506" t="s">
        <v>1350</v>
      </c>
      <c r="K506">
        <v>5600</v>
      </c>
      <c r="L506">
        <v>300</v>
      </c>
      <c r="M506">
        <f>Customers_Table[[#This Row],[Quantity Ordered]]*Customers_Table[[#This Row],[Sales Price (Per unit)]]</f>
        <v>900</v>
      </c>
      <c r="N506" t="s">
        <v>2265</v>
      </c>
    </row>
    <row r="507" spans="1:14" x14ac:dyDescent="0.2">
      <c r="A507" t="s">
        <v>794</v>
      </c>
      <c r="B507" t="s">
        <v>451</v>
      </c>
      <c r="C507">
        <v>1738</v>
      </c>
      <c r="D507" t="s">
        <v>31</v>
      </c>
      <c r="E507" s="1">
        <v>45458</v>
      </c>
      <c r="F507" s="6">
        <v>3</v>
      </c>
      <c r="G507" s="1" t="s">
        <v>52</v>
      </c>
      <c r="H507" t="s">
        <v>53</v>
      </c>
      <c r="I507" t="s">
        <v>2266</v>
      </c>
      <c r="J507" t="s">
        <v>1305</v>
      </c>
      <c r="K507">
        <v>4000</v>
      </c>
      <c r="L507">
        <v>250</v>
      </c>
      <c r="M507">
        <f>Customers_Table[[#This Row],[Quantity Ordered]]*Customers_Table[[#This Row],[Sales Price (Per unit)]]</f>
        <v>750</v>
      </c>
      <c r="N507" t="s">
        <v>2267</v>
      </c>
    </row>
    <row r="508" spans="1:14" x14ac:dyDescent="0.2">
      <c r="A508" t="s">
        <v>795</v>
      </c>
      <c r="B508" t="s">
        <v>672</v>
      </c>
      <c r="C508">
        <v>1739</v>
      </c>
      <c r="D508" t="s">
        <v>31</v>
      </c>
      <c r="E508" s="1">
        <v>45505</v>
      </c>
      <c r="F508" s="6">
        <v>3</v>
      </c>
      <c r="G508" s="1" t="s">
        <v>52</v>
      </c>
      <c r="H508" t="s">
        <v>33</v>
      </c>
      <c r="I508" t="s">
        <v>2268</v>
      </c>
      <c r="J508" t="s">
        <v>1302</v>
      </c>
      <c r="K508">
        <v>6000</v>
      </c>
      <c r="L508">
        <v>250</v>
      </c>
      <c r="M508">
        <f>Customers_Table[[#This Row],[Quantity Ordered]]*Customers_Table[[#This Row],[Sales Price (Per unit)]]</f>
        <v>750</v>
      </c>
      <c r="N508" t="s">
        <v>2269</v>
      </c>
    </row>
    <row r="509" spans="1:14" x14ac:dyDescent="0.2">
      <c r="A509" t="s">
        <v>770</v>
      </c>
      <c r="B509" t="s">
        <v>796</v>
      </c>
      <c r="C509">
        <v>1740</v>
      </c>
      <c r="D509" t="s">
        <v>42</v>
      </c>
      <c r="E509" s="1">
        <v>45551</v>
      </c>
      <c r="F509" s="6">
        <v>3</v>
      </c>
      <c r="G509" s="1" t="s">
        <v>38</v>
      </c>
      <c r="H509" t="s">
        <v>33</v>
      </c>
      <c r="I509" t="s">
        <v>2270</v>
      </c>
      <c r="J509" t="s">
        <v>1238</v>
      </c>
      <c r="K509">
        <v>6725</v>
      </c>
      <c r="L509">
        <v>300</v>
      </c>
      <c r="M509">
        <f>Customers_Table[[#This Row],[Quantity Ordered]]*Customers_Table[[#This Row],[Sales Price (Per unit)]]</f>
        <v>900</v>
      </c>
      <c r="N509" t="s">
        <v>2271</v>
      </c>
    </row>
    <row r="510" spans="1:14" x14ac:dyDescent="0.2">
      <c r="A510" t="s">
        <v>696</v>
      </c>
      <c r="B510" t="s">
        <v>390</v>
      </c>
      <c r="C510">
        <v>1741</v>
      </c>
      <c r="D510" t="s">
        <v>51</v>
      </c>
      <c r="E510" s="1">
        <v>45476</v>
      </c>
      <c r="F510" s="6">
        <v>3</v>
      </c>
      <c r="G510" t="s">
        <v>32</v>
      </c>
      <c r="H510" t="s">
        <v>39</v>
      </c>
      <c r="I510" t="s">
        <v>2272</v>
      </c>
      <c r="J510" t="s">
        <v>1241</v>
      </c>
      <c r="K510">
        <v>2600</v>
      </c>
      <c r="L510">
        <v>250</v>
      </c>
      <c r="M510">
        <f>Customers_Table[[#This Row],[Quantity Ordered]]*Customers_Table[[#This Row],[Sales Price (Per unit)]]</f>
        <v>750</v>
      </c>
      <c r="N510" t="s">
        <v>2273</v>
      </c>
    </row>
    <row r="511" spans="1:14" x14ac:dyDescent="0.2">
      <c r="A511" t="s">
        <v>96</v>
      </c>
      <c r="B511" t="s">
        <v>797</v>
      </c>
      <c r="C511">
        <v>1742</v>
      </c>
      <c r="D511" t="s">
        <v>92</v>
      </c>
      <c r="E511" s="1">
        <v>45642</v>
      </c>
      <c r="F511" s="6">
        <v>2</v>
      </c>
      <c r="G511" s="1" t="s">
        <v>52</v>
      </c>
      <c r="H511" t="s">
        <v>39</v>
      </c>
      <c r="I511" t="s">
        <v>2274</v>
      </c>
      <c r="J511" t="s">
        <v>1241</v>
      </c>
      <c r="K511">
        <v>2600</v>
      </c>
      <c r="L511">
        <v>600</v>
      </c>
      <c r="M511">
        <f>Customers_Table[[#This Row],[Quantity Ordered]]*Customers_Table[[#This Row],[Sales Price (Per unit)]]</f>
        <v>1200</v>
      </c>
      <c r="N511" t="s">
        <v>2275</v>
      </c>
    </row>
    <row r="512" spans="1:14" x14ac:dyDescent="0.2">
      <c r="A512" t="s">
        <v>193</v>
      </c>
      <c r="B512" t="s">
        <v>798</v>
      </c>
      <c r="C512">
        <v>1743</v>
      </c>
      <c r="D512" t="s">
        <v>31</v>
      </c>
      <c r="E512" s="1">
        <v>45311</v>
      </c>
      <c r="F512" s="6">
        <v>2</v>
      </c>
      <c r="G512" s="1" t="s">
        <v>52</v>
      </c>
      <c r="H512" t="s">
        <v>57</v>
      </c>
      <c r="I512" t="s">
        <v>2276</v>
      </c>
      <c r="J512" t="s">
        <v>1253</v>
      </c>
      <c r="K512">
        <v>5290</v>
      </c>
      <c r="L512">
        <v>250</v>
      </c>
      <c r="M512">
        <f>Customers_Table[[#This Row],[Quantity Ordered]]*Customers_Table[[#This Row],[Sales Price (Per unit)]]</f>
        <v>500</v>
      </c>
      <c r="N512" t="s">
        <v>2277</v>
      </c>
    </row>
    <row r="513" spans="1:14" x14ac:dyDescent="0.2">
      <c r="A513" t="s">
        <v>799</v>
      </c>
      <c r="B513" t="s">
        <v>800</v>
      </c>
      <c r="C513">
        <v>1744</v>
      </c>
      <c r="D513" t="s">
        <v>31</v>
      </c>
      <c r="E513" s="1">
        <v>45452</v>
      </c>
      <c r="F513" s="6">
        <v>2</v>
      </c>
      <c r="G513" t="s">
        <v>32</v>
      </c>
      <c r="H513" t="s">
        <v>39</v>
      </c>
      <c r="I513" t="s">
        <v>2278</v>
      </c>
      <c r="J513" t="s">
        <v>1241</v>
      </c>
      <c r="K513">
        <v>2600</v>
      </c>
      <c r="L513">
        <v>250</v>
      </c>
      <c r="M513">
        <f>Customers_Table[[#This Row],[Quantity Ordered]]*Customers_Table[[#This Row],[Sales Price (Per unit)]]</f>
        <v>500</v>
      </c>
      <c r="N513" t="s">
        <v>2279</v>
      </c>
    </row>
    <row r="514" spans="1:14" x14ac:dyDescent="0.2">
      <c r="A514" t="s">
        <v>801</v>
      </c>
      <c r="B514" t="s">
        <v>802</v>
      </c>
      <c r="C514">
        <v>1745</v>
      </c>
      <c r="D514" t="s">
        <v>42</v>
      </c>
      <c r="E514" s="1">
        <v>45379</v>
      </c>
      <c r="F514" s="6">
        <v>3</v>
      </c>
      <c r="G514" s="1" t="s">
        <v>52</v>
      </c>
      <c r="H514" t="s">
        <v>33</v>
      </c>
      <c r="I514" t="s">
        <v>2280</v>
      </c>
      <c r="J514" t="s">
        <v>1302</v>
      </c>
      <c r="K514">
        <v>6000</v>
      </c>
      <c r="L514">
        <v>300</v>
      </c>
      <c r="M514">
        <f>Customers_Table[[#This Row],[Quantity Ordered]]*Customers_Table[[#This Row],[Sales Price (Per unit)]]</f>
        <v>900</v>
      </c>
      <c r="N514" t="s">
        <v>2281</v>
      </c>
    </row>
    <row r="515" spans="1:14" x14ac:dyDescent="0.2">
      <c r="A515" t="s">
        <v>193</v>
      </c>
      <c r="B515" t="s">
        <v>803</v>
      </c>
      <c r="C515">
        <v>1746</v>
      </c>
      <c r="D515" t="s">
        <v>42</v>
      </c>
      <c r="E515" s="1">
        <v>45586</v>
      </c>
      <c r="F515" s="6">
        <v>2</v>
      </c>
      <c r="G515" t="s">
        <v>32</v>
      </c>
      <c r="H515" t="s">
        <v>43</v>
      </c>
      <c r="I515" t="s">
        <v>2282</v>
      </c>
      <c r="J515" t="s">
        <v>1244</v>
      </c>
      <c r="K515">
        <v>2300</v>
      </c>
      <c r="L515">
        <v>300</v>
      </c>
      <c r="M515">
        <f>Customers_Table[[#This Row],[Quantity Ordered]]*Customers_Table[[#This Row],[Sales Price (Per unit)]]</f>
        <v>600</v>
      </c>
      <c r="N515" t="s">
        <v>2283</v>
      </c>
    </row>
    <row r="516" spans="1:14" x14ac:dyDescent="0.2">
      <c r="A516" t="s">
        <v>804</v>
      </c>
      <c r="B516" t="s">
        <v>312</v>
      </c>
      <c r="C516">
        <v>1747</v>
      </c>
      <c r="D516" t="s">
        <v>31</v>
      </c>
      <c r="E516" s="1">
        <v>45576</v>
      </c>
      <c r="F516" s="6">
        <v>3</v>
      </c>
      <c r="G516" s="1" t="s">
        <v>52</v>
      </c>
      <c r="H516" t="s">
        <v>81</v>
      </c>
      <c r="I516" t="s">
        <v>2284</v>
      </c>
      <c r="J516" t="s">
        <v>1280</v>
      </c>
      <c r="K516">
        <v>800</v>
      </c>
      <c r="L516">
        <v>250</v>
      </c>
      <c r="M516">
        <f>Customers_Table[[#This Row],[Quantity Ordered]]*Customers_Table[[#This Row],[Sales Price (Per unit)]]</f>
        <v>750</v>
      </c>
      <c r="N516" t="s">
        <v>2285</v>
      </c>
    </row>
    <row r="517" spans="1:14" x14ac:dyDescent="0.2">
      <c r="A517" t="s">
        <v>535</v>
      </c>
      <c r="B517" t="s">
        <v>231</v>
      </c>
      <c r="C517">
        <v>1748</v>
      </c>
      <c r="D517" t="s">
        <v>31</v>
      </c>
      <c r="E517" s="1">
        <v>45382</v>
      </c>
      <c r="F517" s="6">
        <v>2</v>
      </c>
      <c r="G517" s="1" t="s">
        <v>38</v>
      </c>
      <c r="H517" t="s">
        <v>57</v>
      </c>
      <c r="I517" t="s">
        <v>2286</v>
      </c>
      <c r="J517" t="s">
        <v>1350</v>
      </c>
      <c r="K517">
        <v>5600</v>
      </c>
      <c r="L517">
        <v>250</v>
      </c>
      <c r="M517">
        <f>Customers_Table[[#This Row],[Quantity Ordered]]*Customers_Table[[#This Row],[Sales Price (Per unit)]]</f>
        <v>500</v>
      </c>
      <c r="N517" t="s">
        <v>2287</v>
      </c>
    </row>
    <row r="518" spans="1:14" x14ac:dyDescent="0.2">
      <c r="A518" t="s">
        <v>805</v>
      </c>
      <c r="B518" t="s">
        <v>616</v>
      </c>
      <c r="C518">
        <v>1749</v>
      </c>
      <c r="D518" t="s">
        <v>92</v>
      </c>
      <c r="E518" s="1">
        <v>45491</v>
      </c>
      <c r="F518" s="6">
        <v>1</v>
      </c>
      <c r="G518" s="1" t="s">
        <v>52</v>
      </c>
      <c r="H518" t="s">
        <v>53</v>
      </c>
      <c r="I518" t="s">
        <v>2288</v>
      </c>
      <c r="J518" t="s">
        <v>1268</v>
      </c>
      <c r="K518">
        <v>4870</v>
      </c>
      <c r="L518">
        <v>600</v>
      </c>
      <c r="M518">
        <f>Customers_Table[[#This Row],[Quantity Ordered]]*Customers_Table[[#This Row],[Sales Price (Per unit)]]</f>
        <v>600</v>
      </c>
      <c r="N518" t="s">
        <v>2289</v>
      </c>
    </row>
    <row r="519" spans="1:14" x14ac:dyDescent="0.2">
      <c r="A519" t="s">
        <v>139</v>
      </c>
      <c r="B519" t="s">
        <v>806</v>
      </c>
      <c r="C519">
        <v>1750</v>
      </c>
      <c r="D519" t="s">
        <v>51</v>
      </c>
      <c r="E519" s="1">
        <v>45561</v>
      </c>
      <c r="F519" s="6">
        <v>1</v>
      </c>
      <c r="G519" t="s">
        <v>32</v>
      </c>
      <c r="H519" t="s">
        <v>43</v>
      </c>
      <c r="I519" t="s">
        <v>2290</v>
      </c>
      <c r="J519" t="s">
        <v>865</v>
      </c>
      <c r="K519">
        <v>2000</v>
      </c>
      <c r="L519">
        <v>250</v>
      </c>
      <c r="M519">
        <f>Customers_Table[[#This Row],[Quantity Ordered]]*Customers_Table[[#This Row],[Sales Price (Per unit)]]</f>
        <v>250</v>
      </c>
      <c r="N519" t="s">
        <v>2291</v>
      </c>
    </row>
    <row r="520" spans="1:14" x14ac:dyDescent="0.2">
      <c r="A520" t="s">
        <v>506</v>
      </c>
      <c r="B520" t="s">
        <v>380</v>
      </c>
      <c r="C520">
        <v>1751</v>
      </c>
      <c r="D520" t="s">
        <v>37</v>
      </c>
      <c r="E520" s="1">
        <v>45562</v>
      </c>
      <c r="F520" s="6">
        <v>2</v>
      </c>
      <c r="G520" s="1" t="s">
        <v>52</v>
      </c>
      <c r="H520" t="s">
        <v>81</v>
      </c>
      <c r="I520" t="s">
        <v>2292</v>
      </c>
      <c r="J520" t="s">
        <v>1280</v>
      </c>
      <c r="K520">
        <v>800</v>
      </c>
      <c r="L520">
        <v>800</v>
      </c>
      <c r="M520">
        <f>Customers_Table[[#This Row],[Quantity Ordered]]*Customers_Table[[#This Row],[Sales Price (Per unit)]]</f>
        <v>1600</v>
      </c>
      <c r="N520" t="s">
        <v>2293</v>
      </c>
    </row>
    <row r="521" spans="1:14" x14ac:dyDescent="0.2">
      <c r="A521" t="s">
        <v>708</v>
      </c>
      <c r="B521" t="s">
        <v>807</v>
      </c>
      <c r="C521">
        <v>1752</v>
      </c>
      <c r="D521" t="s">
        <v>76</v>
      </c>
      <c r="E521" s="1">
        <v>45434</v>
      </c>
      <c r="F521" s="6">
        <v>2</v>
      </c>
      <c r="G521" s="1" t="s">
        <v>52</v>
      </c>
      <c r="H521" t="s">
        <v>81</v>
      </c>
      <c r="I521" t="s">
        <v>2294</v>
      </c>
      <c r="J521" t="s">
        <v>1280</v>
      </c>
      <c r="K521">
        <v>800</v>
      </c>
      <c r="L521">
        <v>1200</v>
      </c>
      <c r="M521">
        <f>Customers_Table[[#This Row],[Quantity Ordered]]*Customers_Table[[#This Row],[Sales Price (Per unit)]]</f>
        <v>2400</v>
      </c>
      <c r="N521" t="s">
        <v>2295</v>
      </c>
    </row>
    <row r="522" spans="1:14" x14ac:dyDescent="0.2">
      <c r="A522" t="s">
        <v>808</v>
      </c>
      <c r="B522" t="s">
        <v>94</v>
      </c>
      <c r="C522">
        <v>1753</v>
      </c>
      <c r="D522" t="s">
        <v>76</v>
      </c>
      <c r="E522" s="1">
        <v>45574</v>
      </c>
      <c r="F522" s="6">
        <v>1</v>
      </c>
      <c r="G522" s="1" t="s">
        <v>52</v>
      </c>
      <c r="H522" t="s">
        <v>43</v>
      </c>
      <c r="I522" t="s">
        <v>2296</v>
      </c>
      <c r="J522" t="s">
        <v>865</v>
      </c>
      <c r="K522">
        <v>2000</v>
      </c>
      <c r="L522">
        <v>1200</v>
      </c>
      <c r="M522">
        <f>Customers_Table[[#This Row],[Quantity Ordered]]*Customers_Table[[#This Row],[Sales Price (Per unit)]]</f>
        <v>1200</v>
      </c>
      <c r="N522" t="s">
        <v>2297</v>
      </c>
    </row>
    <row r="523" spans="1:14" x14ac:dyDescent="0.2">
      <c r="A523" t="s">
        <v>559</v>
      </c>
      <c r="B523" t="s">
        <v>809</v>
      </c>
      <c r="C523">
        <v>1754</v>
      </c>
      <c r="D523" t="s">
        <v>37</v>
      </c>
      <c r="E523" s="1">
        <v>45564</v>
      </c>
      <c r="F523" s="6">
        <v>1</v>
      </c>
      <c r="G523" s="1" t="s">
        <v>38</v>
      </c>
      <c r="H523" t="s">
        <v>64</v>
      </c>
      <c r="I523" t="s">
        <v>2298</v>
      </c>
      <c r="J523" t="s">
        <v>1262</v>
      </c>
      <c r="K523">
        <v>7250</v>
      </c>
      <c r="L523">
        <v>800</v>
      </c>
      <c r="M523">
        <f>Customers_Table[[#This Row],[Quantity Ordered]]*Customers_Table[[#This Row],[Sales Price (Per unit)]]</f>
        <v>800</v>
      </c>
      <c r="N523" t="s">
        <v>2299</v>
      </c>
    </row>
    <row r="524" spans="1:14" x14ac:dyDescent="0.2">
      <c r="A524" t="s">
        <v>273</v>
      </c>
      <c r="B524" t="s">
        <v>810</v>
      </c>
      <c r="C524">
        <v>1755</v>
      </c>
      <c r="D524" t="s">
        <v>76</v>
      </c>
      <c r="E524" s="1">
        <v>45650</v>
      </c>
      <c r="F524" s="6">
        <v>3</v>
      </c>
      <c r="G524" s="1" t="s">
        <v>52</v>
      </c>
      <c r="H524" t="s">
        <v>33</v>
      </c>
      <c r="I524" t="s">
        <v>2300</v>
      </c>
      <c r="J524" t="s">
        <v>1238</v>
      </c>
      <c r="K524">
        <v>6725</v>
      </c>
      <c r="L524">
        <v>1200</v>
      </c>
      <c r="M524">
        <f>Customers_Table[[#This Row],[Quantity Ordered]]*Customers_Table[[#This Row],[Sales Price (Per unit)]]</f>
        <v>3600</v>
      </c>
      <c r="N524" t="s">
        <v>2301</v>
      </c>
    </row>
    <row r="525" spans="1:14" x14ac:dyDescent="0.2">
      <c r="A525" t="s">
        <v>502</v>
      </c>
      <c r="B525" t="s">
        <v>811</v>
      </c>
      <c r="C525">
        <v>1756</v>
      </c>
      <c r="D525" t="s">
        <v>37</v>
      </c>
      <c r="E525" s="1">
        <v>45438</v>
      </c>
      <c r="F525" s="6">
        <v>2</v>
      </c>
      <c r="G525" s="1" t="s">
        <v>38</v>
      </c>
      <c r="H525" t="s">
        <v>64</v>
      </c>
      <c r="I525" t="s">
        <v>2302</v>
      </c>
      <c r="J525" t="s">
        <v>1265</v>
      </c>
      <c r="K525">
        <v>7000</v>
      </c>
      <c r="L525">
        <v>800</v>
      </c>
      <c r="M525">
        <f>Customers_Table[[#This Row],[Quantity Ordered]]*Customers_Table[[#This Row],[Sales Price (Per unit)]]</f>
        <v>1600</v>
      </c>
      <c r="N525" t="s">
        <v>2303</v>
      </c>
    </row>
    <row r="526" spans="1:14" x14ac:dyDescent="0.2">
      <c r="A526" t="s">
        <v>812</v>
      </c>
      <c r="B526" t="s">
        <v>757</v>
      </c>
      <c r="C526">
        <v>1757</v>
      </c>
      <c r="D526" t="s">
        <v>42</v>
      </c>
      <c r="E526" s="1">
        <v>45611</v>
      </c>
      <c r="F526" s="6">
        <v>2</v>
      </c>
      <c r="G526" t="s">
        <v>32</v>
      </c>
      <c r="H526" t="s">
        <v>33</v>
      </c>
      <c r="I526" t="s">
        <v>2304</v>
      </c>
      <c r="J526" t="s">
        <v>1238</v>
      </c>
      <c r="K526">
        <v>6725</v>
      </c>
      <c r="L526">
        <v>300</v>
      </c>
      <c r="M526">
        <f>Customers_Table[[#This Row],[Quantity Ordered]]*Customers_Table[[#This Row],[Sales Price (Per unit)]]</f>
        <v>600</v>
      </c>
      <c r="N526" t="s">
        <v>2305</v>
      </c>
    </row>
    <row r="527" spans="1:14" x14ac:dyDescent="0.2">
      <c r="A527" t="s">
        <v>813</v>
      </c>
      <c r="B527" t="s">
        <v>814</v>
      </c>
      <c r="C527">
        <v>1758</v>
      </c>
      <c r="D527" t="s">
        <v>37</v>
      </c>
      <c r="E527" s="1">
        <v>45525</v>
      </c>
      <c r="F527" s="6">
        <v>2</v>
      </c>
      <c r="G527" s="1" t="s">
        <v>52</v>
      </c>
      <c r="H527" t="s">
        <v>33</v>
      </c>
      <c r="I527" t="s">
        <v>2306</v>
      </c>
      <c r="J527" t="s">
        <v>1302</v>
      </c>
      <c r="K527">
        <v>6000</v>
      </c>
      <c r="L527">
        <v>800</v>
      </c>
      <c r="M527">
        <f>Customers_Table[[#This Row],[Quantity Ordered]]*Customers_Table[[#This Row],[Sales Price (Per unit)]]</f>
        <v>1600</v>
      </c>
      <c r="N527" t="s">
        <v>2307</v>
      </c>
    </row>
    <row r="528" spans="1:14" x14ac:dyDescent="0.2">
      <c r="A528" t="s">
        <v>815</v>
      </c>
      <c r="B528" t="s">
        <v>54</v>
      </c>
      <c r="C528">
        <v>1759</v>
      </c>
      <c r="D528" t="s">
        <v>51</v>
      </c>
      <c r="E528" s="1">
        <v>45531</v>
      </c>
      <c r="F528" s="6">
        <v>3</v>
      </c>
      <c r="G528" t="s">
        <v>71</v>
      </c>
      <c r="H528" t="s">
        <v>53</v>
      </c>
      <c r="I528" t="s">
        <v>2308</v>
      </c>
      <c r="J528" t="s">
        <v>1305</v>
      </c>
      <c r="K528">
        <v>4000</v>
      </c>
      <c r="L528">
        <v>250</v>
      </c>
      <c r="M528">
        <f>Customers_Table[[#This Row],[Quantity Ordered]]*Customers_Table[[#This Row],[Sales Price (Per unit)]]</f>
        <v>750</v>
      </c>
      <c r="N528" t="s">
        <v>2309</v>
      </c>
    </row>
    <row r="529" spans="1:14" x14ac:dyDescent="0.2">
      <c r="A529" t="s">
        <v>816</v>
      </c>
      <c r="B529" t="s">
        <v>340</v>
      </c>
      <c r="C529">
        <v>1760</v>
      </c>
      <c r="D529" t="s">
        <v>51</v>
      </c>
      <c r="E529" s="1">
        <v>45592</v>
      </c>
      <c r="F529" s="6">
        <v>2</v>
      </c>
      <c r="G529" t="s">
        <v>71</v>
      </c>
      <c r="H529" t="s">
        <v>81</v>
      </c>
      <c r="I529" t="s">
        <v>2310</v>
      </c>
      <c r="J529" t="s">
        <v>1361</v>
      </c>
      <c r="K529">
        <v>870</v>
      </c>
      <c r="L529">
        <v>250</v>
      </c>
      <c r="M529">
        <f>Customers_Table[[#This Row],[Quantity Ordered]]*Customers_Table[[#This Row],[Sales Price (Per unit)]]</f>
        <v>500</v>
      </c>
      <c r="N529" t="s">
        <v>2311</v>
      </c>
    </row>
    <row r="530" spans="1:14" x14ac:dyDescent="0.2">
      <c r="A530" t="s">
        <v>302</v>
      </c>
      <c r="B530" t="s">
        <v>718</v>
      </c>
      <c r="C530">
        <v>1761</v>
      </c>
      <c r="D530" t="s">
        <v>31</v>
      </c>
      <c r="E530" s="1">
        <v>45297</v>
      </c>
      <c r="F530" s="6">
        <v>3</v>
      </c>
      <c r="G530" t="s">
        <v>32</v>
      </c>
      <c r="H530" t="s">
        <v>47</v>
      </c>
      <c r="I530" t="s">
        <v>2312</v>
      </c>
      <c r="J530" t="s">
        <v>1256</v>
      </c>
      <c r="K530">
        <v>3220</v>
      </c>
      <c r="L530">
        <v>250</v>
      </c>
      <c r="M530">
        <f>Customers_Table[[#This Row],[Quantity Ordered]]*Customers_Table[[#This Row],[Sales Price (Per unit)]]</f>
        <v>750</v>
      </c>
      <c r="N530" t="s">
        <v>2313</v>
      </c>
    </row>
    <row r="531" spans="1:14" x14ac:dyDescent="0.2">
      <c r="A531" t="s">
        <v>171</v>
      </c>
      <c r="B531" t="s">
        <v>817</v>
      </c>
      <c r="C531">
        <v>1762</v>
      </c>
      <c r="D531" t="s">
        <v>76</v>
      </c>
      <c r="E531" s="1">
        <v>45295</v>
      </c>
      <c r="F531" s="6">
        <v>3</v>
      </c>
      <c r="G531" t="s">
        <v>32</v>
      </c>
      <c r="H531" t="s">
        <v>53</v>
      </c>
      <c r="I531" t="s">
        <v>2314</v>
      </c>
      <c r="J531" t="s">
        <v>1250</v>
      </c>
      <c r="K531">
        <v>4217</v>
      </c>
      <c r="L531">
        <v>1200</v>
      </c>
      <c r="M531">
        <f>Customers_Table[[#This Row],[Quantity Ordered]]*Customers_Table[[#This Row],[Sales Price (Per unit)]]</f>
        <v>3600</v>
      </c>
      <c r="N531" t="s">
        <v>2315</v>
      </c>
    </row>
    <row r="532" spans="1:14" x14ac:dyDescent="0.2">
      <c r="A532" t="s">
        <v>564</v>
      </c>
      <c r="B532" t="s">
        <v>729</v>
      </c>
      <c r="C532">
        <v>1763</v>
      </c>
      <c r="D532" t="s">
        <v>76</v>
      </c>
      <c r="E532" s="1">
        <v>45637</v>
      </c>
      <c r="F532" s="6">
        <v>3</v>
      </c>
      <c r="G532" s="1" t="s">
        <v>52</v>
      </c>
      <c r="H532" t="s">
        <v>64</v>
      </c>
      <c r="I532" t="s">
        <v>2316</v>
      </c>
      <c r="J532" t="s">
        <v>1400</v>
      </c>
      <c r="K532">
        <v>7310</v>
      </c>
      <c r="L532">
        <v>1200</v>
      </c>
      <c r="M532">
        <f>Customers_Table[[#This Row],[Quantity Ordered]]*Customers_Table[[#This Row],[Sales Price (Per unit)]]</f>
        <v>3600</v>
      </c>
      <c r="N532" t="s">
        <v>2317</v>
      </c>
    </row>
    <row r="533" spans="1:14" x14ac:dyDescent="0.2">
      <c r="A533" t="s">
        <v>665</v>
      </c>
      <c r="B533" t="s">
        <v>715</v>
      </c>
      <c r="C533">
        <v>1764</v>
      </c>
      <c r="D533" t="s">
        <v>42</v>
      </c>
      <c r="E533" s="1">
        <v>45385</v>
      </c>
      <c r="F533" s="6">
        <v>1</v>
      </c>
      <c r="G533" s="1" t="s">
        <v>52</v>
      </c>
      <c r="H533" t="s">
        <v>53</v>
      </c>
      <c r="I533" t="s">
        <v>2318</v>
      </c>
      <c r="J533" t="s">
        <v>1305</v>
      </c>
      <c r="K533">
        <v>4000</v>
      </c>
      <c r="L533">
        <v>300</v>
      </c>
      <c r="M533">
        <f>Customers_Table[[#This Row],[Quantity Ordered]]*Customers_Table[[#This Row],[Sales Price (Per unit)]]</f>
        <v>300</v>
      </c>
      <c r="N533" t="s">
        <v>2319</v>
      </c>
    </row>
    <row r="534" spans="1:14" x14ac:dyDescent="0.2">
      <c r="A534" t="s">
        <v>818</v>
      </c>
      <c r="B534" t="s">
        <v>203</v>
      </c>
      <c r="C534">
        <v>1765</v>
      </c>
      <c r="D534" t="s">
        <v>42</v>
      </c>
      <c r="E534" s="1">
        <v>45528</v>
      </c>
      <c r="F534" s="6">
        <v>1</v>
      </c>
      <c r="G534" s="1" t="s">
        <v>52</v>
      </c>
      <c r="H534" t="s">
        <v>53</v>
      </c>
      <c r="I534" t="s">
        <v>2320</v>
      </c>
      <c r="J534" t="s">
        <v>1268</v>
      </c>
      <c r="K534">
        <v>4870</v>
      </c>
      <c r="L534">
        <v>300</v>
      </c>
      <c r="M534">
        <f>Customers_Table[[#This Row],[Quantity Ordered]]*Customers_Table[[#This Row],[Sales Price (Per unit)]]</f>
        <v>300</v>
      </c>
      <c r="N534" t="s">
        <v>2321</v>
      </c>
    </row>
    <row r="535" spans="1:14" x14ac:dyDescent="0.2">
      <c r="A535" t="s">
        <v>819</v>
      </c>
      <c r="B535" t="s">
        <v>820</v>
      </c>
      <c r="C535">
        <v>1766</v>
      </c>
      <c r="D535" t="s">
        <v>31</v>
      </c>
      <c r="E535" s="1">
        <v>45294</v>
      </c>
      <c r="F535" s="6">
        <v>3</v>
      </c>
      <c r="G535" s="1" t="s">
        <v>52</v>
      </c>
      <c r="H535" t="s">
        <v>39</v>
      </c>
      <c r="I535" t="s">
        <v>2322</v>
      </c>
      <c r="J535" t="s">
        <v>1241</v>
      </c>
      <c r="K535">
        <v>2600</v>
      </c>
      <c r="L535">
        <v>250</v>
      </c>
      <c r="M535">
        <f>Customers_Table[[#This Row],[Quantity Ordered]]*Customers_Table[[#This Row],[Sales Price (Per unit)]]</f>
        <v>750</v>
      </c>
      <c r="N535" t="s">
        <v>2323</v>
      </c>
    </row>
    <row r="536" spans="1:14" x14ac:dyDescent="0.2">
      <c r="A536" t="s">
        <v>467</v>
      </c>
      <c r="B536" t="s">
        <v>821</v>
      </c>
      <c r="C536">
        <v>1767</v>
      </c>
      <c r="D536" t="s">
        <v>76</v>
      </c>
      <c r="E536" s="1">
        <v>45324</v>
      </c>
      <c r="F536" s="6">
        <v>2</v>
      </c>
      <c r="G536" s="1" t="s">
        <v>52</v>
      </c>
      <c r="H536" t="s">
        <v>81</v>
      </c>
      <c r="I536" t="s">
        <v>2324</v>
      </c>
      <c r="J536" t="s">
        <v>1280</v>
      </c>
      <c r="K536">
        <v>800</v>
      </c>
      <c r="L536">
        <v>1200</v>
      </c>
      <c r="M536">
        <f>Customers_Table[[#This Row],[Quantity Ordered]]*Customers_Table[[#This Row],[Sales Price (Per unit)]]</f>
        <v>2400</v>
      </c>
      <c r="N536" t="s">
        <v>2325</v>
      </c>
    </row>
    <row r="537" spans="1:14" x14ac:dyDescent="0.2">
      <c r="A537" t="s">
        <v>241</v>
      </c>
      <c r="B537" t="s">
        <v>768</v>
      </c>
      <c r="C537">
        <v>1768</v>
      </c>
      <c r="D537" t="s">
        <v>76</v>
      </c>
      <c r="E537" s="1">
        <v>45328</v>
      </c>
      <c r="F537" s="6">
        <v>2</v>
      </c>
      <c r="G537" t="s">
        <v>32</v>
      </c>
      <c r="H537" t="s">
        <v>33</v>
      </c>
      <c r="I537" t="s">
        <v>2326</v>
      </c>
      <c r="J537" t="s">
        <v>1259</v>
      </c>
      <c r="K537">
        <v>6160</v>
      </c>
      <c r="L537">
        <v>1200</v>
      </c>
      <c r="M537">
        <f>Customers_Table[[#This Row],[Quantity Ordered]]*Customers_Table[[#This Row],[Sales Price (Per unit)]]</f>
        <v>2400</v>
      </c>
      <c r="N537" t="s">
        <v>2327</v>
      </c>
    </row>
    <row r="538" spans="1:14" x14ac:dyDescent="0.2">
      <c r="A538" t="s">
        <v>822</v>
      </c>
      <c r="B538" t="s">
        <v>823</v>
      </c>
      <c r="C538">
        <v>1769</v>
      </c>
      <c r="D538" t="s">
        <v>92</v>
      </c>
      <c r="E538" s="1">
        <v>45365</v>
      </c>
      <c r="F538" s="6">
        <v>3</v>
      </c>
      <c r="G538" t="s">
        <v>32</v>
      </c>
      <c r="H538" t="s">
        <v>81</v>
      </c>
      <c r="I538" t="s">
        <v>2328</v>
      </c>
      <c r="J538" t="s">
        <v>1361</v>
      </c>
      <c r="K538">
        <v>870</v>
      </c>
      <c r="L538">
        <v>600</v>
      </c>
      <c r="M538">
        <f>Customers_Table[[#This Row],[Quantity Ordered]]*Customers_Table[[#This Row],[Sales Price (Per unit)]]</f>
        <v>1800</v>
      </c>
      <c r="N538" t="s">
        <v>2329</v>
      </c>
    </row>
    <row r="539" spans="1:14" x14ac:dyDescent="0.2">
      <c r="A539" t="s">
        <v>824</v>
      </c>
      <c r="B539" t="s">
        <v>825</v>
      </c>
      <c r="C539">
        <v>1770</v>
      </c>
      <c r="D539" t="s">
        <v>92</v>
      </c>
      <c r="E539" s="1">
        <v>45617</v>
      </c>
      <c r="F539" s="6">
        <v>2</v>
      </c>
      <c r="G539" s="1" t="s">
        <v>52</v>
      </c>
      <c r="H539" t="s">
        <v>39</v>
      </c>
      <c r="I539" t="s">
        <v>2330</v>
      </c>
      <c r="J539" t="s">
        <v>1241</v>
      </c>
      <c r="K539">
        <v>2600</v>
      </c>
      <c r="L539">
        <v>600</v>
      </c>
      <c r="M539">
        <f>Customers_Table[[#This Row],[Quantity Ordered]]*Customers_Table[[#This Row],[Sales Price (Per unit)]]</f>
        <v>1200</v>
      </c>
      <c r="N539" t="s">
        <v>2331</v>
      </c>
    </row>
    <row r="540" spans="1:14" x14ac:dyDescent="0.2">
      <c r="A540" t="s">
        <v>508</v>
      </c>
      <c r="B540" t="s">
        <v>826</v>
      </c>
      <c r="C540">
        <v>1771</v>
      </c>
      <c r="D540" t="s">
        <v>37</v>
      </c>
      <c r="E540" s="1">
        <v>45297</v>
      </c>
      <c r="F540" s="6">
        <v>1</v>
      </c>
      <c r="G540" s="1" t="s">
        <v>52</v>
      </c>
      <c r="H540" t="s">
        <v>47</v>
      </c>
      <c r="I540" t="s">
        <v>2332</v>
      </c>
      <c r="J540" t="s">
        <v>1256</v>
      </c>
      <c r="K540">
        <v>3220</v>
      </c>
      <c r="L540">
        <v>800</v>
      </c>
      <c r="M540">
        <f>Customers_Table[[#This Row],[Quantity Ordered]]*Customers_Table[[#This Row],[Sales Price (Per unit)]]</f>
        <v>800</v>
      </c>
      <c r="N540" t="s">
        <v>2333</v>
      </c>
    </row>
    <row r="541" spans="1:14" x14ac:dyDescent="0.2">
      <c r="A541" t="s">
        <v>97</v>
      </c>
      <c r="B541" t="s">
        <v>128</v>
      </c>
      <c r="C541">
        <v>1772</v>
      </c>
      <c r="D541" t="s">
        <v>31</v>
      </c>
      <c r="E541" s="1">
        <v>45469</v>
      </c>
      <c r="F541" s="6">
        <v>2</v>
      </c>
      <c r="G541" s="1" t="s">
        <v>52</v>
      </c>
      <c r="H541" t="s">
        <v>81</v>
      </c>
      <c r="I541" t="s">
        <v>2334</v>
      </c>
      <c r="J541" t="s">
        <v>1280</v>
      </c>
      <c r="K541">
        <v>800</v>
      </c>
      <c r="L541">
        <v>250</v>
      </c>
      <c r="M541">
        <f>Customers_Table[[#This Row],[Quantity Ordered]]*Customers_Table[[#This Row],[Sales Price (Per unit)]]</f>
        <v>500</v>
      </c>
      <c r="N541" t="s">
        <v>2335</v>
      </c>
    </row>
    <row r="542" spans="1:14" x14ac:dyDescent="0.2">
      <c r="A542" t="s">
        <v>446</v>
      </c>
      <c r="B542" t="s">
        <v>659</v>
      </c>
      <c r="C542">
        <v>1773</v>
      </c>
      <c r="D542" t="s">
        <v>42</v>
      </c>
      <c r="E542" s="1">
        <v>45325</v>
      </c>
      <c r="F542" s="6">
        <v>2</v>
      </c>
      <c r="G542" t="s">
        <v>71</v>
      </c>
      <c r="H542" t="s">
        <v>43</v>
      </c>
      <c r="I542" t="s">
        <v>2336</v>
      </c>
      <c r="J542" t="s">
        <v>1299</v>
      </c>
      <c r="K542">
        <v>2500</v>
      </c>
      <c r="L542">
        <v>300</v>
      </c>
      <c r="M542">
        <f>Customers_Table[[#This Row],[Quantity Ordered]]*Customers_Table[[#This Row],[Sales Price (Per unit)]]</f>
        <v>600</v>
      </c>
      <c r="N542" t="s">
        <v>2337</v>
      </c>
    </row>
    <row r="543" spans="1:14" x14ac:dyDescent="0.2">
      <c r="A543" t="s">
        <v>674</v>
      </c>
      <c r="B543" t="s">
        <v>823</v>
      </c>
      <c r="C543">
        <v>1774</v>
      </c>
      <c r="D543" t="s">
        <v>51</v>
      </c>
      <c r="E543" s="1">
        <v>45358</v>
      </c>
      <c r="F543" s="6">
        <v>3</v>
      </c>
      <c r="G543" s="1" t="s">
        <v>52</v>
      </c>
      <c r="H543" t="s">
        <v>64</v>
      </c>
      <c r="I543" t="s">
        <v>2338</v>
      </c>
      <c r="J543" t="s">
        <v>1262</v>
      </c>
      <c r="K543">
        <v>7250</v>
      </c>
      <c r="L543">
        <v>250</v>
      </c>
      <c r="M543">
        <f>Customers_Table[[#This Row],[Quantity Ordered]]*Customers_Table[[#This Row],[Sales Price (Per unit)]]</f>
        <v>750</v>
      </c>
      <c r="N543" t="s">
        <v>2339</v>
      </c>
    </row>
    <row r="544" spans="1:14" x14ac:dyDescent="0.2">
      <c r="A544" t="s">
        <v>667</v>
      </c>
      <c r="B544" t="s">
        <v>827</v>
      </c>
      <c r="C544">
        <v>1775</v>
      </c>
      <c r="D544" t="s">
        <v>76</v>
      </c>
      <c r="E544" s="1">
        <v>45497</v>
      </c>
      <c r="F544" s="6">
        <v>3</v>
      </c>
      <c r="G544" t="s">
        <v>32</v>
      </c>
      <c r="H544" t="s">
        <v>39</v>
      </c>
      <c r="I544" t="s">
        <v>2340</v>
      </c>
      <c r="J544" t="s">
        <v>1241</v>
      </c>
      <c r="K544">
        <v>2600</v>
      </c>
      <c r="L544">
        <v>1200</v>
      </c>
      <c r="M544">
        <f>Customers_Table[[#This Row],[Quantity Ordered]]*Customers_Table[[#This Row],[Sales Price (Per unit)]]</f>
        <v>3600</v>
      </c>
      <c r="N544" t="s">
        <v>2341</v>
      </c>
    </row>
    <row r="545" spans="1:14" x14ac:dyDescent="0.2">
      <c r="A545" t="s">
        <v>828</v>
      </c>
      <c r="B545" t="s">
        <v>829</v>
      </c>
      <c r="C545">
        <v>1776</v>
      </c>
      <c r="D545" t="s">
        <v>37</v>
      </c>
      <c r="E545" s="1">
        <v>45589</v>
      </c>
      <c r="F545" s="6">
        <v>3</v>
      </c>
      <c r="G545" s="1" t="s">
        <v>38</v>
      </c>
      <c r="H545" t="s">
        <v>39</v>
      </c>
      <c r="I545" t="s">
        <v>2342</v>
      </c>
      <c r="J545" t="s">
        <v>1241</v>
      </c>
      <c r="K545">
        <v>2600</v>
      </c>
      <c r="L545">
        <v>800</v>
      </c>
      <c r="M545">
        <f>Customers_Table[[#This Row],[Quantity Ordered]]*Customers_Table[[#This Row],[Sales Price (Per unit)]]</f>
        <v>2400</v>
      </c>
      <c r="N545" t="s">
        <v>2343</v>
      </c>
    </row>
    <row r="546" spans="1:14" x14ac:dyDescent="0.2">
      <c r="A546" t="s">
        <v>558</v>
      </c>
      <c r="B546" t="s">
        <v>387</v>
      </c>
      <c r="C546">
        <v>1777</v>
      </c>
      <c r="D546" t="s">
        <v>92</v>
      </c>
      <c r="E546" s="1">
        <v>45463</v>
      </c>
      <c r="F546" s="6">
        <v>1</v>
      </c>
      <c r="G546" s="1" t="s">
        <v>38</v>
      </c>
      <c r="H546" t="s">
        <v>43</v>
      </c>
      <c r="I546" t="s">
        <v>2344</v>
      </c>
      <c r="J546" t="s">
        <v>1299</v>
      </c>
      <c r="K546">
        <v>2500</v>
      </c>
      <c r="L546">
        <v>600</v>
      </c>
      <c r="M546">
        <f>Customers_Table[[#This Row],[Quantity Ordered]]*Customers_Table[[#This Row],[Sales Price (Per unit)]]</f>
        <v>600</v>
      </c>
      <c r="N546" t="s">
        <v>2345</v>
      </c>
    </row>
    <row r="547" spans="1:14" x14ac:dyDescent="0.2">
      <c r="A547" t="s">
        <v>830</v>
      </c>
      <c r="B547" t="s">
        <v>831</v>
      </c>
      <c r="C547">
        <v>1778</v>
      </c>
      <c r="D547" t="s">
        <v>37</v>
      </c>
      <c r="E547" s="1">
        <v>45292</v>
      </c>
      <c r="F547" s="6">
        <v>3</v>
      </c>
      <c r="G547" t="s">
        <v>32</v>
      </c>
      <c r="H547" t="s">
        <v>53</v>
      </c>
      <c r="I547" t="s">
        <v>2346</v>
      </c>
      <c r="J547" t="s">
        <v>1305</v>
      </c>
      <c r="K547">
        <v>4000</v>
      </c>
      <c r="L547">
        <v>800</v>
      </c>
      <c r="M547">
        <f>Customers_Table[[#This Row],[Quantity Ordered]]*Customers_Table[[#This Row],[Sales Price (Per unit)]]</f>
        <v>2400</v>
      </c>
      <c r="N547" t="s">
        <v>2347</v>
      </c>
    </row>
    <row r="548" spans="1:14" x14ac:dyDescent="0.2">
      <c r="A548" t="s">
        <v>832</v>
      </c>
      <c r="B548" t="s">
        <v>833</v>
      </c>
      <c r="C548">
        <v>1779</v>
      </c>
      <c r="D548" t="s">
        <v>76</v>
      </c>
      <c r="E548" s="1">
        <v>45487</v>
      </c>
      <c r="F548" s="6">
        <v>2</v>
      </c>
      <c r="G548" t="s">
        <v>32</v>
      </c>
      <c r="H548" t="s">
        <v>39</v>
      </c>
      <c r="I548" t="s">
        <v>2348</v>
      </c>
      <c r="J548" t="s">
        <v>1241</v>
      </c>
      <c r="K548">
        <v>2600</v>
      </c>
      <c r="L548">
        <v>1200</v>
      </c>
      <c r="M548">
        <f>Customers_Table[[#This Row],[Quantity Ordered]]*Customers_Table[[#This Row],[Sales Price (Per unit)]]</f>
        <v>2400</v>
      </c>
      <c r="N548" t="s">
        <v>2349</v>
      </c>
    </row>
    <row r="549" spans="1:14" x14ac:dyDescent="0.2">
      <c r="A549" t="s">
        <v>834</v>
      </c>
      <c r="B549" t="s">
        <v>835</v>
      </c>
      <c r="C549">
        <v>1780</v>
      </c>
      <c r="D549" t="s">
        <v>31</v>
      </c>
      <c r="E549" s="1">
        <v>45340</v>
      </c>
      <c r="F549" s="6">
        <v>2</v>
      </c>
      <c r="G549" s="1" t="s">
        <v>52</v>
      </c>
      <c r="H549" t="s">
        <v>81</v>
      </c>
      <c r="I549" t="s">
        <v>2350</v>
      </c>
      <c r="J549" t="s">
        <v>1361</v>
      </c>
      <c r="K549">
        <v>870</v>
      </c>
      <c r="L549">
        <v>250</v>
      </c>
      <c r="M549">
        <f>Customers_Table[[#This Row],[Quantity Ordered]]*Customers_Table[[#This Row],[Sales Price (Per unit)]]</f>
        <v>500</v>
      </c>
      <c r="N549" t="s">
        <v>2351</v>
      </c>
    </row>
    <row r="550" spans="1:14" x14ac:dyDescent="0.2">
      <c r="A550" t="s">
        <v>352</v>
      </c>
      <c r="B550" t="s">
        <v>836</v>
      </c>
      <c r="C550">
        <v>1781</v>
      </c>
      <c r="D550" t="s">
        <v>42</v>
      </c>
      <c r="E550" s="1">
        <v>45354</v>
      </c>
      <c r="F550" s="6">
        <v>1</v>
      </c>
      <c r="G550" t="s">
        <v>71</v>
      </c>
      <c r="H550" t="s">
        <v>43</v>
      </c>
      <c r="I550" t="s">
        <v>2352</v>
      </c>
      <c r="J550" t="s">
        <v>865</v>
      </c>
      <c r="K550">
        <v>2000</v>
      </c>
      <c r="L550">
        <v>300</v>
      </c>
      <c r="M550">
        <f>Customers_Table[[#This Row],[Quantity Ordered]]*Customers_Table[[#This Row],[Sales Price (Per unit)]]</f>
        <v>300</v>
      </c>
      <c r="N550" t="s">
        <v>2353</v>
      </c>
    </row>
    <row r="551" spans="1:14" x14ac:dyDescent="0.2">
      <c r="A551" t="s">
        <v>251</v>
      </c>
      <c r="B551" t="s">
        <v>285</v>
      </c>
      <c r="C551">
        <v>1782</v>
      </c>
      <c r="D551" t="s">
        <v>51</v>
      </c>
      <c r="E551" s="1">
        <v>45352</v>
      </c>
      <c r="F551" s="6">
        <v>2</v>
      </c>
      <c r="G551" s="1" t="s">
        <v>52</v>
      </c>
      <c r="H551" t="s">
        <v>57</v>
      </c>
      <c r="I551" t="s">
        <v>2354</v>
      </c>
      <c r="J551" t="s">
        <v>1253</v>
      </c>
      <c r="K551">
        <v>5290</v>
      </c>
      <c r="L551">
        <v>250</v>
      </c>
      <c r="M551">
        <f>Customers_Table[[#This Row],[Quantity Ordered]]*Customers_Table[[#This Row],[Sales Price (Per unit)]]</f>
        <v>500</v>
      </c>
      <c r="N551" t="s">
        <v>2355</v>
      </c>
    </row>
    <row r="552" spans="1:14" x14ac:dyDescent="0.2">
      <c r="A552" t="s">
        <v>240</v>
      </c>
      <c r="B552" t="s">
        <v>837</v>
      </c>
      <c r="C552">
        <v>1783</v>
      </c>
      <c r="D552" t="s">
        <v>42</v>
      </c>
      <c r="E552" s="1">
        <v>45493</v>
      </c>
      <c r="F552" s="6">
        <v>3</v>
      </c>
      <c r="G552" s="1" t="s">
        <v>52</v>
      </c>
      <c r="H552" t="s">
        <v>53</v>
      </c>
      <c r="I552" t="s">
        <v>2356</v>
      </c>
      <c r="J552" t="s">
        <v>1268</v>
      </c>
      <c r="K552">
        <v>4870</v>
      </c>
      <c r="L552">
        <v>300</v>
      </c>
      <c r="M552">
        <f>Customers_Table[[#This Row],[Quantity Ordered]]*Customers_Table[[#This Row],[Sales Price (Per unit)]]</f>
        <v>900</v>
      </c>
      <c r="N552" t="s">
        <v>2357</v>
      </c>
    </row>
    <row r="553" spans="1:14" x14ac:dyDescent="0.2">
      <c r="A553" t="s">
        <v>838</v>
      </c>
      <c r="B553" t="s">
        <v>490</v>
      </c>
      <c r="C553">
        <v>1784</v>
      </c>
      <c r="D553" t="s">
        <v>51</v>
      </c>
      <c r="E553" s="1">
        <v>45490</v>
      </c>
      <c r="F553" s="6">
        <v>2</v>
      </c>
      <c r="G553" s="1" t="s">
        <v>52</v>
      </c>
      <c r="H553" t="s">
        <v>57</v>
      </c>
      <c r="I553" t="s">
        <v>2358</v>
      </c>
      <c r="J553" t="s">
        <v>1350</v>
      </c>
      <c r="K553">
        <v>5600</v>
      </c>
      <c r="L553">
        <v>250</v>
      </c>
      <c r="M553">
        <f>Customers_Table[[#This Row],[Quantity Ordered]]*Customers_Table[[#This Row],[Sales Price (Per unit)]]</f>
        <v>500</v>
      </c>
      <c r="N553" t="s">
        <v>2359</v>
      </c>
    </row>
    <row r="554" spans="1:14" x14ac:dyDescent="0.2">
      <c r="A554" t="s">
        <v>267</v>
      </c>
      <c r="B554" t="s">
        <v>432</v>
      </c>
      <c r="C554">
        <v>1785</v>
      </c>
      <c r="D554" t="s">
        <v>92</v>
      </c>
      <c r="E554" s="1">
        <v>45394</v>
      </c>
      <c r="F554" s="6">
        <v>1</v>
      </c>
      <c r="G554" t="s">
        <v>71</v>
      </c>
      <c r="H554" t="s">
        <v>43</v>
      </c>
      <c r="I554" t="s">
        <v>2360</v>
      </c>
      <c r="J554" t="s">
        <v>1244</v>
      </c>
      <c r="K554">
        <v>2300</v>
      </c>
      <c r="L554">
        <v>600</v>
      </c>
      <c r="M554">
        <f>Customers_Table[[#This Row],[Quantity Ordered]]*Customers_Table[[#This Row],[Sales Price (Per unit)]]</f>
        <v>600</v>
      </c>
      <c r="N554" t="s">
        <v>2361</v>
      </c>
    </row>
    <row r="555" spans="1:14" x14ac:dyDescent="0.2">
      <c r="A555" t="s">
        <v>839</v>
      </c>
      <c r="B555" t="s">
        <v>840</v>
      </c>
      <c r="C555">
        <v>1786</v>
      </c>
      <c r="D555" t="s">
        <v>37</v>
      </c>
      <c r="E555" s="1">
        <v>45554</v>
      </c>
      <c r="F555" s="6">
        <v>3</v>
      </c>
      <c r="G555" s="1" t="s">
        <v>52</v>
      </c>
      <c r="H555" t="s">
        <v>64</v>
      </c>
      <c r="I555" t="s">
        <v>2362</v>
      </c>
      <c r="J555" t="s">
        <v>1265</v>
      </c>
      <c r="K555">
        <v>7000</v>
      </c>
      <c r="L555">
        <v>800</v>
      </c>
      <c r="M555">
        <f>Customers_Table[[#This Row],[Quantity Ordered]]*Customers_Table[[#This Row],[Sales Price (Per unit)]]</f>
        <v>2400</v>
      </c>
      <c r="N555" t="s">
        <v>2363</v>
      </c>
    </row>
    <row r="556" spans="1:14" x14ac:dyDescent="0.2">
      <c r="A556" t="s">
        <v>477</v>
      </c>
      <c r="B556" t="s">
        <v>841</v>
      </c>
      <c r="C556">
        <v>1787</v>
      </c>
      <c r="D556" t="s">
        <v>42</v>
      </c>
      <c r="E556" s="1">
        <v>45323</v>
      </c>
      <c r="F556" s="6">
        <v>1</v>
      </c>
      <c r="G556" t="s">
        <v>32</v>
      </c>
      <c r="H556" t="s">
        <v>43</v>
      </c>
      <c r="I556" t="s">
        <v>2364</v>
      </c>
      <c r="J556" t="s">
        <v>1244</v>
      </c>
      <c r="K556">
        <v>2300</v>
      </c>
      <c r="L556">
        <v>300</v>
      </c>
      <c r="M556">
        <f>Customers_Table[[#This Row],[Quantity Ordered]]*Customers_Table[[#This Row],[Sales Price (Per unit)]]</f>
        <v>300</v>
      </c>
      <c r="N556" t="s">
        <v>2365</v>
      </c>
    </row>
    <row r="557" spans="1:14" x14ac:dyDescent="0.2">
      <c r="A557" t="s">
        <v>842</v>
      </c>
      <c r="B557" t="s">
        <v>843</v>
      </c>
      <c r="C557">
        <v>1788</v>
      </c>
      <c r="D557" t="s">
        <v>76</v>
      </c>
      <c r="E557" s="1">
        <v>45631</v>
      </c>
      <c r="F557" s="6">
        <v>2</v>
      </c>
      <c r="G557" t="s">
        <v>32</v>
      </c>
      <c r="H557" t="s">
        <v>33</v>
      </c>
      <c r="I557" t="s">
        <v>2366</v>
      </c>
      <c r="J557" t="s">
        <v>1302</v>
      </c>
      <c r="K557">
        <v>6000</v>
      </c>
      <c r="L557">
        <v>1200</v>
      </c>
      <c r="M557">
        <f>Customers_Table[[#This Row],[Quantity Ordered]]*Customers_Table[[#This Row],[Sales Price (Per unit)]]</f>
        <v>2400</v>
      </c>
      <c r="N557" t="s">
        <v>2367</v>
      </c>
    </row>
    <row r="558" spans="1:14" x14ac:dyDescent="0.2">
      <c r="A558" t="s">
        <v>844</v>
      </c>
      <c r="B558" t="s">
        <v>845</v>
      </c>
      <c r="C558">
        <v>1789</v>
      </c>
      <c r="D558" t="s">
        <v>51</v>
      </c>
      <c r="E558" s="1">
        <v>45335</v>
      </c>
      <c r="F558" s="6">
        <v>1</v>
      </c>
      <c r="G558" t="s">
        <v>32</v>
      </c>
      <c r="H558" t="s">
        <v>57</v>
      </c>
      <c r="I558" t="s">
        <v>2368</v>
      </c>
      <c r="J558" t="s">
        <v>1253</v>
      </c>
      <c r="K558">
        <v>5290</v>
      </c>
      <c r="L558">
        <v>250</v>
      </c>
      <c r="M558">
        <f>Customers_Table[[#This Row],[Quantity Ordered]]*Customers_Table[[#This Row],[Sales Price (Per unit)]]</f>
        <v>250</v>
      </c>
      <c r="N558" t="s">
        <v>2369</v>
      </c>
    </row>
    <row r="559" spans="1:14" x14ac:dyDescent="0.2">
      <c r="A559" t="s">
        <v>638</v>
      </c>
      <c r="B559" t="s">
        <v>846</v>
      </c>
      <c r="C559">
        <v>1790</v>
      </c>
      <c r="D559" t="s">
        <v>42</v>
      </c>
      <c r="E559" s="1">
        <v>45428</v>
      </c>
      <c r="F559" s="6">
        <v>3</v>
      </c>
      <c r="G559" s="1" t="s">
        <v>52</v>
      </c>
      <c r="H559" t="s">
        <v>47</v>
      </c>
      <c r="I559" t="s">
        <v>2370</v>
      </c>
      <c r="J559" t="s">
        <v>1247</v>
      </c>
      <c r="K559">
        <v>3350</v>
      </c>
      <c r="L559">
        <v>300</v>
      </c>
      <c r="M559">
        <f>Customers_Table[[#This Row],[Quantity Ordered]]*Customers_Table[[#This Row],[Sales Price (Per unit)]]</f>
        <v>900</v>
      </c>
      <c r="N559" t="s">
        <v>2371</v>
      </c>
    </row>
    <row r="560" spans="1:14" x14ac:dyDescent="0.2">
      <c r="A560" t="s">
        <v>847</v>
      </c>
      <c r="B560" t="s">
        <v>408</v>
      </c>
      <c r="C560">
        <v>1791</v>
      </c>
      <c r="D560" t="s">
        <v>51</v>
      </c>
      <c r="E560" s="1">
        <v>45651</v>
      </c>
      <c r="F560" s="6">
        <v>3</v>
      </c>
      <c r="G560" s="1" t="s">
        <v>52</v>
      </c>
      <c r="H560" t="s">
        <v>81</v>
      </c>
      <c r="I560" t="s">
        <v>2372</v>
      </c>
      <c r="J560" t="s">
        <v>1280</v>
      </c>
      <c r="K560">
        <v>800</v>
      </c>
      <c r="L560">
        <v>250</v>
      </c>
      <c r="M560">
        <f>Customers_Table[[#This Row],[Quantity Ordered]]*Customers_Table[[#This Row],[Sales Price (Per unit)]]</f>
        <v>750</v>
      </c>
      <c r="N560" t="s">
        <v>2373</v>
      </c>
    </row>
    <row r="561" spans="1:14" x14ac:dyDescent="0.2">
      <c r="A561" t="s">
        <v>848</v>
      </c>
      <c r="B561" t="s">
        <v>849</v>
      </c>
      <c r="C561">
        <v>1792</v>
      </c>
      <c r="D561" t="s">
        <v>42</v>
      </c>
      <c r="E561" s="1">
        <v>45315</v>
      </c>
      <c r="F561" s="6">
        <v>1</v>
      </c>
      <c r="G561" t="s">
        <v>32</v>
      </c>
      <c r="H561" t="s">
        <v>39</v>
      </c>
      <c r="I561" t="s">
        <v>2374</v>
      </c>
      <c r="J561" t="s">
        <v>1241</v>
      </c>
      <c r="K561">
        <v>2600</v>
      </c>
      <c r="L561">
        <v>300</v>
      </c>
      <c r="M561">
        <f>Customers_Table[[#This Row],[Quantity Ordered]]*Customers_Table[[#This Row],[Sales Price (Per unit)]]</f>
        <v>300</v>
      </c>
      <c r="N561" t="s">
        <v>2375</v>
      </c>
    </row>
    <row r="562" spans="1:14" x14ac:dyDescent="0.2">
      <c r="A562" t="s">
        <v>850</v>
      </c>
      <c r="B562" t="s">
        <v>225</v>
      </c>
      <c r="C562">
        <v>1793</v>
      </c>
      <c r="D562" t="s">
        <v>92</v>
      </c>
      <c r="E562" s="1">
        <v>45478</v>
      </c>
      <c r="F562" s="6">
        <v>3</v>
      </c>
      <c r="G562" s="1" t="s">
        <v>52</v>
      </c>
      <c r="H562" t="s">
        <v>53</v>
      </c>
      <c r="I562" t="s">
        <v>2376</v>
      </c>
      <c r="J562" t="s">
        <v>1305</v>
      </c>
      <c r="K562">
        <v>4000</v>
      </c>
      <c r="L562">
        <v>600</v>
      </c>
      <c r="M562">
        <f>Customers_Table[[#This Row],[Quantity Ordered]]*Customers_Table[[#This Row],[Sales Price (Per unit)]]</f>
        <v>1800</v>
      </c>
      <c r="N562" t="s">
        <v>2377</v>
      </c>
    </row>
    <row r="563" spans="1:14" x14ac:dyDescent="0.2">
      <c r="A563" t="s">
        <v>851</v>
      </c>
      <c r="B563" t="s">
        <v>442</v>
      </c>
      <c r="C563">
        <v>1794</v>
      </c>
      <c r="D563" t="s">
        <v>31</v>
      </c>
      <c r="E563" s="1">
        <v>45401</v>
      </c>
      <c r="F563" s="6">
        <v>3</v>
      </c>
      <c r="G563" t="s">
        <v>32</v>
      </c>
      <c r="H563" t="s">
        <v>47</v>
      </c>
      <c r="I563" t="s">
        <v>2378</v>
      </c>
      <c r="J563" t="s">
        <v>1247</v>
      </c>
      <c r="K563">
        <v>3350</v>
      </c>
      <c r="L563">
        <v>250</v>
      </c>
      <c r="M563">
        <f>Customers_Table[[#This Row],[Quantity Ordered]]*Customers_Table[[#This Row],[Sales Price (Per unit)]]</f>
        <v>750</v>
      </c>
      <c r="N563" t="s">
        <v>2379</v>
      </c>
    </row>
    <row r="564" spans="1:14" x14ac:dyDescent="0.2">
      <c r="A564" t="s">
        <v>852</v>
      </c>
      <c r="B564" t="s">
        <v>853</v>
      </c>
      <c r="C564">
        <v>1795</v>
      </c>
      <c r="D564" t="s">
        <v>92</v>
      </c>
      <c r="E564" s="1">
        <v>45433</v>
      </c>
      <c r="F564" s="6">
        <v>1</v>
      </c>
      <c r="G564" t="s">
        <v>32</v>
      </c>
      <c r="H564" t="s">
        <v>43</v>
      </c>
      <c r="I564" t="s">
        <v>2380</v>
      </c>
      <c r="J564" t="s">
        <v>865</v>
      </c>
      <c r="K564">
        <v>2000</v>
      </c>
      <c r="L564">
        <v>600</v>
      </c>
      <c r="M564">
        <f>Customers_Table[[#This Row],[Quantity Ordered]]*Customers_Table[[#This Row],[Sales Price (Per unit)]]</f>
        <v>600</v>
      </c>
      <c r="N564" t="s">
        <v>2381</v>
      </c>
    </row>
    <row r="565" spans="1:14" x14ac:dyDescent="0.2">
      <c r="A565" t="s">
        <v>682</v>
      </c>
      <c r="B565" t="s">
        <v>854</v>
      </c>
      <c r="C565">
        <v>1796</v>
      </c>
      <c r="D565" t="s">
        <v>76</v>
      </c>
      <c r="E565" s="1">
        <v>45340</v>
      </c>
      <c r="F565" s="6">
        <v>3</v>
      </c>
      <c r="G565" t="s">
        <v>32</v>
      </c>
      <c r="H565" t="s">
        <v>57</v>
      </c>
      <c r="I565" t="s">
        <v>2382</v>
      </c>
      <c r="J565" t="s">
        <v>1253</v>
      </c>
      <c r="K565">
        <v>5290</v>
      </c>
      <c r="L565">
        <v>1200</v>
      </c>
      <c r="M565">
        <f>Customers_Table[[#This Row],[Quantity Ordered]]*Customers_Table[[#This Row],[Sales Price (Per unit)]]</f>
        <v>3600</v>
      </c>
      <c r="N565" t="s">
        <v>2383</v>
      </c>
    </row>
    <row r="566" spans="1:14" x14ac:dyDescent="0.2">
      <c r="A566" t="s">
        <v>855</v>
      </c>
      <c r="B566" t="s">
        <v>218</v>
      </c>
      <c r="C566">
        <v>1797</v>
      </c>
      <c r="D566" t="s">
        <v>37</v>
      </c>
      <c r="E566" s="1">
        <v>45606</v>
      </c>
      <c r="F566" s="6">
        <v>2</v>
      </c>
      <c r="G566" t="s">
        <v>71</v>
      </c>
      <c r="H566" t="s">
        <v>47</v>
      </c>
      <c r="I566" t="s">
        <v>2384</v>
      </c>
      <c r="J566" t="s">
        <v>1275</v>
      </c>
      <c r="K566">
        <v>3000</v>
      </c>
      <c r="L566">
        <v>800</v>
      </c>
      <c r="M566">
        <f>Customers_Table[[#This Row],[Quantity Ordered]]*Customers_Table[[#This Row],[Sales Price (Per unit)]]</f>
        <v>1600</v>
      </c>
      <c r="N566" t="s">
        <v>2385</v>
      </c>
    </row>
    <row r="567" spans="1:14" x14ac:dyDescent="0.2">
      <c r="A567" t="s">
        <v>143</v>
      </c>
      <c r="B567" t="s">
        <v>856</v>
      </c>
      <c r="C567">
        <v>1798</v>
      </c>
      <c r="D567" t="s">
        <v>37</v>
      </c>
      <c r="E567" s="1">
        <v>45549</v>
      </c>
      <c r="F567" s="6">
        <v>1</v>
      </c>
      <c r="G567" t="s">
        <v>32</v>
      </c>
      <c r="H567" t="s">
        <v>33</v>
      </c>
      <c r="I567" t="s">
        <v>2386</v>
      </c>
      <c r="J567" t="s">
        <v>1238</v>
      </c>
      <c r="K567">
        <v>6725</v>
      </c>
      <c r="L567">
        <v>800</v>
      </c>
      <c r="M567">
        <f>Customers_Table[[#This Row],[Quantity Ordered]]*Customers_Table[[#This Row],[Sales Price (Per unit)]]</f>
        <v>800</v>
      </c>
      <c r="N567" t="s">
        <v>2387</v>
      </c>
    </row>
    <row r="568" spans="1:14" x14ac:dyDescent="0.2">
      <c r="A568" t="s">
        <v>187</v>
      </c>
      <c r="B568" t="s">
        <v>555</v>
      </c>
      <c r="C568">
        <v>1799</v>
      </c>
      <c r="D568" t="s">
        <v>51</v>
      </c>
      <c r="E568" s="1">
        <v>45323</v>
      </c>
      <c r="F568" s="6">
        <v>1</v>
      </c>
      <c r="G568" s="1" t="s">
        <v>52</v>
      </c>
      <c r="H568" t="s">
        <v>47</v>
      </c>
      <c r="I568" t="s">
        <v>2388</v>
      </c>
      <c r="J568" t="s">
        <v>1275</v>
      </c>
      <c r="K568">
        <v>3000</v>
      </c>
      <c r="L568">
        <v>250</v>
      </c>
      <c r="M568">
        <f>Customers_Table[[#This Row],[Quantity Ordered]]*Customers_Table[[#This Row],[Sales Price (Per unit)]]</f>
        <v>250</v>
      </c>
      <c r="N568" t="s">
        <v>2389</v>
      </c>
    </row>
    <row r="569" spans="1:14" x14ac:dyDescent="0.2">
      <c r="A569" t="s">
        <v>393</v>
      </c>
      <c r="B569" t="s">
        <v>153</v>
      </c>
      <c r="C569">
        <v>1800</v>
      </c>
      <c r="D569" t="s">
        <v>76</v>
      </c>
      <c r="E569" s="1">
        <v>45475</v>
      </c>
      <c r="F569" s="6">
        <v>2</v>
      </c>
      <c r="G569" t="s">
        <v>32</v>
      </c>
      <c r="H569" t="s">
        <v>39</v>
      </c>
      <c r="I569" t="s">
        <v>2390</v>
      </c>
      <c r="J569" t="s">
        <v>1241</v>
      </c>
      <c r="K569">
        <v>2600</v>
      </c>
      <c r="L569">
        <v>1200</v>
      </c>
      <c r="M569">
        <f>Customers_Table[[#This Row],[Quantity Ordered]]*Customers_Table[[#This Row],[Sales Price (Per unit)]]</f>
        <v>2400</v>
      </c>
      <c r="N569" t="s">
        <v>2391</v>
      </c>
    </row>
    <row r="570" spans="1:14" x14ac:dyDescent="0.2">
      <c r="A570" t="s">
        <v>857</v>
      </c>
      <c r="B570" t="s">
        <v>500</v>
      </c>
      <c r="C570">
        <v>1801</v>
      </c>
      <c r="D570" t="s">
        <v>42</v>
      </c>
      <c r="E570" s="1">
        <v>45552</v>
      </c>
      <c r="F570" s="6">
        <v>3</v>
      </c>
      <c r="G570" t="s">
        <v>32</v>
      </c>
      <c r="H570" t="s">
        <v>47</v>
      </c>
      <c r="I570" t="s">
        <v>2392</v>
      </c>
      <c r="J570" t="s">
        <v>1256</v>
      </c>
      <c r="K570">
        <v>3220</v>
      </c>
      <c r="L570">
        <v>300</v>
      </c>
      <c r="M570">
        <f>Customers_Table[[#This Row],[Quantity Ordered]]*Customers_Table[[#This Row],[Sales Price (Per unit)]]</f>
        <v>900</v>
      </c>
      <c r="N570" t="s">
        <v>2393</v>
      </c>
    </row>
    <row r="571" spans="1:14" x14ac:dyDescent="0.2">
      <c r="A571" t="s">
        <v>611</v>
      </c>
      <c r="B571" t="s">
        <v>451</v>
      </c>
      <c r="C571">
        <v>1802</v>
      </c>
      <c r="D571" t="s">
        <v>51</v>
      </c>
      <c r="E571" s="1">
        <v>45546</v>
      </c>
      <c r="F571" s="6">
        <v>2</v>
      </c>
      <c r="G571" t="s">
        <v>32</v>
      </c>
      <c r="H571" t="s">
        <v>81</v>
      </c>
      <c r="I571" t="s">
        <v>2394</v>
      </c>
      <c r="J571" t="s">
        <v>1361</v>
      </c>
      <c r="K571">
        <v>870</v>
      </c>
      <c r="L571">
        <v>250</v>
      </c>
      <c r="M571">
        <f>Customers_Table[[#This Row],[Quantity Ordered]]*Customers_Table[[#This Row],[Sales Price (Per unit)]]</f>
        <v>500</v>
      </c>
      <c r="N571" t="s">
        <v>2395</v>
      </c>
    </row>
    <row r="572" spans="1:14" x14ac:dyDescent="0.2">
      <c r="A572" t="s">
        <v>858</v>
      </c>
      <c r="B572" t="s">
        <v>859</v>
      </c>
      <c r="C572">
        <v>1803</v>
      </c>
      <c r="D572" t="s">
        <v>76</v>
      </c>
      <c r="E572" s="1">
        <v>45373</v>
      </c>
      <c r="F572" s="6">
        <v>3</v>
      </c>
      <c r="G572" s="1" t="s">
        <v>52</v>
      </c>
      <c r="H572" t="s">
        <v>43</v>
      </c>
      <c r="I572" t="s">
        <v>2396</v>
      </c>
      <c r="J572" t="s">
        <v>1299</v>
      </c>
      <c r="K572">
        <v>2500</v>
      </c>
      <c r="L572">
        <v>1200</v>
      </c>
      <c r="M572">
        <f>Customers_Table[[#This Row],[Quantity Ordered]]*Customers_Table[[#This Row],[Sales Price (Per unit)]]</f>
        <v>3600</v>
      </c>
      <c r="N572" t="s">
        <v>2397</v>
      </c>
    </row>
    <row r="573" spans="1:14" x14ac:dyDescent="0.2">
      <c r="A573" t="s">
        <v>834</v>
      </c>
      <c r="B573" t="s">
        <v>860</v>
      </c>
      <c r="C573">
        <v>1804</v>
      </c>
      <c r="D573" t="s">
        <v>76</v>
      </c>
      <c r="E573" s="1">
        <v>45569</v>
      </c>
      <c r="F573" s="6">
        <v>3</v>
      </c>
      <c r="G573" s="1" t="s">
        <v>52</v>
      </c>
      <c r="H573" t="s">
        <v>33</v>
      </c>
      <c r="I573" t="s">
        <v>2398</v>
      </c>
      <c r="J573" t="s">
        <v>1259</v>
      </c>
      <c r="K573">
        <v>6160</v>
      </c>
      <c r="L573">
        <v>1200</v>
      </c>
      <c r="M573">
        <f>Customers_Table[[#This Row],[Quantity Ordered]]*Customers_Table[[#This Row],[Sales Price (Per unit)]]</f>
        <v>3600</v>
      </c>
      <c r="N573" t="s">
        <v>2399</v>
      </c>
    </row>
    <row r="574" spans="1:14" x14ac:dyDescent="0.2">
      <c r="A574" t="s">
        <v>704</v>
      </c>
      <c r="B574" t="s">
        <v>116</v>
      </c>
      <c r="C574">
        <v>1805</v>
      </c>
      <c r="D574" t="s">
        <v>37</v>
      </c>
      <c r="E574" s="1">
        <v>45384</v>
      </c>
      <c r="F574" s="6">
        <v>3</v>
      </c>
      <c r="G574" t="s">
        <v>71</v>
      </c>
      <c r="H574" t="s">
        <v>64</v>
      </c>
      <c r="I574" t="s">
        <v>2400</v>
      </c>
      <c r="J574" t="s">
        <v>1400</v>
      </c>
      <c r="K574">
        <v>7310</v>
      </c>
      <c r="L574">
        <v>800</v>
      </c>
      <c r="M574">
        <f>Customers_Table[[#This Row],[Quantity Ordered]]*Customers_Table[[#This Row],[Sales Price (Per unit)]]</f>
        <v>2400</v>
      </c>
      <c r="N574" t="s">
        <v>2401</v>
      </c>
    </row>
    <row r="575" spans="1:14" x14ac:dyDescent="0.2">
      <c r="A575" t="s">
        <v>861</v>
      </c>
      <c r="B575" t="s">
        <v>862</v>
      </c>
      <c r="C575">
        <v>1806</v>
      </c>
      <c r="D575" t="s">
        <v>42</v>
      </c>
      <c r="E575" s="1">
        <v>45615</v>
      </c>
      <c r="F575" s="6">
        <v>3</v>
      </c>
      <c r="G575" s="1" t="s">
        <v>52</v>
      </c>
      <c r="H575" t="s">
        <v>39</v>
      </c>
      <c r="I575" t="s">
        <v>2402</v>
      </c>
      <c r="J575" t="s">
        <v>1241</v>
      </c>
      <c r="K575">
        <v>2600</v>
      </c>
      <c r="L575">
        <v>300</v>
      </c>
      <c r="M575">
        <f>Customers_Table[[#This Row],[Quantity Ordered]]*Customers_Table[[#This Row],[Sales Price (Per unit)]]</f>
        <v>900</v>
      </c>
      <c r="N575" t="s">
        <v>2403</v>
      </c>
    </row>
    <row r="576" spans="1:14" x14ac:dyDescent="0.2">
      <c r="A576" t="s">
        <v>469</v>
      </c>
      <c r="B576" t="s">
        <v>863</v>
      </c>
      <c r="C576">
        <v>1807</v>
      </c>
      <c r="D576" t="s">
        <v>51</v>
      </c>
      <c r="E576" s="1">
        <v>45592</v>
      </c>
      <c r="F576" s="6">
        <v>3</v>
      </c>
      <c r="G576" s="1" t="s">
        <v>38</v>
      </c>
      <c r="H576" t="s">
        <v>47</v>
      </c>
      <c r="I576" t="s">
        <v>2404</v>
      </c>
      <c r="J576" t="s">
        <v>1247</v>
      </c>
      <c r="K576">
        <v>3350</v>
      </c>
      <c r="L576">
        <v>250</v>
      </c>
      <c r="M576">
        <f>Customers_Table[[#This Row],[Quantity Ordered]]*Customers_Table[[#This Row],[Sales Price (Per unit)]]</f>
        <v>750</v>
      </c>
      <c r="N576" t="s">
        <v>2405</v>
      </c>
    </row>
    <row r="577" spans="1:14" x14ac:dyDescent="0.2">
      <c r="A577" t="s">
        <v>864</v>
      </c>
      <c r="B577" t="s">
        <v>56</v>
      </c>
      <c r="C577">
        <v>1808</v>
      </c>
      <c r="D577" t="s">
        <v>31</v>
      </c>
      <c r="E577" s="1">
        <v>45653</v>
      </c>
      <c r="F577" s="6">
        <v>3</v>
      </c>
      <c r="G577" s="1" t="s">
        <v>52</v>
      </c>
      <c r="H577" t="s">
        <v>57</v>
      </c>
      <c r="I577" t="s">
        <v>2406</v>
      </c>
      <c r="J577" t="s">
        <v>1095</v>
      </c>
      <c r="K577">
        <v>5000</v>
      </c>
      <c r="L577">
        <v>250</v>
      </c>
      <c r="M577">
        <f>Customers_Table[[#This Row],[Quantity Ordered]]*Customers_Table[[#This Row],[Sales Price (Per unit)]]</f>
        <v>750</v>
      </c>
      <c r="N577" t="s">
        <v>2407</v>
      </c>
    </row>
    <row r="578" spans="1:14" x14ac:dyDescent="0.2">
      <c r="A578" t="s">
        <v>251</v>
      </c>
      <c r="B578" t="s">
        <v>837</v>
      </c>
      <c r="C578">
        <v>1809</v>
      </c>
      <c r="D578" t="s">
        <v>42</v>
      </c>
      <c r="E578" s="1">
        <v>45529</v>
      </c>
      <c r="F578" s="6">
        <v>2</v>
      </c>
      <c r="G578" t="s">
        <v>32</v>
      </c>
      <c r="H578" t="s">
        <v>81</v>
      </c>
      <c r="I578" t="s">
        <v>2408</v>
      </c>
      <c r="J578" t="s">
        <v>1280</v>
      </c>
      <c r="K578">
        <v>800</v>
      </c>
      <c r="L578">
        <v>300</v>
      </c>
      <c r="M578">
        <f>Customers_Table[[#This Row],[Quantity Ordered]]*Customers_Table[[#This Row],[Sales Price (Per unit)]]</f>
        <v>600</v>
      </c>
      <c r="N578" t="s">
        <v>2409</v>
      </c>
    </row>
    <row r="579" spans="1:14" x14ac:dyDescent="0.2">
      <c r="A579" t="s">
        <v>713</v>
      </c>
      <c r="B579" t="s">
        <v>865</v>
      </c>
      <c r="C579">
        <v>1810</v>
      </c>
      <c r="D579" t="s">
        <v>76</v>
      </c>
      <c r="E579" s="1">
        <v>45431</v>
      </c>
      <c r="F579" s="6">
        <v>1</v>
      </c>
      <c r="G579" s="1" t="s">
        <v>52</v>
      </c>
      <c r="H579" t="s">
        <v>43</v>
      </c>
      <c r="I579" t="s">
        <v>2410</v>
      </c>
      <c r="J579" t="s">
        <v>1299</v>
      </c>
      <c r="K579">
        <v>2500</v>
      </c>
      <c r="L579">
        <v>1200</v>
      </c>
      <c r="M579">
        <f>Customers_Table[[#This Row],[Quantity Ordered]]*Customers_Table[[#This Row],[Sales Price (Per unit)]]</f>
        <v>1200</v>
      </c>
      <c r="N579" t="s">
        <v>2411</v>
      </c>
    </row>
    <row r="580" spans="1:14" x14ac:dyDescent="0.2">
      <c r="A580" t="s">
        <v>866</v>
      </c>
      <c r="B580" t="s">
        <v>124</v>
      </c>
      <c r="C580">
        <v>1811</v>
      </c>
      <c r="D580" t="s">
        <v>31</v>
      </c>
      <c r="E580" s="1">
        <v>45545</v>
      </c>
      <c r="F580" s="6">
        <v>2</v>
      </c>
      <c r="G580" s="1" t="s">
        <v>52</v>
      </c>
      <c r="H580" t="s">
        <v>53</v>
      </c>
      <c r="I580" t="s">
        <v>2412</v>
      </c>
      <c r="J580" t="s">
        <v>1305</v>
      </c>
      <c r="K580">
        <v>4000</v>
      </c>
      <c r="L580">
        <v>250</v>
      </c>
      <c r="M580">
        <f>Customers_Table[[#This Row],[Quantity Ordered]]*Customers_Table[[#This Row],[Sales Price (Per unit)]]</f>
        <v>500</v>
      </c>
      <c r="N580" t="s">
        <v>2413</v>
      </c>
    </row>
    <row r="581" spans="1:14" x14ac:dyDescent="0.2">
      <c r="A581" t="s">
        <v>601</v>
      </c>
      <c r="B581" t="s">
        <v>867</v>
      </c>
      <c r="C581">
        <v>1812</v>
      </c>
      <c r="D581" t="s">
        <v>76</v>
      </c>
      <c r="E581" s="1">
        <v>45428</v>
      </c>
      <c r="F581" s="6">
        <v>1</v>
      </c>
      <c r="G581" t="s">
        <v>32</v>
      </c>
      <c r="H581" t="s">
        <v>64</v>
      </c>
      <c r="I581" t="s">
        <v>2414</v>
      </c>
      <c r="J581" t="s">
        <v>1265</v>
      </c>
      <c r="K581">
        <v>7000</v>
      </c>
      <c r="L581">
        <v>1200</v>
      </c>
      <c r="M581">
        <f>Customers_Table[[#This Row],[Quantity Ordered]]*Customers_Table[[#This Row],[Sales Price (Per unit)]]</f>
        <v>1200</v>
      </c>
      <c r="N581" t="s">
        <v>2415</v>
      </c>
    </row>
    <row r="582" spans="1:14" x14ac:dyDescent="0.2">
      <c r="A582" t="s">
        <v>868</v>
      </c>
      <c r="B582" t="s">
        <v>869</v>
      </c>
      <c r="C582">
        <v>1813</v>
      </c>
      <c r="D582" t="s">
        <v>42</v>
      </c>
      <c r="E582" s="1">
        <v>45347</v>
      </c>
      <c r="F582" s="6">
        <v>3</v>
      </c>
      <c r="G582" t="s">
        <v>32</v>
      </c>
      <c r="H582" t="s">
        <v>53</v>
      </c>
      <c r="I582" t="s">
        <v>2416</v>
      </c>
      <c r="J582" t="s">
        <v>1250</v>
      </c>
      <c r="K582">
        <v>4217</v>
      </c>
      <c r="L582">
        <v>300</v>
      </c>
      <c r="M582">
        <f>Customers_Table[[#This Row],[Quantity Ordered]]*Customers_Table[[#This Row],[Sales Price (Per unit)]]</f>
        <v>900</v>
      </c>
      <c r="N582" t="s">
        <v>2417</v>
      </c>
    </row>
    <row r="583" spans="1:14" x14ac:dyDescent="0.2">
      <c r="A583" t="s">
        <v>49</v>
      </c>
      <c r="B583" t="s">
        <v>138</v>
      </c>
      <c r="C583">
        <v>1814</v>
      </c>
      <c r="D583" t="s">
        <v>51</v>
      </c>
      <c r="E583" s="1">
        <v>45471</v>
      </c>
      <c r="F583" s="6">
        <v>3</v>
      </c>
      <c r="G583" s="1" t="s">
        <v>52</v>
      </c>
      <c r="H583" t="s">
        <v>39</v>
      </c>
      <c r="I583" t="s">
        <v>2418</v>
      </c>
      <c r="J583" t="s">
        <v>1241</v>
      </c>
      <c r="K583">
        <v>2600</v>
      </c>
      <c r="L583">
        <v>250</v>
      </c>
      <c r="M583">
        <f>Customers_Table[[#This Row],[Quantity Ordered]]*Customers_Table[[#This Row],[Sales Price (Per unit)]]</f>
        <v>750</v>
      </c>
      <c r="N583" t="s">
        <v>2419</v>
      </c>
    </row>
    <row r="584" spans="1:14" x14ac:dyDescent="0.2">
      <c r="A584" t="s">
        <v>870</v>
      </c>
      <c r="B584" t="s">
        <v>871</v>
      </c>
      <c r="C584">
        <v>1815</v>
      </c>
      <c r="D584" t="s">
        <v>31</v>
      </c>
      <c r="E584" s="1">
        <v>45496</v>
      </c>
      <c r="F584" s="6">
        <v>3</v>
      </c>
      <c r="G584" s="1" t="s">
        <v>52</v>
      </c>
      <c r="H584" t="s">
        <v>39</v>
      </c>
      <c r="I584" t="s">
        <v>2420</v>
      </c>
      <c r="J584" t="s">
        <v>1241</v>
      </c>
      <c r="K584">
        <v>2600</v>
      </c>
      <c r="L584">
        <v>250</v>
      </c>
      <c r="M584">
        <f>Customers_Table[[#This Row],[Quantity Ordered]]*Customers_Table[[#This Row],[Sales Price (Per unit)]]</f>
        <v>750</v>
      </c>
      <c r="N584" t="s">
        <v>2421</v>
      </c>
    </row>
    <row r="585" spans="1:14" x14ac:dyDescent="0.2">
      <c r="A585" t="s">
        <v>872</v>
      </c>
      <c r="B585" t="s">
        <v>873</v>
      </c>
      <c r="C585">
        <v>1816</v>
      </c>
      <c r="D585" t="s">
        <v>31</v>
      </c>
      <c r="E585" s="1">
        <v>45401</v>
      </c>
      <c r="F585" s="6">
        <v>1</v>
      </c>
      <c r="G585" s="1" t="s">
        <v>52</v>
      </c>
      <c r="H585" t="s">
        <v>64</v>
      </c>
      <c r="I585" t="s">
        <v>2422</v>
      </c>
      <c r="J585" t="s">
        <v>1400</v>
      </c>
      <c r="K585">
        <v>7310</v>
      </c>
      <c r="L585">
        <v>250</v>
      </c>
      <c r="M585">
        <f>Customers_Table[[#This Row],[Quantity Ordered]]*Customers_Table[[#This Row],[Sales Price (Per unit)]]</f>
        <v>250</v>
      </c>
      <c r="N585" t="s">
        <v>2423</v>
      </c>
    </row>
    <row r="586" spans="1:14" x14ac:dyDescent="0.2">
      <c r="A586" t="s">
        <v>874</v>
      </c>
      <c r="B586" t="s">
        <v>875</v>
      </c>
      <c r="C586">
        <v>1817</v>
      </c>
      <c r="D586" t="s">
        <v>76</v>
      </c>
      <c r="E586" s="1">
        <v>45490</v>
      </c>
      <c r="F586" s="6">
        <v>1</v>
      </c>
      <c r="G586" t="s">
        <v>71</v>
      </c>
      <c r="H586" t="s">
        <v>81</v>
      </c>
      <c r="I586" t="s">
        <v>2424</v>
      </c>
      <c r="J586" t="s">
        <v>1361</v>
      </c>
      <c r="K586">
        <v>870</v>
      </c>
      <c r="L586">
        <v>1200</v>
      </c>
      <c r="M586">
        <f>Customers_Table[[#This Row],[Quantity Ordered]]*Customers_Table[[#This Row],[Sales Price (Per unit)]]</f>
        <v>1200</v>
      </c>
      <c r="N586" t="s">
        <v>2425</v>
      </c>
    </row>
    <row r="587" spans="1:14" x14ac:dyDescent="0.2">
      <c r="A587" t="s">
        <v>876</v>
      </c>
      <c r="B587" t="s">
        <v>702</v>
      </c>
      <c r="C587">
        <v>1818</v>
      </c>
      <c r="D587" t="s">
        <v>37</v>
      </c>
      <c r="E587" s="1">
        <v>45454</v>
      </c>
      <c r="F587" s="6">
        <v>1</v>
      </c>
      <c r="G587" t="s">
        <v>32</v>
      </c>
      <c r="H587" t="s">
        <v>57</v>
      </c>
      <c r="I587" t="s">
        <v>2426</v>
      </c>
      <c r="J587" t="s">
        <v>1350</v>
      </c>
      <c r="K587">
        <v>5600</v>
      </c>
      <c r="L587">
        <v>800</v>
      </c>
      <c r="M587">
        <f>Customers_Table[[#This Row],[Quantity Ordered]]*Customers_Table[[#This Row],[Sales Price (Per unit)]]</f>
        <v>800</v>
      </c>
      <c r="N587" t="s">
        <v>2427</v>
      </c>
    </row>
    <row r="588" spans="1:14" x14ac:dyDescent="0.2">
      <c r="A588" t="s">
        <v>648</v>
      </c>
      <c r="B588" t="s">
        <v>36</v>
      </c>
      <c r="C588">
        <v>1819</v>
      </c>
      <c r="D588" t="s">
        <v>92</v>
      </c>
      <c r="E588" s="1">
        <v>45454</v>
      </c>
      <c r="F588" s="6">
        <v>3</v>
      </c>
      <c r="G588" t="s">
        <v>71</v>
      </c>
      <c r="H588" t="s">
        <v>53</v>
      </c>
      <c r="I588" t="s">
        <v>2428</v>
      </c>
      <c r="J588" t="s">
        <v>1250</v>
      </c>
      <c r="K588">
        <v>4217</v>
      </c>
      <c r="L588">
        <v>600</v>
      </c>
      <c r="M588">
        <f>Customers_Table[[#This Row],[Quantity Ordered]]*Customers_Table[[#This Row],[Sales Price (Per unit)]]</f>
        <v>1800</v>
      </c>
      <c r="N588" t="s">
        <v>2429</v>
      </c>
    </row>
    <row r="589" spans="1:14" x14ac:dyDescent="0.2">
      <c r="A589" t="s">
        <v>877</v>
      </c>
      <c r="B589" t="s">
        <v>87</v>
      </c>
      <c r="C589">
        <v>1820</v>
      </c>
      <c r="D589" t="s">
        <v>76</v>
      </c>
      <c r="E589" s="1">
        <v>45571</v>
      </c>
      <c r="F589" s="6">
        <v>3</v>
      </c>
      <c r="G589" t="s">
        <v>32</v>
      </c>
      <c r="H589" t="s">
        <v>47</v>
      </c>
      <c r="I589" t="s">
        <v>2430</v>
      </c>
      <c r="J589" t="s">
        <v>1275</v>
      </c>
      <c r="K589">
        <v>3000</v>
      </c>
      <c r="L589">
        <v>1200</v>
      </c>
      <c r="M589">
        <f>Customers_Table[[#This Row],[Quantity Ordered]]*Customers_Table[[#This Row],[Sales Price (Per unit)]]</f>
        <v>3600</v>
      </c>
      <c r="N589" t="s">
        <v>2431</v>
      </c>
    </row>
    <row r="590" spans="1:14" x14ac:dyDescent="0.2">
      <c r="A590" t="s">
        <v>143</v>
      </c>
      <c r="B590" t="s">
        <v>803</v>
      </c>
      <c r="C590">
        <v>1821</v>
      </c>
      <c r="D590" t="s">
        <v>31</v>
      </c>
      <c r="E590" s="1">
        <v>45417</v>
      </c>
      <c r="F590" s="6">
        <v>3</v>
      </c>
      <c r="G590" s="1" t="s">
        <v>52</v>
      </c>
      <c r="H590" t="s">
        <v>57</v>
      </c>
      <c r="I590" t="s">
        <v>2432</v>
      </c>
      <c r="J590" t="s">
        <v>1095</v>
      </c>
      <c r="K590">
        <v>5000</v>
      </c>
      <c r="L590">
        <v>250</v>
      </c>
      <c r="M590">
        <f>Customers_Table[[#This Row],[Quantity Ordered]]*Customers_Table[[#This Row],[Sales Price (Per unit)]]</f>
        <v>750</v>
      </c>
      <c r="N590" t="s">
        <v>2433</v>
      </c>
    </row>
    <row r="591" spans="1:14" x14ac:dyDescent="0.2">
      <c r="A591" t="s">
        <v>389</v>
      </c>
      <c r="B591" t="s">
        <v>663</v>
      </c>
      <c r="C591">
        <v>1822</v>
      </c>
      <c r="D591" t="s">
        <v>76</v>
      </c>
      <c r="E591" s="1">
        <v>45516</v>
      </c>
      <c r="F591" s="6">
        <v>2</v>
      </c>
      <c r="G591" t="s">
        <v>32</v>
      </c>
      <c r="H591" t="s">
        <v>39</v>
      </c>
      <c r="I591" t="s">
        <v>2434</v>
      </c>
      <c r="J591" t="s">
        <v>1241</v>
      </c>
      <c r="K591">
        <v>2600</v>
      </c>
      <c r="L591">
        <v>1200</v>
      </c>
      <c r="M591">
        <f>Customers_Table[[#This Row],[Quantity Ordered]]*Customers_Table[[#This Row],[Sales Price (Per unit)]]</f>
        <v>2400</v>
      </c>
      <c r="N591" t="s">
        <v>2435</v>
      </c>
    </row>
    <row r="592" spans="1:14" x14ac:dyDescent="0.2">
      <c r="A592" t="s">
        <v>878</v>
      </c>
      <c r="B592" t="s">
        <v>879</v>
      </c>
      <c r="C592">
        <v>1823</v>
      </c>
      <c r="D592" t="s">
        <v>76</v>
      </c>
      <c r="E592" s="1">
        <v>45453</v>
      </c>
      <c r="F592" s="6">
        <v>1</v>
      </c>
      <c r="G592" t="s">
        <v>32</v>
      </c>
      <c r="H592" t="s">
        <v>81</v>
      </c>
      <c r="I592" t="s">
        <v>2436</v>
      </c>
      <c r="J592" t="s">
        <v>1361</v>
      </c>
      <c r="K592">
        <v>870</v>
      </c>
      <c r="L592">
        <v>1200</v>
      </c>
      <c r="M592">
        <f>Customers_Table[[#This Row],[Quantity Ordered]]*Customers_Table[[#This Row],[Sales Price (Per unit)]]</f>
        <v>1200</v>
      </c>
      <c r="N592" t="s">
        <v>2437</v>
      </c>
    </row>
    <row r="593" spans="1:14" x14ac:dyDescent="0.2">
      <c r="A593" t="s">
        <v>880</v>
      </c>
      <c r="B593" t="s">
        <v>659</v>
      </c>
      <c r="C593">
        <v>1824</v>
      </c>
      <c r="D593" t="s">
        <v>76</v>
      </c>
      <c r="E593" s="1">
        <v>45556</v>
      </c>
      <c r="F593" s="6">
        <v>2</v>
      </c>
      <c r="G593" t="s">
        <v>32</v>
      </c>
      <c r="H593" t="s">
        <v>33</v>
      </c>
      <c r="I593" t="s">
        <v>2438</v>
      </c>
      <c r="J593" t="s">
        <v>1259</v>
      </c>
      <c r="K593">
        <v>6160</v>
      </c>
      <c r="L593">
        <v>1200</v>
      </c>
      <c r="M593">
        <f>Customers_Table[[#This Row],[Quantity Ordered]]*Customers_Table[[#This Row],[Sales Price (Per unit)]]</f>
        <v>2400</v>
      </c>
      <c r="N593" t="s">
        <v>2439</v>
      </c>
    </row>
    <row r="594" spans="1:14" x14ac:dyDescent="0.2">
      <c r="A594" t="s">
        <v>636</v>
      </c>
      <c r="B594" t="s">
        <v>881</v>
      </c>
      <c r="C594">
        <v>1825</v>
      </c>
      <c r="D594" t="s">
        <v>51</v>
      </c>
      <c r="E594" s="1">
        <v>45595</v>
      </c>
      <c r="F594" s="6">
        <v>2</v>
      </c>
      <c r="G594" t="s">
        <v>71</v>
      </c>
      <c r="H594" t="s">
        <v>43</v>
      </c>
      <c r="I594" t="s">
        <v>2440</v>
      </c>
      <c r="J594" t="s">
        <v>865</v>
      </c>
      <c r="K594">
        <v>2000</v>
      </c>
      <c r="L594">
        <v>250</v>
      </c>
      <c r="M594">
        <f>Customers_Table[[#This Row],[Quantity Ordered]]*Customers_Table[[#This Row],[Sales Price (Per unit)]]</f>
        <v>500</v>
      </c>
      <c r="N594" t="s">
        <v>2441</v>
      </c>
    </row>
    <row r="595" spans="1:14" x14ac:dyDescent="0.2">
      <c r="A595" t="s">
        <v>882</v>
      </c>
      <c r="B595" t="s">
        <v>883</v>
      </c>
      <c r="C595">
        <v>1826</v>
      </c>
      <c r="D595" t="s">
        <v>76</v>
      </c>
      <c r="E595" s="1">
        <v>45388</v>
      </c>
      <c r="F595" s="6">
        <v>2</v>
      </c>
      <c r="G595" t="s">
        <v>71</v>
      </c>
      <c r="H595" t="s">
        <v>33</v>
      </c>
      <c r="I595" t="s">
        <v>2442</v>
      </c>
      <c r="J595" t="s">
        <v>1302</v>
      </c>
      <c r="K595">
        <v>6000</v>
      </c>
      <c r="L595">
        <v>1200</v>
      </c>
      <c r="M595">
        <f>Customers_Table[[#This Row],[Quantity Ordered]]*Customers_Table[[#This Row],[Sales Price (Per unit)]]</f>
        <v>2400</v>
      </c>
      <c r="N595" t="s">
        <v>2443</v>
      </c>
    </row>
    <row r="596" spans="1:14" x14ac:dyDescent="0.2">
      <c r="A596" t="s">
        <v>884</v>
      </c>
      <c r="B596" t="s">
        <v>885</v>
      </c>
      <c r="C596">
        <v>1827</v>
      </c>
      <c r="D596" t="s">
        <v>42</v>
      </c>
      <c r="E596" s="1">
        <v>45353</v>
      </c>
      <c r="F596" s="6">
        <v>2</v>
      </c>
      <c r="G596" t="s">
        <v>32</v>
      </c>
      <c r="H596" t="s">
        <v>64</v>
      </c>
      <c r="I596" t="s">
        <v>2444</v>
      </c>
      <c r="J596" t="s">
        <v>1400</v>
      </c>
      <c r="K596">
        <v>7310</v>
      </c>
      <c r="L596">
        <v>300</v>
      </c>
      <c r="M596">
        <f>Customers_Table[[#This Row],[Quantity Ordered]]*Customers_Table[[#This Row],[Sales Price (Per unit)]]</f>
        <v>600</v>
      </c>
      <c r="N596" t="s">
        <v>2445</v>
      </c>
    </row>
    <row r="597" spans="1:14" x14ac:dyDescent="0.2">
      <c r="A597" t="s">
        <v>886</v>
      </c>
      <c r="B597" t="s">
        <v>887</v>
      </c>
      <c r="C597">
        <v>1828</v>
      </c>
      <c r="D597" t="s">
        <v>76</v>
      </c>
      <c r="E597" s="1">
        <v>45601</v>
      </c>
      <c r="F597" s="6">
        <v>3</v>
      </c>
      <c r="G597" t="s">
        <v>71</v>
      </c>
      <c r="H597" t="s">
        <v>47</v>
      </c>
      <c r="I597" t="s">
        <v>2446</v>
      </c>
      <c r="J597" t="s">
        <v>1247</v>
      </c>
      <c r="K597">
        <v>3350</v>
      </c>
      <c r="L597">
        <v>1200</v>
      </c>
      <c r="M597">
        <f>Customers_Table[[#This Row],[Quantity Ordered]]*Customers_Table[[#This Row],[Sales Price (Per unit)]]</f>
        <v>3600</v>
      </c>
      <c r="N597" t="s">
        <v>2447</v>
      </c>
    </row>
    <row r="598" spans="1:14" x14ac:dyDescent="0.2">
      <c r="A598" t="s">
        <v>868</v>
      </c>
      <c r="B598" t="s">
        <v>153</v>
      </c>
      <c r="C598">
        <v>1829</v>
      </c>
      <c r="D598" t="s">
        <v>42</v>
      </c>
      <c r="E598" s="1">
        <v>45525</v>
      </c>
      <c r="F598" s="6">
        <v>1</v>
      </c>
      <c r="G598" s="1" t="s">
        <v>38</v>
      </c>
      <c r="H598" t="s">
        <v>43</v>
      </c>
      <c r="I598" t="s">
        <v>2448</v>
      </c>
      <c r="J598" t="s">
        <v>1299</v>
      </c>
      <c r="K598">
        <v>2500</v>
      </c>
      <c r="L598">
        <v>300</v>
      </c>
      <c r="M598">
        <f>Customers_Table[[#This Row],[Quantity Ordered]]*Customers_Table[[#This Row],[Sales Price (Per unit)]]</f>
        <v>300</v>
      </c>
      <c r="N598" t="s">
        <v>2449</v>
      </c>
    </row>
    <row r="599" spans="1:14" x14ac:dyDescent="0.2">
      <c r="A599" t="s">
        <v>888</v>
      </c>
      <c r="B599" t="s">
        <v>335</v>
      </c>
      <c r="C599">
        <v>1830</v>
      </c>
      <c r="D599" t="s">
        <v>42</v>
      </c>
      <c r="E599" s="1">
        <v>45520</v>
      </c>
      <c r="F599" s="6">
        <v>1</v>
      </c>
      <c r="G599" s="1" t="s">
        <v>38</v>
      </c>
      <c r="H599" t="s">
        <v>43</v>
      </c>
      <c r="I599" t="s">
        <v>2450</v>
      </c>
      <c r="J599" t="s">
        <v>865</v>
      </c>
      <c r="K599">
        <v>2000</v>
      </c>
      <c r="L599">
        <v>300</v>
      </c>
      <c r="M599">
        <f>Customers_Table[[#This Row],[Quantity Ordered]]*Customers_Table[[#This Row],[Sales Price (Per unit)]]</f>
        <v>300</v>
      </c>
      <c r="N599" t="s">
        <v>2451</v>
      </c>
    </row>
    <row r="600" spans="1:14" x14ac:dyDescent="0.2">
      <c r="A600" t="s">
        <v>889</v>
      </c>
      <c r="B600" t="s">
        <v>171</v>
      </c>
      <c r="C600">
        <v>1831</v>
      </c>
      <c r="D600" t="s">
        <v>31</v>
      </c>
      <c r="E600" s="1">
        <v>45497</v>
      </c>
      <c r="F600" s="6">
        <v>1</v>
      </c>
      <c r="G600" t="s">
        <v>32</v>
      </c>
      <c r="H600" t="s">
        <v>47</v>
      </c>
      <c r="I600" t="s">
        <v>2452</v>
      </c>
      <c r="J600" t="s">
        <v>1247</v>
      </c>
      <c r="K600">
        <v>3350</v>
      </c>
      <c r="L600">
        <v>250</v>
      </c>
      <c r="M600">
        <f>Customers_Table[[#This Row],[Quantity Ordered]]*Customers_Table[[#This Row],[Sales Price (Per unit)]]</f>
        <v>250</v>
      </c>
      <c r="N600" t="s">
        <v>2453</v>
      </c>
    </row>
    <row r="601" spans="1:14" x14ac:dyDescent="0.2">
      <c r="A601" t="s">
        <v>890</v>
      </c>
      <c r="B601" t="s">
        <v>891</v>
      </c>
      <c r="C601">
        <v>1832</v>
      </c>
      <c r="D601" t="s">
        <v>51</v>
      </c>
      <c r="E601" s="1">
        <v>45582</v>
      </c>
      <c r="F601" s="6">
        <v>2</v>
      </c>
      <c r="G601" t="s">
        <v>32</v>
      </c>
      <c r="H601" t="s">
        <v>33</v>
      </c>
      <c r="I601" t="s">
        <v>2454</v>
      </c>
      <c r="J601" t="s">
        <v>1238</v>
      </c>
      <c r="K601">
        <v>6725</v>
      </c>
      <c r="L601">
        <v>250</v>
      </c>
      <c r="M601">
        <f>Customers_Table[[#This Row],[Quantity Ordered]]*Customers_Table[[#This Row],[Sales Price (Per unit)]]</f>
        <v>500</v>
      </c>
      <c r="N601" t="s">
        <v>2455</v>
      </c>
    </row>
    <row r="602" spans="1:14" x14ac:dyDescent="0.2">
      <c r="A602" t="s">
        <v>892</v>
      </c>
      <c r="B602" t="s">
        <v>893</v>
      </c>
      <c r="C602">
        <v>1833</v>
      </c>
      <c r="D602" t="s">
        <v>92</v>
      </c>
      <c r="E602" s="1">
        <v>45440</v>
      </c>
      <c r="F602" s="6">
        <v>2</v>
      </c>
      <c r="G602" t="s">
        <v>32</v>
      </c>
      <c r="H602" t="s">
        <v>64</v>
      </c>
      <c r="I602" t="s">
        <v>2456</v>
      </c>
      <c r="J602" t="s">
        <v>1265</v>
      </c>
      <c r="K602">
        <v>7000</v>
      </c>
      <c r="L602">
        <v>600</v>
      </c>
      <c r="M602">
        <f>Customers_Table[[#This Row],[Quantity Ordered]]*Customers_Table[[#This Row],[Sales Price (Per unit)]]</f>
        <v>1200</v>
      </c>
      <c r="N602" t="s">
        <v>2457</v>
      </c>
    </row>
    <row r="603" spans="1:14" x14ac:dyDescent="0.2">
      <c r="A603" t="s">
        <v>894</v>
      </c>
      <c r="B603" t="s">
        <v>208</v>
      </c>
      <c r="C603">
        <v>1834</v>
      </c>
      <c r="D603" t="s">
        <v>42</v>
      </c>
      <c r="E603" s="1">
        <v>45431</v>
      </c>
      <c r="F603" s="6">
        <v>1</v>
      </c>
      <c r="G603" t="s">
        <v>71</v>
      </c>
      <c r="H603" t="s">
        <v>33</v>
      </c>
      <c r="I603" t="s">
        <v>2458</v>
      </c>
      <c r="J603" t="s">
        <v>1259</v>
      </c>
      <c r="K603">
        <v>6160</v>
      </c>
      <c r="L603">
        <v>300</v>
      </c>
      <c r="M603">
        <f>Customers_Table[[#This Row],[Quantity Ordered]]*Customers_Table[[#This Row],[Sales Price (Per unit)]]</f>
        <v>300</v>
      </c>
      <c r="N603" t="s">
        <v>2459</v>
      </c>
    </row>
    <row r="604" spans="1:14" x14ac:dyDescent="0.2">
      <c r="A604" t="s">
        <v>895</v>
      </c>
      <c r="B604" t="s">
        <v>896</v>
      </c>
      <c r="C604">
        <v>1835</v>
      </c>
      <c r="D604" t="s">
        <v>92</v>
      </c>
      <c r="E604" s="1">
        <v>45630</v>
      </c>
      <c r="F604" s="6">
        <v>1</v>
      </c>
      <c r="G604" s="1" t="s">
        <v>52</v>
      </c>
      <c r="H604" t="s">
        <v>39</v>
      </c>
      <c r="I604" t="s">
        <v>2460</v>
      </c>
      <c r="J604" t="s">
        <v>1241</v>
      </c>
      <c r="K604">
        <v>2600</v>
      </c>
      <c r="L604">
        <v>600</v>
      </c>
      <c r="M604">
        <f>Customers_Table[[#This Row],[Quantity Ordered]]*Customers_Table[[#This Row],[Sales Price (Per unit)]]</f>
        <v>600</v>
      </c>
      <c r="N604" t="s">
        <v>2461</v>
      </c>
    </row>
    <row r="605" spans="1:14" x14ac:dyDescent="0.2">
      <c r="A605" t="s">
        <v>760</v>
      </c>
      <c r="B605" t="s">
        <v>498</v>
      </c>
      <c r="C605">
        <v>1836</v>
      </c>
      <c r="D605" t="s">
        <v>76</v>
      </c>
      <c r="E605" s="1">
        <v>45358</v>
      </c>
      <c r="F605" s="6">
        <v>3</v>
      </c>
      <c r="G605" s="1" t="s">
        <v>52</v>
      </c>
      <c r="H605" t="s">
        <v>64</v>
      </c>
      <c r="I605" t="s">
        <v>2462</v>
      </c>
      <c r="J605" t="s">
        <v>1265</v>
      </c>
      <c r="K605">
        <v>7000</v>
      </c>
      <c r="L605">
        <v>1200</v>
      </c>
      <c r="M605">
        <f>Customers_Table[[#This Row],[Quantity Ordered]]*Customers_Table[[#This Row],[Sales Price (Per unit)]]</f>
        <v>3600</v>
      </c>
      <c r="N605" t="s">
        <v>2463</v>
      </c>
    </row>
    <row r="606" spans="1:14" x14ac:dyDescent="0.2">
      <c r="A606" t="s">
        <v>897</v>
      </c>
      <c r="B606" t="s">
        <v>750</v>
      </c>
      <c r="C606">
        <v>1837</v>
      </c>
      <c r="D606" t="s">
        <v>92</v>
      </c>
      <c r="E606" s="1">
        <v>45453</v>
      </c>
      <c r="F606" s="6">
        <v>3</v>
      </c>
      <c r="G606" t="s">
        <v>32</v>
      </c>
      <c r="H606" t="s">
        <v>57</v>
      </c>
      <c r="I606" t="s">
        <v>2464</v>
      </c>
      <c r="J606" t="s">
        <v>1253</v>
      </c>
      <c r="K606">
        <v>5290</v>
      </c>
      <c r="L606">
        <v>600</v>
      </c>
      <c r="M606">
        <f>Customers_Table[[#This Row],[Quantity Ordered]]*Customers_Table[[#This Row],[Sales Price (Per unit)]]</f>
        <v>1800</v>
      </c>
      <c r="N606" t="s">
        <v>2465</v>
      </c>
    </row>
    <row r="607" spans="1:14" x14ac:dyDescent="0.2">
      <c r="A607" t="s">
        <v>898</v>
      </c>
      <c r="B607" t="s">
        <v>327</v>
      </c>
      <c r="C607">
        <v>1838</v>
      </c>
      <c r="D607" t="s">
        <v>76</v>
      </c>
      <c r="E607" s="1">
        <v>45564</v>
      </c>
      <c r="F607" s="6">
        <v>3</v>
      </c>
      <c r="G607" t="s">
        <v>32</v>
      </c>
      <c r="H607" t="s">
        <v>81</v>
      </c>
      <c r="I607" t="s">
        <v>2466</v>
      </c>
      <c r="J607" t="s">
        <v>1361</v>
      </c>
      <c r="K607">
        <v>870</v>
      </c>
      <c r="L607">
        <v>1200</v>
      </c>
      <c r="M607">
        <f>Customers_Table[[#This Row],[Quantity Ordered]]*Customers_Table[[#This Row],[Sales Price (Per unit)]]</f>
        <v>3600</v>
      </c>
      <c r="N607" t="s">
        <v>2467</v>
      </c>
    </row>
    <row r="608" spans="1:14" x14ac:dyDescent="0.2">
      <c r="A608" t="s">
        <v>543</v>
      </c>
      <c r="B608" t="s">
        <v>727</v>
      </c>
      <c r="C608">
        <v>1839</v>
      </c>
      <c r="D608" t="s">
        <v>42</v>
      </c>
      <c r="E608" s="1">
        <v>45340</v>
      </c>
      <c r="F608" s="6">
        <v>2</v>
      </c>
      <c r="G608" t="s">
        <v>32</v>
      </c>
      <c r="H608" t="s">
        <v>57</v>
      </c>
      <c r="I608" t="s">
        <v>2468</v>
      </c>
      <c r="J608" t="s">
        <v>1095</v>
      </c>
      <c r="K608">
        <v>5000</v>
      </c>
      <c r="L608">
        <v>300</v>
      </c>
      <c r="M608">
        <f>Customers_Table[[#This Row],[Quantity Ordered]]*Customers_Table[[#This Row],[Sales Price (Per unit)]]</f>
        <v>600</v>
      </c>
      <c r="N608" t="s">
        <v>2469</v>
      </c>
    </row>
    <row r="609" spans="1:14" x14ac:dyDescent="0.2">
      <c r="A609" t="s">
        <v>899</v>
      </c>
      <c r="B609" t="s">
        <v>360</v>
      </c>
      <c r="C609">
        <v>1840</v>
      </c>
      <c r="D609" t="s">
        <v>37</v>
      </c>
      <c r="E609" s="1">
        <v>45625</v>
      </c>
      <c r="F609" s="6">
        <v>1</v>
      </c>
      <c r="G609" s="1" t="s">
        <v>52</v>
      </c>
      <c r="H609" t="s">
        <v>39</v>
      </c>
      <c r="I609" t="s">
        <v>2470</v>
      </c>
      <c r="J609" t="s">
        <v>1241</v>
      </c>
      <c r="K609">
        <v>2600</v>
      </c>
      <c r="L609">
        <v>800</v>
      </c>
      <c r="M609">
        <f>Customers_Table[[#This Row],[Quantity Ordered]]*Customers_Table[[#This Row],[Sales Price (Per unit)]]</f>
        <v>800</v>
      </c>
      <c r="N609" t="s">
        <v>2471</v>
      </c>
    </row>
    <row r="610" spans="1:14" x14ac:dyDescent="0.2">
      <c r="A610" t="s">
        <v>652</v>
      </c>
      <c r="B610" t="s">
        <v>709</v>
      </c>
      <c r="C610">
        <v>1841</v>
      </c>
      <c r="D610" t="s">
        <v>76</v>
      </c>
      <c r="E610" s="1">
        <v>45468</v>
      </c>
      <c r="F610" s="6">
        <v>1</v>
      </c>
      <c r="G610" t="s">
        <v>32</v>
      </c>
      <c r="H610" t="s">
        <v>81</v>
      </c>
      <c r="I610" t="s">
        <v>2472</v>
      </c>
      <c r="J610" t="s">
        <v>1361</v>
      </c>
      <c r="K610">
        <v>870</v>
      </c>
      <c r="L610">
        <v>1200</v>
      </c>
      <c r="M610">
        <f>Customers_Table[[#This Row],[Quantity Ordered]]*Customers_Table[[#This Row],[Sales Price (Per unit)]]</f>
        <v>1200</v>
      </c>
      <c r="N610" t="s">
        <v>2473</v>
      </c>
    </row>
    <row r="611" spans="1:14" x14ac:dyDescent="0.2">
      <c r="A611" t="s">
        <v>545</v>
      </c>
      <c r="B611" t="s">
        <v>900</v>
      </c>
      <c r="C611">
        <v>1842</v>
      </c>
      <c r="D611" t="s">
        <v>42</v>
      </c>
      <c r="E611" s="1">
        <v>45647</v>
      </c>
      <c r="F611" s="6">
        <v>3</v>
      </c>
      <c r="G611" t="s">
        <v>32</v>
      </c>
      <c r="H611" t="s">
        <v>47</v>
      </c>
      <c r="I611" t="s">
        <v>2474</v>
      </c>
      <c r="J611" t="s">
        <v>1275</v>
      </c>
      <c r="K611">
        <v>3000</v>
      </c>
      <c r="L611">
        <v>300</v>
      </c>
      <c r="M611">
        <f>Customers_Table[[#This Row],[Quantity Ordered]]*Customers_Table[[#This Row],[Sales Price (Per unit)]]</f>
        <v>900</v>
      </c>
      <c r="N611" t="s">
        <v>2475</v>
      </c>
    </row>
    <row r="612" spans="1:14" x14ac:dyDescent="0.2">
      <c r="A612" t="s">
        <v>901</v>
      </c>
      <c r="B612" t="s">
        <v>116</v>
      </c>
      <c r="C612">
        <v>1843</v>
      </c>
      <c r="D612" t="s">
        <v>92</v>
      </c>
      <c r="E612" s="1">
        <v>45384</v>
      </c>
      <c r="F612" s="6">
        <v>1</v>
      </c>
      <c r="G612" s="1" t="s">
        <v>52</v>
      </c>
      <c r="H612" t="s">
        <v>33</v>
      </c>
      <c r="I612" t="s">
        <v>2476</v>
      </c>
      <c r="J612" t="s">
        <v>1238</v>
      </c>
      <c r="K612">
        <v>6725</v>
      </c>
      <c r="L612">
        <v>600</v>
      </c>
      <c r="M612">
        <f>Customers_Table[[#This Row],[Quantity Ordered]]*Customers_Table[[#This Row],[Sales Price (Per unit)]]</f>
        <v>600</v>
      </c>
      <c r="N612" t="s">
        <v>2477</v>
      </c>
    </row>
    <row r="613" spans="1:14" x14ac:dyDescent="0.2">
      <c r="A613" t="s">
        <v>902</v>
      </c>
      <c r="B613" t="s">
        <v>840</v>
      </c>
      <c r="C613">
        <v>1844</v>
      </c>
      <c r="D613" t="s">
        <v>76</v>
      </c>
      <c r="E613" s="1">
        <v>45442</v>
      </c>
      <c r="F613" s="6">
        <v>3</v>
      </c>
      <c r="G613" s="1" t="s">
        <v>52</v>
      </c>
      <c r="H613" t="s">
        <v>33</v>
      </c>
      <c r="I613" t="s">
        <v>2478</v>
      </c>
      <c r="J613" t="s">
        <v>1302</v>
      </c>
      <c r="K613">
        <v>6000</v>
      </c>
      <c r="L613">
        <v>1200</v>
      </c>
      <c r="M613">
        <f>Customers_Table[[#This Row],[Quantity Ordered]]*Customers_Table[[#This Row],[Sales Price (Per unit)]]</f>
        <v>3600</v>
      </c>
      <c r="N613" t="s">
        <v>2479</v>
      </c>
    </row>
    <row r="614" spans="1:14" x14ac:dyDescent="0.2">
      <c r="A614" t="s">
        <v>903</v>
      </c>
      <c r="B614" t="s">
        <v>904</v>
      </c>
      <c r="C614">
        <v>1845</v>
      </c>
      <c r="D614" t="s">
        <v>42</v>
      </c>
      <c r="E614" s="1">
        <v>45580</v>
      </c>
      <c r="F614" s="6">
        <v>3</v>
      </c>
      <c r="G614" s="1" t="s">
        <v>52</v>
      </c>
      <c r="H614" t="s">
        <v>39</v>
      </c>
      <c r="I614" t="s">
        <v>2480</v>
      </c>
      <c r="J614" t="s">
        <v>1241</v>
      </c>
      <c r="K614">
        <v>2600</v>
      </c>
      <c r="L614">
        <v>300</v>
      </c>
      <c r="M614">
        <f>Customers_Table[[#This Row],[Quantity Ordered]]*Customers_Table[[#This Row],[Sales Price (Per unit)]]</f>
        <v>900</v>
      </c>
      <c r="N614" t="s">
        <v>2481</v>
      </c>
    </row>
    <row r="615" spans="1:14" x14ac:dyDescent="0.2">
      <c r="A615" t="s">
        <v>306</v>
      </c>
      <c r="B615" t="s">
        <v>250</v>
      </c>
      <c r="C615">
        <v>1846</v>
      </c>
      <c r="D615" t="s">
        <v>76</v>
      </c>
      <c r="E615" s="1">
        <v>45551</v>
      </c>
      <c r="F615" s="6">
        <v>3</v>
      </c>
      <c r="G615" t="s">
        <v>32</v>
      </c>
      <c r="H615" t="s">
        <v>39</v>
      </c>
      <c r="I615" t="s">
        <v>2482</v>
      </c>
      <c r="J615" t="s">
        <v>1241</v>
      </c>
      <c r="K615">
        <v>2600</v>
      </c>
      <c r="L615">
        <v>1200</v>
      </c>
      <c r="M615">
        <f>Customers_Table[[#This Row],[Quantity Ordered]]*Customers_Table[[#This Row],[Sales Price (Per unit)]]</f>
        <v>3600</v>
      </c>
      <c r="N615" t="s">
        <v>2483</v>
      </c>
    </row>
    <row r="616" spans="1:14" x14ac:dyDescent="0.2">
      <c r="A616" t="s">
        <v>905</v>
      </c>
      <c r="B616" t="s">
        <v>78</v>
      </c>
      <c r="C616">
        <v>1847</v>
      </c>
      <c r="D616" t="s">
        <v>31</v>
      </c>
      <c r="E616" s="1">
        <v>45503</v>
      </c>
      <c r="F616" s="6">
        <v>1</v>
      </c>
      <c r="G616" t="s">
        <v>32</v>
      </c>
      <c r="H616" t="s">
        <v>64</v>
      </c>
      <c r="I616" t="s">
        <v>1710</v>
      </c>
      <c r="J616" t="s">
        <v>1265</v>
      </c>
      <c r="K616">
        <v>7000</v>
      </c>
      <c r="L616">
        <v>250</v>
      </c>
      <c r="M616">
        <f>Customers_Table[[#This Row],[Quantity Ordered]]*Customers_Table[[#This Row],[Sales Price (Per unit)]]</f>
        <v>250</v>
      </c>
      <c r="N616" t="s">
        <v>2484</v>
      </c>
    </row>
    <row r="617" spans="1:14" x14ac:dyDescent="0.2">
      <c r="A617" t="s">
        <v>110</v>
      </c>
      <c r="B617" t="s">
        <v>906</v>
      </c>
      <c r="C617">
        <v>1848</v>
      </c>
      <c r="D617" t="s">
        <v>51</v>
      </c>
      <c r="E617" s="1">
        <v>45431</v>
      </c>
      <c r="F617" s="6">
        <v>1</v>
      </c>
      <c r="G617" t="s">
        <v>32</v>
      </c>
      <c r="H617" t="s">
        <v>33</v>
      </c>
      <c r="I617" t="s">
        <v>2485</v>
      </c>
      <c r="J617" t="s">
        <v>1259</v>
      </c>
      <c r="K617">
        <v>6160</v>
      </c>
      <c r="L617">
        <v>250</v>
      </c>
      <c r="M617">
        <f>Customers_Table[[#This Row],[Quantity Ordered]]*Customers_Table[[#This Row],[Sales Price (Per unit)]]</f>
        <v>250</v>
      </c>
      <c r="N617" t="s">
        <v>2486</v>
      </c>
    </row>
    <row r="618" spans="1:14" x14ac:dyDescent="0.2">
      <c r="A618" t="s">
        <v>907</v>
      </c>
      <c r="B618" t="s">
        <v>505</v>
      </c>
      <c r="C618">
        <v>1849</v>
      </c>
      <c r="D618" t="s">
        <v>51</v>
      </c>
      <c r="E618" s="1">
        <v>45541</v>
      </c>
      <c r="F618" s="6">
        <v>2</v>
      </c>
      <c r="G618" s="1" t="s">
        <v>38</v>
      </c>
      <c r="H618" t="s">
        <v>57</v>
      </c>
      <c r="I618" t="s">
        <v>2487</v>
      </c>
      <c r="J618" t="s">
        <v>1253</v>
      </c>
      <c r="K618">
        <v>5290</v>
      </c>
      <c r="L618">
        <v>250</v>
      </c>
      <c r="M618">
        <f>Customers_Table[[#This Row],[Quantity Ordered]]*Customers_Table[[#This Row],[Sales Price (Per unit)]]</f>
        <v>500</v>
      </c>
      <c r="N618" t="s">
        <v>2488</v>
      </c>
    </row>
    <row r="619" spans="1:14" x14ac:dyDescent="0.2">
      <c r="A619" t="s">
        <v>453</v>
      </c>
      <c r="B619" t="s">
        <v>811</v>
      </c>
      <c r="C619">
        <v>1850</v>
      </c>
      <c r="D619" t="s">
        <v>31</v>
      </c>
      <c r="E619" s="1">
        <v>45292</v>
      </c>
      <c r="F619" s="6">
        <v>2</v>
      </c>
      <c r="G619" t="s">
        <v>32</v>
      </c>
      <c r="H619" t="s">
        <v>33</v>
      </c>
      <c r="I619" t="s">
        <v>2489</v>
      </c>
      <c r="J619" t="s">
        <v>1238</v>
      </c>
      <c r="K619">
        <v>6725</v>
      </c>
      <c r="L619">
        <v>250</v>
      </c>
      <c r="M619">
        <f>Customers_Table[[#This Row],[Quantity Ordered]]*Customers_Table[[#This Row],[Sales Price (Per unit)]]</f>
        <v>500</v>
      </c>
      <c r="N619" t="s">
        <v>2490</v>
      </c>
    </row>
    <row r="620" spans="1:14" x14ac:dyDescent="0.2">
      <c r="A620" t="s">
        <v>717</v>
      </c>
      <c r="B620" t="s">
        <v>443</v>
      </c>
      <c r="C620">
        <v>1851</v>
      </c>
      <c r="D620" t="s">
        <v>37</v>
      </c>
      <c r="E620" s="1">
        <v>45342</v>
      </c>
      <c r="F620" s="6">
        <v>3</v>
      </c>
      <c r="G620" t="s">
        <v>71</v>
      </c>
      <c r="H620" t="s">
        <v>47</v>
      </c>
      <c r="I620" t="s">
        <v>2491</v>
      </c>
      <c r="J620" t="s">
        <v>1247</v>
      </c>
      <c r="K620">
        <v>3350</v>
      </c>
      <c r="L620">
        <v>800</v>
      </c>
      <c r="M620">
        <f>Customers_Table[[#This Row],[Quantity Ordered]]*Customers_Table[[#This Row],[Sales Price (Per unit)]]</f>
        <v>2400</v>
      </c>
      <c r="N620" t="s">
        <v>2492</v>
      </c>
    </row>
    <row r="621" spans="1:14" x14ac:dyDescent="0.2">
      <c r="A621" t="s">
        <v>652</v>
      </c>
      <c r="B621" t="s">
        <v>908</v>
      </c>
      <c r="C621">
        <v>1852</v>
      </c>
      <c r="D621" t="s">
        <v>51</v>
      </c>
      <c r="E621" s="1">
        <v>45403</v>
      </c>
      <c r="F621" s="6">
        <v>2</v>
      </c>
      <c r="G621" t="s">
        <v>32</v>
      </c>
      <c r="H621" t="s">
        <v>33</v>
      </c>
      <c r="I621" t="s">
        <v>2493</v>
      </c>
      <c r="J621" t="s">
        <v>1259</v>
      </c>
      <c r="K621">
        <v>6160</v>
      </c>
      <c r="L621">
        <v>250</v>
      </c>
      <c r="M621">
        <f>Customers_Table[[#This Row],[Quantity Ordered]]*Customers_Table[[#This Row],[Sales Price (Per unit)]]</f>
        <v>500</v>
      </c>
      <c r="N621" t="s">
        <v>2494</v>
      </c>
    </row>
    <row r="622" spans="1:14" x14ac:dyDescent="0.2">
      <c r="A622" t="s">
        <v>776</v>
      </c>
      <c r="B622" t="s">
        <v>170</v>
      </c>
      <c r="C622">
        <v>1853</v>
      </c>
      <c r="D622" t="s">
        <v>51</v>
      </c>
      <c r="E622" s="1">
        <v>45321</v>
      </c>
      <c r="F622" s="6">
        <v>3</v>
      </c>
      <c r="G622" t="s">
        <v>32</v>
      </c>
      <c r="H622" t="s">
        <v>39</v>
      </c>
      <c r="I622" t="s">
        <v>2495</v>
      </c>
      <c r="J622" t="s">
        <v>1241</v>
      </c>
      <c r="K622">
        <v>2600</v>
      </c>
      <c r="L622">
        <v>250</v>
      </c>
      <c r="M622">
        <f>Customers_Table[[#This Row],[Quantity Ordered]]*Customers_Table[[#This Row],[Sales Price (Per unit)]]</f>
        <v>750</v>
      </c>
      <c r="N622" t="s">
        <v>2496</v>
      </c>
    </row>
    <row r="623" spans="1:14" x14ac:dyDescent="0.2">
      <c r="A623" t="s">
        <v>426</v>
      </c>
      <c r="B623" t="s">
        <v>909</v>
      </c>
      <c r="C623">
        <v>1854</v>
      </c>
      <c r="D623" t="s">
        <v>51</v>
      </c>
      <c r="E623" s="1">
        <v>45423</v>
      </c>
      <c r="F623" s="6">
        <v>3</v>
      </c>
      <c r="G623" t="s">
        <v>32</v>
      </c>
      <c r="H623" t="s">
        <v>39</v>
      </c>
      <c r="I623" t="s">
        <v>2497</v>
      </c>
      <c r="J623" t="s">
        <v>1241</v>
      </c>
      <c r="K623">
        <v>2600</v>
      </c>
      <c r="L623">
        <v>250</v>
      </c>
      <c r="M623">
        <f>Customers_Table[[#This Row],[Quantity Ordered]]*Customers_Table[[#This Row],[Sales Price (Per unit)]]</f>
        <v>750</v>
      </c>
      <c r="N623" t="s">
        <v>2498</v>
      </c>
    </row>
    <row r="624" spans="1:14" x14ac:dyDescent="0.2">
      <c r="A624" t="s">
        <v>910</v>
      </c>
      <c r="B624" t="s">
        <v>911</v>
      </c>
      <c r="C624">
        <v>1855</v>
      </c>
      <c r="D624" t="s">
        <v>37</v>
      </c>
      <c r="E624" s="1">
        <v>45604</v>
      </c>
      <c r="F624" s="6">
        <v>1</v>
      </c>
      <c r="G624" s="1" t="s">
        <v>38</v>
      </c>
      <c r="H624" t="s">
        <v>57</v>
      </c>
      <c r="I624" t="s">
        <v>2499</v>
      </c>
      <c r="J624" t="s">
        <v>1095</v>
      </c>
      <c r="K624">
        <v>5000</v>
      </c>
      <c r="L624">
        <v>800</v>
      </c>
      <c r="M624">
        <f>Customers_Table[[#This Row],[Quantity Ordered]]*Customers_Table[[#This Row],[Sales Price (Per unit)]]</f>
        <v>800</v>
      </c>
      <c r="N624" t="s">
        <v>2500</v>
      </c>
    </row>
    <row r="625" spans="1:14" x14ac:dyDescent="0.2">
      <c r="A625" t="s">
        <v>912</v>
      </c>
      <c r="B625" t="s">
        <v>913</v>
      </c>
      <c r="C625">
        <v>1856</v>
      </c>
      <c r="D625" t="s">
        <v>37</v>
      </c>
      <c r="E625" s="1">
        <v>45326</v>
      </c>
      <c r="F625" s="6">
        <v>2</v>
      </c>
      <c r="G625" t="s">
        <v>71</v>
      </c>
      <c r="H625" t="s">
        <v>33</v>
      </c>
      <c r="I625" t="s">
        <v>2501</v>
      </c>
      <c r="J625" t="s">
        <v>1238</v>
      </c>
      <c r="K625">
        <v>6725</v>
      </c>
      <c r="L625">
        <v>800</v>
      </c>
      <c r="M625">
        <f>Customers_Table[[#This Row],[Quantity Ordered]]*Customers_Table[[#This Row],[Sales Price (Per unit)]]</f>
        <v>1600</v>
      </c>
      <c r="N625" t="s">
        <v>2502</v>
      </c>
    </row>
    <row r="626" spans="1:14" x14ac:dyDescent="0.2">
      <c r="A626" t="s">
        <v>914</v>
      </c>
      <c r="B626" t="s">
        <v>703</v>
      </c>
      <c r="C626">
        <v>1857</v>
      </c>
      <c r="D626" t="s">
        <v>37</v>
      </c>
      <c r="E626" s="1">
        <v>45334</v>
      </c>
      <c r="F626" s="6">
        <v>1</v>
      </c>
      <c r="G626" t="s">
        <v>32</v>
      </c>
      <c r="H626" t="s">
        <v>57</v>
      </c>
      <c r="I626" t="s">
        <v>2503</v>
      </c>
      <c r="J626" t="s">
        <v>1350</v>
      </c>
      <c r="K626">
        <v>5600</v>
      </c>
      <c r="L626">
        <v>800</v>
      </c>
      <c r="M626">
        <f>Customers_Table[[#This Row],[Quantity Ordered]]*Customers_Table[[#This Row],[Sales Price (Per unit)]]</f>
        <v>800</v>
      </c>
      <c r="N626" t="s">
        <v>2504</v>
      </c>
    </row>
    <row r="627" spans="1:14" x14ac:dyDescent="0.2">
      <c r="A627" t="s">
        <v>915</v>
      </c>
      <c r="B627" t="s">
        <v>916</v>
      </c>
      <c r="C627">
        <v>1858</v>
      </c>
      <c r="D627" t="s">
        <v>76</v>
      </c>
      <c r="E627" s="1">
        <v>45642</v>
      </c>
      <c r="F627" s="6">
        <v>3</v>
      </c>
      <c r="G627" t="s">
        <v>32</v>
      </c>
      <c r="H627" t="s">
        <v>81</v>
      </c>
      <c r="I627" t="s">
        <v>2505</v>
      </c>
      <c r="J627" t="s">
        <v>1280</v>
      </c>
      <c r="K627">
        <v>800</v>
      </c>
      <c r="L627">
        <v>1200</v>
      </c>
      <c r="M627">
        <f>Customers_Table[[#This Row],[Quantity Ordered]]*Customers_Table[[#This Row],[Sales Price (Per unit)]]</f>
        <v>3600</v>
      </c>
      <c r="N627" t="s">
        <v>2506</v>
      </c>
    </row>
    <row r="628" spans="1:14" x14ac:dyDescent="0.2">
      <c r="A628" t="s">
        <v>917</v>
      </c>
      <c r="B628" t="s">
        <v>918</v>
      </c>
      <c r="C628">
        <v>1859</v>
      </c>
      <c r="D628" t="s">
        <v>92</v>
      </c>
      <c r="E628" s="1">
        <v>45350</v>
      </c>
      <c r="F628" s="6">
        <v>2</v>
      </c>
      <c r="G628" s="1" t="s">
        <v>52</v>
      </c>
      <c r="H628" t="s">
        <v>47</v>
      </c>
      <c r="I628" t="s">
        <v>2507</v>
      </c>
      <c r="J628" t="s">
        <v>1247</v>
      </c>
      <c r="K628">
        <v>3350</v>
      </c>
      <c r="L628">
        <v>600</v>
      </c>
      <c r="M628">
        <f>Customers_Table[[#This Row],[Quantity Ordered]]*Customers_Table[[#This Row],[Sales Price (Per unit)]]</f>
        <v>1200</v>
      </c>
      <c r="N628" t="s">
        <v>2508</v>
      </c>
    </row>
    <row r="629" spans="1:14" x14ac:dyDescent="0.2">
      <c r="A629" t="s">
        <v>902</v>
      </c>
      <c r="B629" t="s">
        <v>863</v>
      </c>
      <c r="C629">
        <v>1860</v>
      </c>
      <c r="D629" t="s">
        <v>31</v>
      </c>
      <c r="E629" s="1">
        <v>45358</v>
      </c>
      <c r="F629" s="6">
        <v>2</v>
      </c>
      <c r="G629" s="1" t="s">
        <v>52</v>
      </c>
      <c r="H629" t="s">
        <v>33</v>
      </c>
      <c r="I629" t="s">
        <v>2509</v>
      </c>
      <c r="J629" t="s">
        <v>1259</v>
      </c>
      <c r="K629">
        <v>6160</v>
      </c>
      <c r="L629">
        <v>250</v>
      </c>
      <c r="M629">
        <f>Customers_Table[[#This Row],[Quantity Ordered]]*Customers_Table[[#This Row],[Sales Price (Per unit)]]</f>
        <v>500</v>
      </c>
      <c r="N629" t="s">
        <v>2510</v>
      </c>
    </row>
    <row r="630" spans="1:14" x14ac:dyDescent="0.2">
      <c r="A630" t="s">
        <v>919</v>
      </c>
      <c r="B630" t="s">
        <v>920</v>
      </c>
      <c r="C630">
        <v>1861</v>
      </c>
      <c r="D630" t="s">
        <v>37</v>
      </c>
      <c r="E630" s="1">
        <v>45398</v>
      </c>
      <c r="F630" s="6">
        <v>3</v>
      </c>
      <c r="G630" t="s">
        <v>32</v>
      </c>
      <c r="H630" t="s">
        <v>53</v>
      </c>
      <c r="I630" t="s">
        <v>2511</v>
      </c>
      <c r="J630" t="s">
        <v>1305</v>
      </c>
      <c r="K630">
        <v>4000</v>
      </c>
      <c r="L630">
        <v>800</v>
      </c>
      <c r="M630">
        <f>Customers_Table[[#This Row],[Quantity Ordered]]*Customers_Table[[#This Row],[Sales Price (Per unit)]]</f>
        <v>2400</v>
      </c>
      <c r="N630" t="s">
        <v>2512</v>
      </c>
    </row>
    <row r="631" spans="1:14" x14ac:dyDescent="0.2">
      <c r="A631" t="s">
        <v>921</v>
      </c>
      <c r="B631" t="s">
        <v>845</v>
      </c>
      <c r="C631">
        <v>1862</v>
      </c>
      <c r="D631" t="s">
        <v>76</v>
      </c>
      <c r="E631" s="1">
        <v>45306</v>
      </c>
      <c r="F631" s="6">
        <v>3</v>
      </c>
      <c r="G631" t="s">
        <v>32</v>
      </c>
      <c r="H631" t="s">
        <v>43</v>
      </c>
      <c r="I631" t="s">
        <v>2513</v>
      </c>
      <c r="J631" t="s">
        <v>1244</v>
      </c>
      <c r="K631">
        <v>2300</v>
      </c>
      <c r="L631">
        <v>1200</v>
      </c>
      <c r="M631">
        <f>Customers_Table[[#This Row],[Quantity Ordered]]*Customers_Table[[#This Row],[Sales Price (Per unit)]]</f>
        <v>3600</v>
      </c>
      <c r="N631" t="s">
        <v>2514</v>
      </c>
    </row>
    <row r="632" spans="1:14" x14ac:dyDescent="0.2">
      <c r="A632" t="s">
        <v>922</v>
      </c>
      <c r="B632" t="s">
        <v>923</v>
      </c>
      <c r="C632">
        <v>1863</v>
      </c>
      <c r="D632" t="s">
        <v>37</v>
      </c>
      <c r="E632" s="1">
        <v>45449</v>
      </c>
      <c r="F632" s="6">
        <v>2</v>
      </c>
      <c r="G632" s="1" t="s">
        <v>52</v>
      </c>
      <c r="H632" t="s">
        <v>43</v>
      </c>
      <c r="I632" t="s">
        <v>2515</v>
      </c>
      <c r="J632" t="s">
        <v>1244</v>
      </c>
      <c r="K632">
        <v>2300</v>
      </c>
      <c r="L632">
        <v>800</v>
      </c>
      <c r="M632">
        <f>Customers_Table[[#This Row],[Quantity Ordered]]*Customers_Table[[#This Row],[Sales Price (Per unit)]]</f>
        <v>1600</v>
      </c>
      <c r="N632" t="s">
        <v>2516</v>
      </c>
    </row>
    <row r="633" spans="1:14" x14ac:dyDescent="0.2">
      <c r="A633" t="s">
        <v>924</v>
      </c>
      <c r="B633" t="s">
        <v>472</v>
      </c>
      <c r="C633">
        <v>1864</v>
      </c>
      <c r="D633" t="s">
        <v>37</v>
      </c>
      <c r="E633" s="1">
        <v>45411</v>
      </c>
      <c r="F633" s="6">
        <v>2</v>
      </c>
      <c r="G633" t="s">
        <v>32</v>
      </c>
      <c r="H633" t="s">
        <v>43</v>
      </c>
      <c r="I633" t="s">
        <v>2517</v>
      </c>
      <c r="J633" t="s">
        <v>1299</v>
      </c>
      <c r="K633">
        <v>2500</v>
      </c>
      <c r="L633">
        <v>800</v>
      </c>
      <c r="M633">
        <f>Customers_Table[[#This Row],[Quantity Ordered]]*Customers_Table[[#This Row],[Sales Price (Per unit)]]</f>
        <v>1600</v>
      </c>
      <c r="N633" t="s">
        <v>2518</v>
      </c>
    </row>
    <row r="634" spans="1:14" x14ac:dyDescent="0.2">
      <c r="A634" t="s">
        <v>925</v>
      </c>
      <c r="B634" t="s">
        <v>507</v>
      </c>
      <c r="C634">
        <v>1865</v>
      </c>
      <c r="D634" t="s">
        <v>37</v>
      </c>
      <c r="E634" s="1">
        <v>45491</v>
      </c>
      <c r="F634" s="6">
        <v>3</v>
      </c>
      <c r="G634" t="s">
        <v>71</v>
      </c>
      <c r="H634" t="s">
        <v>57</v>
      </c>
      <c r="I634" t="s">
        <v>2519</v>
      </c>
      <c r="J634" t="s">
        <v>1350</v>
      </c>
      <c r="K634">
        <v>5600</v>
      </c>
      <c r="L634">
        <v>800</v>
      </c>
      <c r="M634">
        <f>Customers_Table[[#This Row],[Quantity Ordered]]*Customers_Table[[#This Row],[Sales Price (Per unit)]]</f>
        <v>2400</v>
      </c>
      <c r="N634" t="s">
        <v>2520</v>
      </c>
    </row>
    <row r="635" spans="1:14" x14ac:dyDescent="0.2">
      <c r="A635" t="s">
        <v>926</v>
      </c>
      <c r="B635" t="s">
        <v>274</v>
      </c>
      <c r="C635">
        <v>1866</v>
      </c>
      <c r="D635" t="s">
        <v>92</v>
      </c>
      <c r="E635" s="1">
        <v>45363</v>
      </c>
      <c r="F635" s="6">
        <v>2</v>
      </c>
      <c r="G635" s="1" t="s">
        <v>52</v>
      </c>
      <c r="H635" t="s">
        <v>39</v>
      </c>
      <c r="I635" t="s">
        <v>2521</v>
      </c>
      <c r="J635" t="s">
        <v>1241</v>
      </c>
      <c r="K635">
        <v>2600</v>
      </c>
      <c r="L635">
        <v>600</v>
      </c>
      <c r="M635">
        <f>Customers_Table[[#This Row],[Quantity Ordered]]*Customers_Table[[#This Row],[Sales Price (Per unit)]]</f>
        <v>1200</v>
      </c>
      <c r="N635" t="s">
        <v>2522</v>
      </c>
    </row>
    <row r="636" spans="1:14" x14ac:dyDescent="0.2">
      <c r="A636" t="s">
        <v>740</v>
      </c>
      <c r="B636" t="s">
        <v>624</v>
      </c>
      <c r="C636">
        <v>1867</v>
      </c>
      <c r="D636" t="s">
        <v>31</v>
      </c>
      <c r="E636" s="1">
        <v>45340</v>
      </c>
      <c r="F636" s="6">
        <v>3</v>
      </c>
      <c r="G636" s="1" t="s">
        <v>38</v>
      </c>
      <c r="H636" t="s">
        <v>57</v>
      </c>
      <c r="I636" t="s">
        <v>2523</v>
      </c>
      <c r="J636" t="s">
        <v>1350</v>
      </c>
      <c r="K636">
        <v>5600</v>
      </c>
      <c r="L636">
        <v>250</v>
      </c>
      <c r="M636">
        <f>Customers_Table[[#This Row],[Quantity Ordered]]*Customers_Table[[#This Row],[Sales Price (Per unit)]]</f>
        <v>750</v>
      </c>
      <c r="N636" t="s">
        <v>2524</v>
      </c>
    </row>
    <row r="637" spans="1:14" x14ac:dyDescent="0.2">
      <c r="A637" t="s">
        <v>927</v>
      </c>
      <c r="B637" t="s">
        <v>928</v>
      </c>
      <c r="C637">
        <v>1868</v>
      </c>
      <c r="D637" t="s">
        <v>51</v>
      </c>
      <c r="E637" s="1">
        <v>45498</v>
      </c>
      <c r="F637" s="6">
        <v>2</v>
      </c>
      <c r="G637" t="s">
        <v>71</v>
      </c>
      <c r="H637" t="s">
        <v>81</v>
      </c>
      <c r="I637" t="s">
        <v>2525</v>
      </c>
      <c r="J637" t="s">
        <v>1280</v>
      </c>
      <c r="K637">
        <v>800</v>
      </c>
      <c r="L637">
        <v>250</v>
      </c>
      <c r="M637">
        <f>Customers_Table[[#This Row],[Quantity Ordered]]*Customers_Table[[#This Row],[Sales Price (Per unit)]]</f>
        <v>500</v>
      </c>
      <c r="N637" t="s">
        <v>2526</v>
      </c>
    </row>
    <row r="638" spans="1:14" x14ac:dyDescent="0.2">
      <c r="A638" t="s">
        <v>929</v>
      </c>
      <c r="B638" t="s">
        <v>100</v>
      </c>
      <c r="C638">
        <v>1869</v>
      </c>
      <c r="D638" t="s">
        <v>42</v>
      </c>
      <c r="E638" s="1">
        <v>45341</v>
      </c>
      <c r="F638" s="6">
        <v>1</v>
      </c>
      <c r="G638" s="1" t="s">
        <v>38</v>
      </c>
      <c r="H638" t="s">
        <v>43</v>
      </c>
      <c r="I638" t="s">
        <v>2527</v>
      </c>
      <c r="J638" t="s">
        <v>1244</v>
      </c>
      <c r="K638">
        <v>2300</v>
      </c>
      <c r="L638">
        <v>300</v>
      </c>
      <c r="M638">
        <f>Customers_Table[[#This Row],[Quantity Ordered]]*Customers_Table[[#This Row],[Sales Price (Per unit)]]</f>
        <v>300</v>
      </c>
      <c r="N638" t="s">
        <v>2528</v>
      </c>
    </row>
    <row r="639" spans="1:14" x14ac:dyDescent="0.2">
      <c r="A639" t="s">
        <v>930</v>
      </c>
      <c r="B639" t="s">
        <v>931</v>
      </c>
      <c r="C639">
        <v>1870</v>
      </c>
      <c r="D639" t="s">
        <v>42</v>
      </c>
      <c r="E639" s="1">
        <v>45556</v>
      </c>
      <c r="F639" s="6">
        <v>3</v>
      </c>
      <c r="G639" t="s">
        <v>32</v>
      </c>
      <c r="H639" t="s">
        <v>33</v>
      </c>
      <c r="I639" t="s">
        <v>2529</v>
      </c>
      <c r="J639" t="s">
        <v>1238</v>
      </c>
      <c r="K639">
        <v>6725</v>
      </c>
      <c r="L639">
        <v>300</v>
      </c>
      <c r="M639">
        <f>Customers_Table[[#This Row],[Quantity Ordered]]*Customers_Table[[#This Row],[Sales Price (Per unit)]]</f>
        <v>900</v>
      </c>
      <c r="N639" t="s">
        <v>2530</v>
      </c>
    </row>
    <row r="640" spans="1:14" x14ac:dyDescent="0.2">
      <c r="A640" t="s">
        <v>171</v>
      </c>
      <c r="B640" t="s">
        <v>932</v>
      </c>
      <c r="C640">
        <v>1871</v>
      </c>
      <c r="D640" t="s">
        <v>51</v>
      </c>
      <c r="E640" s="1">
        <v>45437</v>
      </c>
      <c r="F640" s="6">
        <v>3</v>
      </c>
      <c r="G640" s="1" t="s">
        <v>52</v>
      </c>
      <c r="H640" t="s">
        <v>47</v>
      </c>
      <c r="I640" t="s">
        <v>2531</v>
      </c>
      <c r="J640" t="s">
        <v>1275</v>
      </c>
      <c r="K640">
        <v>3000</v>
      </c>
      <c r="L640">
        <v>250</v>
      </c>
      <c r="M640">
        <f>Customers_Table[[#This Row],[Quantity Ordered]]*Customers_Table[[#This Row],[Sales Price (Per unit)]]</f>
        <v>750</v>
      </c>
      <c r="N640" t="s">
        <v>2532</v>
      </c>
    </row>
    <row r="641" spans="1:14" x14ac:dyDescent="0.2">
      <c r="A641" t="s">
        <v>933</v>
      </c>
      <c r="B641" t="s">
        <v>934</v>
      </c>
      <c r="C641">
        <v>1872</v>
      </c>
      <c r="D641" t="s">
        <v>42</v>
      </c>
      <c r="E641" s="1">
        <v>45551</v>
      </c>
      <c r="F641" s="6">
        <v>1</v>
      </c>
      <c r="G641" s="1" t="s">
        <v>52</v>
      </c>
      <c r="H641" t="s">
        <v>47</v>
      </c>
      <c r="I641" t="s">
        <v>2533</v>
      </c>
      <c r="J641" t="s">
        <v>1256</v>
      </c>
      <c r="K641">
        <v>3220</v>
      </c>
      <c r="L641">
        <v>300</v>
      </c>
      <c r="M641">
        <f>Customers_Table[[#This Row],[Quantity Ordered]]*Customers_Table[[#This Row],[Sales Price (Per unit)]]</f>
        <v>300</v>
      </c>
      <c r="N641" t="s">
        <v>2534</v>
      </c>
    </row>
    <row r="642" spans="1:14" x14ac:dyDescent="0.2">
      <c r="A642" t="s">
        <v>241</v>
      </c>
      <c r="B642" t="s">
        <v>221</v>
      </c>
      <c r="C642">
        <v>1873</v>
      </c>
      <c r="D642" t="s">
        <v>51</v>
      </c>
      <c r="E642" s="1">
        <v>45556</v>
      </c>
      <c r="F642" s="6">
        <v>1</v>
      </c>
      <c r="G642" s="1" t="s">
        <v>38</v>
      </c>
      <c r="H642" t="s">
        <v>47</v>
      </c>
      <c r="I642" t="s">
        <v>2535</v>
      </c>
      <c r="J642" t="s">
        <v>1275</v>
      </c>
      <c r="K642">
        <v>3000</v>
      </c>
      <c r="L642">
        <v>250</v>
      </c>
      <c r="M642">
        <f>Customers_Table[[#This Row],[Quantity Ordered]]*Customers_Table[[#This Row],[Sales Price (Per unit)]]</f>
        <v>250</v>
      </c>
      <c r="N642" t="s">
        <v>2536</v>
      </c>
    </row>
    <row r="643" spans="1:14" x14ac:dyDescent="0.2">
      <c r="A643" t="s">
        <v>362</v>
      </c>
      <c r="B643" t="s">
        <v>475</v>
      </c>
      <c r="C643">
        <v>1874</v>
      </c>
      <c r="D643" t="s">
        <v>76</v>
      </c>
      <c r="E643" s="1">
        <v>45486</v>
      </c>
      <c r="F643" s="6">
        <v>3</v>
      </c>
      <c r="G643" t="s">
        <v>32</v>
      </c>
      <c r="H643" t="s">
        <v>47</v>
      </c>
      <c r="I643" t="s">
        <v>2537</v>
      </c>
      <c r="J643" t="s">
        <v>1247</v>
      </c>
      <c r="K643">
        <v>3350</v>
      </c>
      <c r="L643">
        <v>1200</v>
      </c>
      <c r="M643">
        <f>Customers_Table[[#This Row],[Quantity Ordered]]*Customers_Table[[#This Row],[Sales Price (Per unit)]]</f>
        <v>3600</v>
      </c>
      <c r="N643" t="s">
        <v>2538</v>
      </c>
    </row>
    <row r="644" spans="1:14" x14ac:dyDescent="0.2">
      <c r="A644" t="s">
        <v>935</v>
      </c>
      <c r="B644" t="s">
        <v>416</v>
      </c>
      <c r="C644">
        <v>1875</v>
      </c>
      <c r="D644" t="s">
        <v>76</v>
      </c>
      <c r="E644" s="1">
        <v>45528</v>
      </c>
      <c r="F644" s="6">
        <v>1</v>
      </c>
      <c r="G644" t="s">
        <v>32</v>
      </c>
      <c r="H644" t="s">
        <v>64</v>
      </c>
      <c r="I644" t="s">
        <v>2539</v>
      </c>
      <c r="J644" t="s">
        <v>1400</v>
      </c>
      <c r="K644">
        <v>7310</v>
      </c>
      <c r="L644">
        <v>1200</v>
      </c>
      <c r="M644">
        <f>Customers_Table[[#This Row],[Quantity Ordered]]*Customers_Table[[#This Row],[Sales Price (Per unit)]]</f>
        <v>1200</v>
      </c>
      <c r="N644" t="s">
        <v>2540</v>
      </c>
    </row>
    <row r="645" spans="1:14" x14ac:dyDescent="0.2">
      <c r="A645" t="s">
        <v>485</v>
      </c>
      <c r="B645" t="s">
        <v>372</v>
      </c>
      <c r="C645">
        <v>1876</v>
      </c>
      <c r="D645" t="s">
        <v>51</v>
      </c>
      <c r="E645" s="1">
        <v>45298</v>
      </c>
      <c r="F645" s="6">
        <v>2</v>
      </c>
      <c r="G645" s="1" t="s">
        <v>52</v>
      </c>
      <c r="H645" t="s">
        <v>81</v>
      </c>
      <c r="I645" t="s">
        <v>2541</v>
      </c>
      <c r="J645" t="s">
        <v>1280</v>
      </c>
      <c r="K645">
        <v>800</v>
      </c>
      <c r="L645">
        <v>250</v>
      </c>
      <c r="M645">
        <f>Customers_Table[[#This Row],[Quantity Ordered]]*Customers_Table[[#This Row],[Sales Price (Per unit)]]</f>
        <v>500</v>
      </c>
      <c r="N645" t="s">
        <v>2542</v>
      </c>
    </row>
    <row r="646" spans="1:14" x14ac:dyDescent="0.2">
      <c r="A646" t="s">
        <v>936</v>
      </c>
      <c r="B646" t="s">
        <v>937</v>
      </c>
      <c r="C646">
        <v>1877</v>
      </c>
      <c r="D646" t="s">
        <v>37</v>
      </c>
      <c r="E646" s="1">
        <v>45402</v>
      </c>
      <c r="F646" s="6">
        <v>3</v>
      </c>
      <c r="G646" t="s">
        <v>32</v>
      </c>
      <c r="H646" t="s">
        <v>47</v>
      </c>
      <c r="I646" t="s">
        <v>2543</v>
      </c>
      <c r="J646" t="s">
        <v>1275</v>
      </c>
      <c r="K646">
        <v>3000</v>
      </c>
      <c r="L646">
        <v>800</v>
      </c>
      <c r="M646">
        <f>Customers_Table[[#This Row],[Quantity Ordered]]*Customers_Table[[#This Row],[Sales Price (Per unit)]]</f>
        <v>2400</v>
      </c>
      <c r="N646" t="s">
        <v>2544</v>
      </c>
    </row>
    <row r="647" spans="1:14" x14ac:dyDescent="0.2">
      <c r="A647" t="s">
        <v>404</v>
      </c>
      <c r="B647" t="s">
        <v>938</v>
      </c>
      <c r="C647">
        <v>1878</v>
      </c>
      <c r="D647" t="s">
        <v>76</v>
      </c>
      <c r="E647" s="1">
        <v>45474</v>
      </c>
      <c r="F647" s="6">
        <v>2</v>
      </c>
      <c r="G647" t="s">
        <v>32</v>
      </c>
      <c r="H647" t="s">
        <v>43</v>
      </c>
      <c r="I647" t="s">
        <v>2545</v>
      </c>
      <c r="J647" t="s">
        <v>1244</v>
      </c>
      <c r="K647">
        <v>2300</v>
      </c>
      <c r="L647">
        <v>1200</v>
      </c>
      <c r="M647">
        <f>Customers_Table[[#This Row],[Quantity Ordered]]*Customers_Table[[#This Row],[Sales Price (Per unit)]]</f>
        <v>2400</v>
      </c>
      <c r="N647" t="s">
        <v>2546</v>
      </c>
    </row>
    <row r="648" spans="1:14" x14ac:dyDescent="0.2">
      <c r="A648" t="s">
        <v>744</v>
      </c>
      <c r="B648" t="s">
        <v>939</v>
      </c>
      <c r="C648">
        <v>1879</v>
      </c>
      <c r="D648" t="s">
        <v>37</v>
      </c>
      <c r="E648" s="1">
        <v>45617</v>
      </c>
      <c r="F648" s="6">
        <v>3</v>
      </c>
      <c r="G648" s="1" t="s">
        <v>38</v>
      </c>
      <c r="H648" t="s">
        <v>81</v>
      </c>
      <c r="I648" t="s">
        <v>2547</v>
      </c>
      <c r="J648" t="s">
        <v>1280</v>
      </c>
      <c r="K648">
        <v>800</v>
      </c>
      <c r="L648">
        <v>800</v>
      </c>
      <c r="M648">
        <f>Customers_Table[[#This Row],[Quantity Ordered]]*Customers_Table[[#This Row],[Sales Price (Per unit)]]</f>
        <v>2400</v>
      </c>
      <c r="N648" t="s">
        <v>2548</v>
      </c>
    </row>
    <row r="649" spans="1:14" x14ac:dyDescent="0.2">
      <c r="A649" t="s">
        <v>940</v>
      </c>
      <c r="B649" t="s">
        <v>725</v>
      </c>
      <c r="C649">
        <v>1880</v>
      </c>
      <c r="D649" t="s">
        <v>37</v>
      </c>
      <c r="E649" s="1">
        <v>45483</v>
      </c>
      <c r="F649" s="6">
        <v>2</v>
      </c>
      <c r="G649" s="1" t="s">
        <v>52</v>
      </c>
      <c r="H649" t="s">
        <v>33</v>
      </c>
      <c r="I649" t="s">
        <v>2549</v>
      </c>
      <c r="J649" t="s">
        <v>1259</v>
      </c>
      <c r="K649">
        <v>6160</v>
      </c>
      <c r="L649">
        <v>800</v>
      </c>
      <c r="M649">
        <f>Customers_Table[[#This Row],[Quantity Ordered]]*Customers_Table[[#This Row],[Sales Price (Per unit)]]</f>
        <v>1600</v>
      </c>
      <c r="N649" t="s">
        <v>2550</v>
      </c>
    </row>
    <row r="650" spans="1:14" x14ac:dyDescent="0.2">
      <c r="A650" t="s">
        <v>315</v>
      </c>
      <c r="B650" t="s">
        <v>592</v>
      </c>
      <c r="C650">
        <v>1881</v>
      </c>
      <c r="D650" t="s">
        <v>76</v>
      </c>
      <c r="E650" s="1">
        <v>45528</v>
      </c>
      <c r="F650" s="6">
        <v>2</v>
      </c>
      <c r="G650" t="s">
        <v>32</v>
      </c>
      <c r="H650" t="s">
        <v>81</v>
      </c>
      <c r="I650" t="s">
        <v>2551</v>
      </c>
      <c r="J650" t="s">
        <v>1280</v>
      </c>
      <c r="K650">
        <v>800</v>
      </c>
      <c r="L650">
        <v>1200</v>
      </c>
      <c r="M650">
        <f>Customers_Table[[#This Row],[Quantity Ordered]]*Customers_Table[[#This Row],[Sales Price (Per unit)]]</f>
        <v>2400</v>
      </c>
      <c r="N650" t="s">
        <v>2552</v>
      </c>
    </row>
    <row r="651" spans="1:14" x14ac:dyDescent="0.2">
      <c r="A651" t="s">
        <v>941</v>
      </c>
      <c r="B651" t="s">
        <v>942</v>
      </c>
      <c r="C651">
        <v>1882</v>
      </c>
      <c r="D651" t="s">
        <v>51</v>
      </c>
      <c r="E651" s="1">
        <v>45323</v>
      </c>
      <c r="F651" s="6">
        <v>2</v>
      </c>
      <c r="G651" s="1" t="s">
        <v>52</v>
      </c>
      <c r="H651" t="s">
        <v>33</v>
      </c>
      <c r="I651" t="s">
        <v>2553</v>
      </c>
      <c r="J651" t="s">
        <v>1259</v>
      </c>
      <c r="K651">
        <v>6160</v>
      </c>
      <c r="L651">
        <v>250</v>
      </c>
      <c r="M651">
        <f>Customers_Table[[#This Row],[Quantity Ordered]]*Customers_Table[[#This Row],[Sales Price (Per unit)]]</f>
        <v>500</v>
      </c>
      <c r="N651" t="s">
        <v>2554</v>
      </c>
    </row>
    <row r="652" spans="1:14" x14ac:dyDescent="0.2">
      <c r="A652" t="s">
        <v>667</v>
      </c>
      <c r="B652" t="s">
        <v>943</v>
      </c>
      <c r="C652">
        <v>1883</v>
      </c>
      <c r="D652" t="s">
        <v>42</v>
      </c>
      <c r="E652" s="1">
        <v>45620</v>
      </c>
      <c r="F652" s="6">
        <v>2</v>
      </c>
      <c r="G652" t="s">
        <v>71</v>
      </c>
      <c r="H652" t="s">
        <v>33</v>
      </c>
      <c r="I652" t="s">
        <v>2555</v>
      </c>
      <c r="J652" t="s">
        <v>1238</v>
      </c>
      <c r="K652">
        <v>6725</v>
      </c>
      <c r="L652">
        <v>300</v>
      </c>
      <c r="M652">
        <f>Customers_Table[[#This Row],[Quantity Ordered]]*Customers_Table[[#This Row],[Sales Price (Per unit)]]</f>
        <v>600</v>
      </c>
      <c r="N652" t="s">
        <v>2556</v>
      </c>
    </row>
    <row r="653" spans="1:14" x14ac:dyDescent="0.2">
      <c r="A653" t="s">
        <v>325</v>
      </c>
      <c r="B653" t="s">
        <v>879</v>
      </c>
      <c r="C653">
        <v>1884</v>
      </c>
      <c r="D653" t="s">
        <v>37</v>
      </c>
      <c r="E653" s="1">
        <v>45470</v>
      </c>
      <c r="F653" s="6">
        <v>2</v>
      </c>
      <c r="G653" s="1" t="s">
        <v>52</v>
      </c>
      <c r="H653" t="s">
        <v>47</v>
      </c>
      <c r="I653" t="s">
        <v>2557</v>
      </c>
      <c r="J653" t="s">
        <v>1275</v>
      </c>
      <c r="K653">
        <v>3000</v>
      </c>
      <c r="L653">
        <v>800</v>
      </c>
      <c r="M653">
        <f>Customers_Table[[#This Row],[Quantity Ordered]]*Customers_Table[[#This Row],[Sales Price (Per unit)]]</f>
        <v>1600</v>
      </c>
      <c r="N653" t="s">
        <v>2558</v>
      </c>
    </row>
    <row r="654" spans="1:14" x14ac:dyDescent="0.2">
      <c r="A654" t="s">
        <v>310</v>
      </c>
      <c r="B654" t="s">
        <v>944</v>
      </c>
      <c r="C654">
        <v>1885</v>
      </c>
      <c r="D654" t="s">
        <v>51</v>
      </c>
      <c r="E654" s="1">
        <v>45418</v>
      </c>
      <c r="F654" s="6">
        <v>1</v>
      </c>
      <c r="G654" s="1" t="s">
        <v>52</v>
      </c>
      <c r="H654" t="s">
        <v>57</v>
      </c>
      <c r="I654" t="s">
        <v>2559</v>
      </c>
      <c r="J654" t="s">
        <v>1350</v>
      </c>
      <c r="K654">
        <v>5600</v>
      </c>
      <c r="L654">
        <v>250</v>
      </c>
      <c r="M654">
        <f>Customers_Table[[#This Row],[Quantity Ordered]]*Customers_Table[[#This Row],[Sales Price (Per unit)]]</f>
        <v>250</v>
      </c>
      <c r="N654" t="s">
        <v>2560</v>
      </c>
    </row>
    <row r="655" spans="1:14" x14ac:dyDescent="0.2">
      <c r="A655" t="s">
        <v>892</v>
      </c>
      <c r="B655" t="s">
        <v>945</v>
      </c>
      <c r="C655">
        <v>1886</v>
      </c>
      <c r="D655" t="s">
        <v>37</v>
      </c>
      <c r="E655" s="1">
        <v>45503</v>
      </c>
      <c r="F655" s="6">
        <v>1</v>
      </c>
      <c r="G655" t="s">
        <v>32</v>
      </c>
      <c r="H655" t="s">
        <v>81</v>
      </c>
      <c r="I655" t="s">
        <v>2561</v>
      </c>
      <c r="J655" t="s">
        <v>1280</v>
      </c>
      <c r="K655">
        <v>800</v>
      </c>
      <c r="L655">
        <v>800</v>
      </c>
      <c r="M655">
        <f>Customers_Table[[#This Row],[Quantity Ordered]]*Customers_Table[[#This Row],[Sales Price (Per unit)]]</f>
        <v>800</v>
      </c>
      <c r="N655" t="s">
        <v>2562</v>
      </c>
    </row>
    <row r="656" spans="1:14" x14ac:dyDescent="0.2">
      <c r="A656" t="s">
        <v>946</v>
      </c>
      <c r="B656" t="s">
        <v>947</v>
      </c>
      <c r="C656">
        <v>1887</v>
      </c>
      <c r="D656" t="s">
        <v>37</v>
      </c>
      <c r="E656" s="1">
        <v>45307</v>
      </c>
      <c r="F656" s="6">
        <v>3</v>
      </c>
      <c r="G656" t="s">
        <v>32</v>
      </c>
      <c r="H656" t="s">
        <v>64</v>
      </c>
      <c r="I656" t="s">
        <v>2563</v>
      </c>
      <c r="J656" t="s">
        <v>1262</v>
      </c>
      <c r="K656">
        <v>7250</v>
      </c>
      <c r="L656">
        <v>800</v>
      </c>
      <c r="M656">
        <f>Customers_Table[[#This Row],[Quantity Ordered]]*Customers_Table[[#This Row],[Sales Price (Per unit)]]</f>
        <v>2400</v>
      </c>
      <c r="N656" t="s">
        <v>2564</v>
      </c>
    </row>
    <row r="657" spans="1:14" x14ac:dyDescent="0.2">
      <c r="A657" t="s">
        <v>948</v>
      </c>
      <c r="B657" t="s">
        <v>255</v>
      </c>
      <c r="C657">
        <v>1888</v>
      </c>
      <c r="D657" t="s">
        <v>37</v>
      </c>
      <c r="E657" s="1">
        <v>45610</v>
      </c>
      <c r="F657" s="6">
        <v>1</v>
      </c>
      <c r="G657" t="s">
        <v>32</v>
      </c>
      <c r="H657" t="s">
        <v>33</v>
      </c>
      <c r="I657" t="s">
        <v>2565</v>
      </c>
      <c r="J657" t="s">
        <v>1238</v>
      </c>
      <c r="K657">
        <v>6725</v>
      </c>
      <c r="L657">
        <v>800</v>
      </c>
      <c r="M657">
        <f>Customers_Table[[#This Row],[Quantity Ordered]]*Customers_Table[[#This Row],[Sales Price (Per unit)]]</f>
        <v>800</v>
      </c>
      <c r="N657" t="s">
        <v>2566</v>
      </c>
    </row>
    <row r="658" spans="1:14" x14ac:dyDescent="0.2">
      <c r="A658" t="s">
        <v>949</v>
      </c>
      <c r="B658" t="s">
        <v>950</v>
      </c>
      <c r="C658">
        <v>1889</v>
      </c>
      <c r="D658" t="s">
        <v>92</v>
      </c>
      <c r="E658" s="1">
        <v>45439</v>
      </c>
      <c r="F658" s="6">
        <v>3</v>
      </c>
      <c r="G658" t="s">
        <v>71</v>
      </c>
      <c r="H658" t="s">
        <v>39</v>
      </c>
      <c r="I658" t="s">
        <v>2567</v>
      </c>
      <c r="J658" t="s">
        <v>1241</v>
      </c>
      <c r="K658">
        <v>2600</v>
      </c>
      <c r="L658">
        <v>600</v>
      </c>
      <c r="M658">
        <f>Customers_Table[[#This Row],[Quantity Ordered]]*Customers_Table[[#This Row],[Sales Price (Per unit)]]</f>
        <v>1800</v>
      </c>
      <c r="N658" t="s">
        <v>2568</v>
      </c>
    </row>
    <row r="659" spans="1:14" x14ac:dyDescent="0.2">
      <c r="A659" t="s">
        <v>79</v>
      </c>
      <c r="B659" t="s">
        <v>951</v>
      </c>
      <c r="C659">
        <v>1890</v>
      </c>
      <c r="D659" t="s">
        <v>76</v>
      </c>
      <c r="E659" s="1">
        <v>45584</v>
      </c>
      <c r="F659" s="6">
        <v>3</v>
      </c>
      <c r="G659" s="1" t="s">
        <v>52</v>
      </c>
      <c r="H659" t="s">
        <v>53</v>
      </c>
      <c r="I659" t="s">
        <v>2569</v>
      </c>
      <c r="J659" t="s">
        <v>1250</v>
      </c>
      <c r="K659">
        <v>4217</v>
      </c>
      <c r="L659">
        <v>1200</v>
      </c>
      <c r="M659">
        <f>Customers_Table[[#This Row],[Quantity Ordered]]*Customers_Table[[#This Row],[Sales Price (Per unit)]]</f>
        <v>3600</v>
      </c>
      <c r="N659" t="s">
        <v>2570</v>
      </c>
    </row>
    <row r="660" spans="1:14" x14ac:dyDescent="0.2">
      <c r="A660" t="s">
        <v>952</v>
      </c>
      <c r="B660" t="s">
        <v>727</v>
      </c>
      <c r="C660">
        <v>1891</v>
      </c>
      <c r="D660" t="s">
        <v>92</v>
      </c>
      <c r="E660" s="1">
        <v>45502</v>
      </c>
      <c r="F660" s="6">
        <v>2</v>
      </c>
      <c r="G660" s="1" t="s">
        <v>52</v>
      </c>
      <c r="H660" t="s">
        <v>64</v>
      </c>
      <c r="I660" t="s">
        <v>2571</v>
      </c>
      <c r="J660" t="s">
        <v>1400</v>
      </c>
      <c r="K660">
        <v>7310</v>
      </c>
      <c r="L660">
        <v>600</v>
      </c>
      <c r="M660">
        <f>Customers_Table[[#This Row],[Quantity Ordered]]*Customers_Table[[#This Row],[Sales Price (Per unit)]]</f>
        <v>1200</v>
      </c>
      <c r="N660" t="s">
        <v>2572</v>
      </c>
    </row>
    <row r="661" spans="1:14" x14ac:dyDescent="0.2">
      <c r="A661" t="s">
        <v>953</v>
      </c>
      <c r="B661" t="s">
        <v>954</v>
      </c>
      <c r="C661">
        <v>1892</v>
      </c>
      <c r="D661" t="s">
        <v>92</v>
      </c>
      <c r="E661" s="1">
        <v>45534</v>
      </c>
      <c r="F661" s="6">
        <v>2</v>
      </c>
      <c r="G661" s="1" t="s">
        <v>52</v>
      </c>
      <c r="H661" t="s">
        <v>43</v>
      </c>
      <c r="I661" t="s">
        <v>2573</v>
      </c>
      <c r="J661" t="s">
        <v>1299</v>
      </c>
      <c r="K661">
        <v>2500</v>
      </c>
      <c r="L661">
        <v>600</v>
      </c>
      <c r="M661">
        <f>Customers_Table[[#This Row],[Quantity Ordered]]*Customers_Table[[#This Row],[Sales Price (Per unit)]]</f>
        <v>1200</v>
      </c>
      <c r="N661" t="s">
        <v>2574</v>
      </c>
    </row>
    <row r="662" spans="1:14" x14ac:dyDescent="0.2">
      <c r="A662" t="s">
        <v>180</v>
      </c>
      <c r="B662" t="s">
        <v>494</v>
      </c>
      <c r="C662">
        <v>1893</v>
      </c>
      <c r="D662" t="s">
        <v>92</v>
      </c>
      <c r="E662" s="1">
        <v>45539</v>
      </c>
      <c r="F662" s="6">
        <v>1</v>
      </c>
      <c r="G662" s="1" t="s">
        <v>38</v>
      </c>
      <c r="H662" t="s">
        <v>53</v>
      </c>
      <c r="I662" t="s">
        <v>2575</v>
      </c>
      <c r="J662" t="s">
        <v>1250</v>
      </c>
      <c r="K662">
        <v>4217</v>
      </c>
      <c r="L662">
        <v>600</v>
      </c>
      <c r="M662">
        <f>Customers_Table[[#This Row],[Quantity Ordered]]*Customers_Table[[#This Row],[Sales Price (Per unit)]]</f>
        <v>600</v>
      </c>
      <c r="N662" t="s">
        <v>2576</v>
      </c>
    </row>
    <row r="663" spans="1:14" x14ac:dyDescent="0.2">
      <c r="A663" t="s">
        <v>955</v>
      </c>
      <c r="B663" t="s">
        <v>151</v>
      </c>
      <c r="C663">
        <v>1894</v>
      </c>
      <c r="D663" t="s">
        <v>76</v>
      </c>
      <c r="E663" s="1">
        <v>45328</v>
      </c>
      <c r="F663" s="6">
        <v>1</v>
      </c>
      <c r="G663" s="1" t="s">
        <v>38</v>
      </c>
      <c r="H663" t="s">
        <v>64</v>
      </c>
      <c r="I663" t="s">
        <v>2577</v>
      </c>
      <c r="J663" t="s">
        <v>1400</v>
      </c>
      <c r="K663">
        <v>7310</v>
      </c>
      <c r="L663">
        <v>1200</v>
      </c>
      <c r="M663">
        <f>Customers_Table[[#This Row],[Quantity Ordered]]*Customers_Table[[#This Row],[Sales Price (Per unit)]]</f>
        <v>1200</v>
      </c>
      <c r="N663" t="s">
        <v>2578</v>
      </c>
    </row>
    <row r="664" spans="1:14" x14ac:dyDescent="0.2">
      <c r="A664" t="s">
        <v>956</v>
      </c>
      <c r="B664" t="s">
        <v>957</v>
      </c>
      <c r="C664">
        <v>1895</v>
      </c>
      <c r="D664" t="s">
        <v>31</v>
      </c>
      <c r="E664" s="1">
        <v>45398</v>
      </c>
      <c r="F664" s="6">
        <v>2</v>
      </c>
      <c r="G664" s="1" t="s">
        <v>52</v>
      </c>
      <c r="H664" t="s">
        <v>64</v>
      </c>
      <c r="I664" t="s">
        <v>2579</v>
      </c>
      <c r="J664" t="s">
        <v>1400</v>
      </c>
      <c r="K664">
        <v>7310</v>
      </c>
      <c r="L664">
        <v>250</v>
      </c>
      <c r="M664">
        <f>Customers_Table[[#This Row],[Quantity Ordered]]*Customers_Table[[#This Row],[Sales Price (Per unit)]]</f>
        <v>500</v>
      </c>
      <c r="N664" t="s">
        <v>2580</v>
      </c>
    </row>
    <row r="665" spans="1:14" x14ac:dyDescent="0.2">
      <c r="A665" t="s">
        <v>958</v>
      </c>
      <c r="B665" t="s">
        <v>959</v>
      </c>
      <c r="C665">
        <v>1896</v>
      </c>
      <c r="D665" t="s">
        <v>51</v>
      </c>
      <c r="E665" s="1">
        <v>45311</v>
      </c>
      <c r="F665" s="6">
        <v>2</v>
      </c>
      <c r="G665" s="1" t="s">
        <v>52</v>
      </c>
      <c r="H665" t="s">
        <v>47</v>
      </c>
      <c r="I665" t="s">
        <v>2581</v>
      </c>
      <c r="J665" t="s">
        <v>1275</v>
      </c>
      <c r="K665">
        <v>3000</v>
      </c>
      <c r="L665">
        <v>250</v>
      </c>
      <c r="M665">
        <f>Customers_Table[[#This Row],[Quantity Ordered]]*Customers_Table[[#This Row],[Sales Price (Per unit)]]</f>
        <v>500</v>
      </c>
      <c r="N665" t="s">
        <v>2582</v>
      </c>
    </row>
    <row r="666" spans="1:14" x14ac:dyDescent="0.2">
      <c r="A666" t="s">
        <v>510</v>
      </c>
      <c r="B666" t="s">
        <v>845</v>
      </c>
      <c r="C666">
        <v>1897</v>
      </c>
      <c r="D666" t="s">
        <v>76</v>
      </c>
      <c r="E666" s="1">
        <v>45299</v>
      </c>
      <c r="F666" s="6">
        <v>3</v>
      </c>
      <c r="G666" t="s">
        <v>71</v>
      </c>
      <c r="H666" t="s">
        <v>33</v>
      </c>
      <c r="I666" t="s">
        <v>2583</v>
      </c>
      <c r="J666" t="s">
        <v>1259</v>
      </c>
      <c r="K666">
        <v>6160</v>
      </c>
      <c r="L666">
        <v>1200</v>
      </c>
      <c r="M666">
        <f>Customers_Table[[#This Row],[Quantity Ordered]]*Customers_Table[[#This Row],[Sales Price (Per unit)]]</f>
        <v>3600</v>
      </c>
      <c r="N666" t="s">
        <v>2584</v>
      </c>
    </row>
    <row r="667" spans="1:14" x14ac:dyDescent="0.2">
      <c r="A667" t="s">
        <v>960</v>
      </c>
      <c r="B667" t="s">
        <v>961</v>
      </c>
      <c r="C667">
        <v>1898</v>
      </c>
      <c r="D667" t="s">
        <v>76</v>
      </c>
      <c r="E667" s="1">
        <v>45423</v>
      </c>
      <c r="F667" s="6">
        <v>3</v>
      </c>
      <c r="G667" t="s">
        <v>32</v>
      </c>
      <c r="H667" t="s">
        <v>53</v>
      </c>
      <c r="I667" t="s">
        <v>2585</v>
      </c>
      <c r="J667" t="s">
        <v>1305</v>
      </c>
      <c r="K667">
        <v>4000</v>
      </c>
      <c r="L667">
        <v>1200</v>
      </c>
      <c r="M667">
        <f>Customers_Table[[#This Row],[Quantity Ordered]]*Customers_Table[[#This Row],[Sales Price (Per unit)]]</f>
        <v>3600</v>
      </c>
      <c r="N667" t="s">
        <v>2586</v>
      </c>
    </row>
    <row r="668" spans="1:14" x14ac:dyDescent="0.2">
      <c r="A668" t="s">
        <v>951</v>
      </c>
      <c r="B668" t="s">
        <v>456</v>
      </c>
      <c r="C668">
        <v>1899</v>
      </c>
      <c r="D668" t="s">
        <v>31</v>
      </c>
      <c r="E668" s="1">
        <v>45378</v>
      </c>
      <c r="F668" s="6">
        <v>1</v>
      </c>
      <c r="G668" t="s">
        <v>32</v>
      </c>
      <c r="H668" t="s">
        <v>33</v>
      </c>
      <c r="I668" t="s">
        <v>2587</v>
      </c>
      <c r="J668" t="s">
        <v>1238</v>
      </c>
      <c r="K668">
        <v>6725</v>
      </c>
      <c r="L668">
        <v>250</v>
      </c>
      <c r="M668">
        <f>Customers_Table[[#This Row],[Quantity Ordered]]*Customers_Table[[#This Row],[Sales Price (Per unit)]]</f>
        <v>250</v>
      </c>
      <c r="N668" t="s">
        <v>2588</v>
      </c>
    </row>
    <row r="669" spans="1:14" x14ac:dyDescent="0.2">
      <c r="A669" t="s">
        <v>302</v>
      </c>
      <c r="B669" t="s">
        <v>962</v>
      </c>
      <c r="C669">
        <v>1900</v>
      </c>
      <c r="D669" t="s">
        <v>37</v>
      </c>
      <c r="E669" s="1">
        <v>45611</v>
      </c>
      <c r="F669" s="6">
        <v>1</v>
      </c>
      <c r="G669" t="s">
        <v>32</v>
      </c>
      <c r="H669" t="s">
        <v>64</v>
      </c>
      <c r="I669" t="s">
        <v>2589</v>
      </c>
      <c r="J669" t="s">
        <v>1262</v>
      </c>
      <c r="K669">
        <v>7250</v>
      </c>
      <c r="L669">
        <v>800</v>
      </c>
      <c r="M669">
        <f>Customers_Table[[#This Row],[Quantity Ordered]]*Customers_Table[[#This Row],[Sales Price (Per unit)]]</f>
        <v>800</v>
      </c>
      <c r="N669" t="s">
        <v>2590</v>
      </c>
    </row>
    <row r="670" spans="1:14" x14ac:dyDescent="0.2">
      <c r="A670" t="s">
        <v>851</v>
      </c>
      <c r="B670" t="s">
        <v>963</v>
      </c>
      <c r="C670">
        <v>1901</v>
      </c>
      <c r="D670" t="s">
        <v>51</v>
      </c>
      <c r="E670" s="1">
        <v>45452</v>
      </c>
      <c r="F670" s="6">
        <v>2</v>
      </c>
      <c r="G670" s="1" t="s">
        <v>52</v>
      </c>
      <c r="H670" t="s">
        <v>81</v>
      </c>
      <c r="I670" t="s">
        <v>2591</v>
      </c>
      <c r="J670" t="s">
        <v>1361</v>
      </c>
      <c r="K670">
        <v>870</v>
      </c>
      <c r="L670">
        <v>250</v>
      </c>
      <c r="M670">
        <f>Customers_Table[[#This Row],[Quantity Ordered]]*Customers_Table[[#This Row],[Sales Price (Per unit)]]</f>
        <v>500</v>
      </c>
      <c r="N670" t="s">
        <v>2592</v>
      </c>
    </row>
    <row r="671" spans="1:14" x14ac:dyDescent="0.2">
      <c r="A671" t="s">
        <v>193</v>
      </c>
      <c r="B671" t="s">
        <v>964</v>
      </c>
      <c r="C671">
        <v>1902</v>
      </c>
      <c r="D671" t="s">
        <v>51</v>
      </c>
      <c r="E671" s="1">
        <v>45614</v>
      </c>
      <c r="F671" s="6">
        <v>1</v>
      </c>
      <c r="G671" s="1" t="s">
        <v>52</v>
      </c>
      <c r="H671" t="s">
        <v>39</v>
      </c>
      <c r="I671" t="s">
        <v>2593</v>
      </c>
      <c r="J671" t="s">
        <v>1241</v>
      </c>
      <c r="K671">
        <v>2600</v>
      </c>
      <c r="L671">
        <v>250</v>
      </c>
      <c r="M671">
        <f>Customers_Table[[#This Row],[Quantity Ordered]]*Customers_Table[[#This Row],[Sales Price (Per unit)]]</f>
        <v>250</v>
      </c>
      <c r="N671" t="s">
        <v>2594</v>
      </c>
    </row>
    <row r="672" spans="1:14" x14ac:dyDescent="0.2">
      <c r="A672" t="s">
        <v>112</v>
      </c>
      <c r="B672" t="s">
        <v>429</v>
      </c>
      <c r="C672">
        <v>1903</v>
      </c>
      <c r="D672" t="s">
        <v>31</v>
      </c>
      <c r="E672" s="1">
        <v>45451</v>
      </c>
      <c r="F672" s="6">
        <v>2</v>
      </c>
      <c r="G672" s="1" t="s">
        <v>52</v>
      </c>
      <c r="H672" t="s">
        <v>53</v>
      </c>
      <c r="I672" t="s">
        <v>2595</v>
      </c>
      <c r="J672" t="s">
        <v>1250</v>
      </c>
      <c r="K672">
        <v>4217</v>
      </c>
      <c r="L672">
        <v>250</v>
      </c>
      <c r="M672">
        <f>Customers_Table[[#This Row],[Quantity Ordered]]*Customers_Table[[#This Row],[Sales Price (Per unit)]]</f>
        <v>500</v>
      </c>
      <c r="N672" t="s">
        <v>2596</v>
      </c>
    </row>
    <row r="673" spans="1:14" x14ac:dyDescent="0.2">
      <c r="A673" t="s">
        <v>284</v>
      </c>
      <c r="B673" t="s">
        <v>965</v>
      </c>
      <c r="C673">
        <v>1904</v>
      </c>
      <c r="D673" t="s">
        <v>76</v>
      </c>
      <c r="E673" s="1">
        <v>45471</v>
      </c>
      <c r="F673" s="6">
        <v>3</v>
      </c>
      <c r="G673" s="1" t="s">
        <v>52</v>
      </c>
      <c r="H673" t="s">
        <v>47</v>
      </c>
      <c r="I673" t="s">
        <v>2597</v>
      </c>
      <c r="J673" t="s">
        <v>1247</v>
      </c>
      <c r="K673">
        <v>3350</v>
      </c>
      <c r="L673">
        <v>1200</v>
      </c>
      <c r="M673">
        <f>Customers_Table[[#This Row],[Quantity Ordered]]*Customers_Table[[#This Row],[Sales Price (Per unit)]]</f>
        <v>3600</v>
      </c>
      <c r="N673" t="s">
        <v>2598</v>
      </c>
    </row>
    <row r="674" spans="1:14" x14ac:dyDescent="0.2">
      <c r="A674" t="s">
        <v>844</v>
      </c>
      <c r="B674" t="s">
        <v>966</v>
      </c>
      <c r="C674">
        <v>1905</v>
      </c>
      <c r="D674" t="s">
        <v>76</v>
      </c>
      <c r="E674" s="1">
        <v>45543</v>
      </c>
      <c r="F674" s="6">
        <v>2</v>
      </c>
      <c r="G674" s="1" t="s">
        <v>52</v>
      </c>
      <c r="H674" t="s">
        <v>39</v>
      </c>
      <c r="I674" t="s">
        <v>2599</v>
      </c>
      <c r="J674" t="s">
        <v>1241</v>
      </c>
      <c r="K674">
        <v>2600</v>
      </c>
      <c r="L674">
        <v>1200</v>
      </c>
      <c r="M674">
        <f>Customers_Table[[#This Row],[Quantity Ordered]]*Customers_Table[[#This Row],[Sales Price (Per unit)]]</f>
        <v>2400</v>
      </c>
      <c r="N674" t="s">
        <v>2600</v>
      </c>
    </row>
    <row r="675" spans="1:14" x14ac:dyDescent="0.2">
      <c r="A675" t="s">
        <v>767</v>
      </c>
      <c r="B675" t="s">
        <v>116</v>
      </c>
      <c r="C675">
        <v>1906</v>
      </c>
      <c r="D675" t="s">
        <v>76</v>
      </c>
      <c r="E675" s="1">
        <v>45503</v>
      </c>
      <c r="F675" s="6">
        <v>1</v>
      </c>
      <c r="G675" s="1" t="s">
        <v>38</v>
      </c>
      <c r="H675" t="s">
        <v>47</v>
      </c>
      <c r="I675" t="s">
        <v>2601</v>
      </c>
      <c r="J675" t="s">
        <v>1256</v>
      </c>
      <c r="K675">
        <v>3220</v>
      </c>
      <c r="L675">
        <v>1200</v>
      </c>
      <c r="M675">
        <f>Customers_Table[[#This Row],[Quantity Ordered]]*Customers_Table[[#This Row],[Sales Price (Per unit)]]</f>
        <v>1200</v>
      </c>
      <c r="N675" t="s">
        <v>2602</v>
      </c>
    </row>
    <row r="676" spans="1:14" x14ac:dyDescent="0.2">
      <c r="A676" t="s">
        <v>967</v>
      </c>
      <c r="B676" t="s">
        <v>968</v>
      </c>
      <c r="C676">
        <v>1907</v>
      </c>
      <c r="D676" t="s">
        <v>92</v>
      </c>
      <c r="E676" s="1">
        <v>45507</v>
      </c>
      <c r="F676" s="6">
        <v>1</v>
      </c>
      <c r="G676" t="s">
        <v>32</v>
      </c>
      <c r="H676" t="s">
        <v>81</v>
      </c>
      <c r="I676" t="s">
        <v>2603</v>
      </c>
      <c r="J676" t="s">
        <v>1280</v>
      </c>
      <c r="K676">
        <v>800</v>
      </c>
      <c r="L676">
        <v>600</v>
      </c>
      <c r="M676">
        <f>Customers_Table[[#This Row],[Quantity Ordered]]*Customers_Table[[#This Row],[Sales Price (Per unit)]]</f>
        <v>600</v>
      </c>
      <c r="N676" t="s">
        <v>2604</v>
      </c>
    </row>
    <row r="677" spans="1:14" x14ac:dyDescent="0.2">
      <c r="A677" t="s">
        <v>325</v>
      </c>
      <c r="B677" t="s">
        <v>529</v>
      </c>
      <c r="C677">
        <v>1908</v>
      </c>
      <c r="D677" t="s">
        <v>31</v>
      </c>
      <c r="E677" s="1">
        <v>45524</v>
      </c>
      <c r="F677" s="6">
        <v>2</v>
      </c>
      <c r="G677" t="s">
        <v>32</v>
      </c>
      <c r="H677" t="s">
        <v>64</v>
      </c>
      <c r="I677" t="s">
        <v>2605</v>
      </c>
      <c r="J677" t="s">
        <v>1400</v>
      </c>
      <c r="K677">
        <v>7310</v>
      </c>
      <c r="L677">
        <v>250</v>
      </c>
      <c r="M677">
        <f>Customers_Table[[#This Row],[Quantity Ordered]]*Customers_Table[[#This Row],[Sales Price (Per unit)]]</f>
        <v>500</v>
      </c>
      <c r="N677" t="s">
        <v>2606</v>
      </c>
    </row>
    <row r="678" spans="1:14" x14ac:dyDescent="0.2">
      <c r="A678" t="s">
        <v>72</v>
      </c>
      <c r="B678" t="s">
        <v>331</v>
      </c>
      <c r="C678">
        <v>1909</v>
      </c>
      <c r="D678" t="s">
        <v>92</v>
      </c>
      <c r="E678" s="1">
        <v>45342</v>
      </c>
      <c r="F678" s="6">
        <v>2</v>
      </c>
      <c r="G678" s="1" t="s">
        <v>52</v>
      </c>
      <c r="H678" t="s">
        <v>57</v>
      </c>
      <c r="I678" t="s">
        <v>2607</v>
      </c>
      <c r="J678" t="s">
        <v>1095</v>
      </c>
      <c r="K678">
        <v>5000</v>
      </c>
      <c r="L678">
        <v>600</v>
      </c>
      <c r="M678">
        <f>Customers_Table[[#This Row],[Quantity Ordered]]*Customers_Table[[#This Row],[Sales Price (Per unit)]]</f>
        <v>1200</v>
      </c>
      <c r="N678" t="s">
        <v>2608</v>
      </c>
    </row>
    <row r="679" spans="1:14" x14ac:dyDescent="0.2">
      <c r="A679" t="s">
        <v>969</v>
      </c>
      <c r="B679" t="s">
        <v>522</v>
      </c>
      <c r="C679">
        <v>1910</v>
      </c>
      <c r="D679" t="s">
        <v>76</v>
      </c>
      <c r="E679" s="1">
        <v>45523</v>
      </c>
      <c r="F679" s="6">
        <v>2</v>
      </c>
      <c r="G679" s="1" t="s">
        <v>52</v>
      </c>
      <c r="H679" t="s">
        <v>57</v>
      </c>
      <c r="I679" t="s">
        <v>2609</v>
      </c>
      <c r="J679" t="s">
        <v>1350</v>
      </c>
      <c r="K679">
        <v>5600</v>
      </c>
      <c r="L679">
        <v>1200</v>
      </c>
      <c r="M679">
        <f>Customers_Table[[#This Row],[Quantity Ordered]]*Customers_Table[[#This Row],[Sales Price (Per unit)]]</f>
        <v>2400</v>
      </c>
      <c r="N679" t="s">
        <v>2610</v>
      </c>
    </row>
    <row r="680" spans="1:14" x14ac:dyDescent="0.2">
      <c r="A680" t="s">
        <v>106</v>
      </c>
      <c r="B680" t="s">
        <v>943</v>
      </c>
      <c r="C680">
        <v>1911</v>
      </c>
      <c r="D680" t="s">
        <v>51</v>
      </c>
      <c r="E680" s="1">
        <v>45364</v>
      </c>
      <c r="F680" s="6">
        <v>2</v>
      </c>
      <c r="G680" t="s">
        <v>71</v>
      </c>
      <c r="H680" t="s">
        <v>64</v>
      </c>
      <c r="I680" t="s">
        <v>2611</v>
      </c>
      <c r="J680" t="s">
        <v>1400</v>
      </c>
      <c r="K680">
        <v>7310</v>
      </c>
      <c r="L680">
        <v>250</v>
      </c>
      <c r="M680">
        <f>Customers_Table[[#This Row],[Quantity Ordered]]*Customers_Table[[#This Row],[Sales Price (Per unit)]]</f>
        <v>500</v>
      </c>
      <c r="N680" t="s">
        <v>2612</v>
      </c>
    </row>
    <row r="681" spans="1:14" x14ac:dyDescent="0.2">
      <c r="A681" t="s">
        <v>477</v>
      </c>
      <c r="B681" t="s">
        <v>951</v>
      </c>
      <c r="C681">
        <v>1912</v>
      </c>
      <c r="D681" t="s">
        <v>76</v>
      </c>
      <c r="E681" s="1">
        <v>45376</v>
      </c>
      <c r="F681" s="6">
        <v>2</v>
      </c>
      <c r="G681" t="s">
        <v>71</v>
      </c>
      <c r="H681" t="s">
        <v>81</v>
      </c>
      <c r="I681" t="s">
        <v>2613</v>
      </c>
      <c r="J681" t="s">
        <v>1361</v>
      </c>
      <c r="K681">
        <v>870</v>
      </c>
      <c r="L681">
        <v>1200</v>
      </c>
      <c r="M681">
        <f>Customers_Table[[#This Row],[Quantity Ordered]]*Customers_Table[[#This Row],[Sales Price (Per unit)]]</f>
        <v>2400</v>
      </c>
      <c r="N681" t="s">
        <v>2614</v>
      </c>
    </row>
    <row r="682" spans="1:14" x14ac:dyDescent="0.2">
      <c r="A682" t="s">
        <v>970</v>
      </c>
      <c r="B682" t="s">
        <v>246</v>
      </c>
      <c r="C682">
        <v>1913</v>
      </c>
      <c r="D682" t="s">
        <v>76</v>
      </c>
      <c r="E682" s="1">
        <v>45498</v>
      </c>
      <c r="F682" s="6">
        <v>1</v>
      </c>
      <c r="G682" t="s">
        <v>32</v>
      </c>
      <c r="H682" t="s">
        <v>33</v>
      </c>
      <c r="I682" t="s">
        <v>2615</v>
      </c>
      <c r="J682" t="s">
        <v>1302</v>
      </c>
      <c r="K682">
        <v>6000</v>
      </c>
      <c r="L682">
        <v>1200</v>
      </c>
      <c r="M682">
        <f>Customers_Table[[#This Row],[Quantity Ordered]]*Customers_Table[[#This Row],[Sales Price (Per unit)]]</f>
        <v>1200</v>
      </c>
      <c r="N682" t="s">
        <v>2616</v>
      </c>
    </row>
    <row r="683" spans="1:14" x14ac:dyDescent="0.2">
      <c r="A683" t="s">
        <v>773</v>
      </c>
      <c r="B683" t="s">
        <v>971</v>
      </c>
      <c r="C683">
        <v>1914</v>
      </c>
      <c r="D683" t="s">
        <v>31</v>
      </c>
      <c r="E683" s="1">
        <v>45439</v>
      </c>
      <c r="F683" s="6">
        <v>2</v>
      </c>
      <c r="G683" s="1" t="s">
        <v>38</v>
      </c>
      <c r="H683" t="s">
        <v>39</v>
      </c>
      <c r="I683" t="s">
        <v>2617</v>
      </c>
      <c r="J683" t="s">
        <v>1241</v>
      </c>
      <c r="K683">
        <v>2600</v>
      </c>
      <c r="L683">
        <v>250</v>
      </c>
      <c r="M683">
        <f>Customers_Table[[#This Row],[Quantity Ordered]]*Customers_Table[[#This Row],[Sales Price (Per unit)]]</f>
        <v>500</v>
      </c>
      <c r="N683" t="s">
        <v>2618</v>
      </c>
    </row>
    <row r="684" spans="1:14" x14ac:dyDescent="0.2">
      <c r="A684" t="s">
        <v>972</v>
      </c>
      <c r="B684" t="s">
        <v>116</v>
      </c>
      <c r="C684">
        <v>1915</v>
      </c>
      <c r="D684" t="s">
        <v>76</v>
      </c>
      <c r="E684" s="1">
        <v>45459</v>
      </c>
      <c r="F684" s="6">
        <v>1</v>
      </c>
      <c r="G684" t="s">
        <v>32</v>
      </c>
      <c r="H684" t="s">
        <v>53</v>
      </c>
      <c r="I684" t="s">
        <v>2619</v>
      </c>
      <c r="J684" t="s">
        <v>1250</v>
      </c>
      <c r="K684">
        <v>4217</v>
      </c>
      <c r="L684">
        <v>1200</v>
      </c>
      <c r="M684">
        <f>Customers_Table[[#This Row],[Quantity Ordered]]*Customers_Table[[#This Row],[Sales Price (Per unit)]]</f>
        <v>1200</v>
      </c>
      <c r="N684" t="s">
        <v>2620</v>
      </c>
    </row>
    <row r="685" spans="1:14" x14ac:dyDescent="0.2">
      <c r="A685" t="s">
        <v>203</v>
      </c>
      <c r="B685" t="s">
        <v>973</v>
      </c>
      <c r="C685">
        <v>1916</v>
      </c>
      <c r="D685" t="s">
        <v>31</v>
      </c>
      <c r="E685" s="1">
        <v>45480</v>
      </c>
      <c r="F685" s="6">
        <v>3</v>
      </c>
      <c r="G685" t="s">
        <v>32</v>
      </c>
      <c r="H685" t="s">
        <v>64</v>
      </c>
      <c r="I685" t="s">
        <v>2621</v>
      </c>
      <c r="J685" t="s">
        <v>1265</v>
      </c>
      <c r="K685">
        <v>7000</v>
      </c>
      <c r="L685">
        <v>250</v>
      </c>
      <c r="M685">
        <f>Customers_Table[[#This Row],[Quantity Ordered]]*Customers_Table[[#This Row],[Sales Price (Per unit)]]</f>
        <v>750</v>
      </c>
      <c r="N685" t="s">
        <v>2622</v>
      </c>
    </row>
    <row r="686" spans="1:14" x14ac:dyDescent="0.2">
      <c r="A686" t="s">
        <v>175</v>
      </c>
      <c r="B686" t="s">
        <v>974</v>
      </c>
      <c r="C686">
        <v>1917</v>
      </c>
      <c r="D686" t="s">
        <v>76</v>
      </c>
      <c r="E686" s="1">
        <v>45383</v>
      </c>
      <c r="F686" s="6">
        <v>2</v>
      </c>
      <c r="G686" s="1" t="s">
        <v>52</v>
      </c>
      <c r="H686" t="s">
        <v>81</v>
      </c>
      <c r="I686" t="s">
        <v>2623</v>
      </c>
      <c r="J686" t="s">
        <v>1361</v>
      </c>
      <c r="K686">
        <v>870</v>
      </c>
      <c r="L686">
        <v>1200</v>
      </c>
      <c r="M686">
        <f>Customers_Table[[#This Row],[Quantity Ordered]]*Customers_Table[[#This Row],[Sales Price (Per unit)]]</f>
        <v>2400</v>
      </c>
      <c r="N686" t="s">
        <v>2624</v>
      </c>
    </row>
    <row r="687" spans="1:14" x14ac:dyDescent="0.2">
      <c r="A687" t="s">
        <v>975</v>
      </c>
      <c r="B687" t="s">
        <v>976</v>
      </c>
      <c r="C687">
        <v>1918</v>
      </c>
      <c r="D687" t="s">
        <v>37</v>
      </c>
      <c r="E687" s="1">
        <v>45389</v>
      </c>
      <c r="F687" s="6">
        <v>2</v>
      </c>
      <c r="G687" t="s">
        <v>71</v>
      </c>
      <c r="H687" t="s">
        <v>33</v>
      </c>
      <c r="I687" t="s">
        <v>2625</v>
      </c>
      <c r="J687" t="s">
        <v>1259</v>
      </c>
      <c r="K687">
        <v>6160</v>
      </c>
      <c r="L687">
        <v>800</v>
      </c>
      <c r="M687">
        <f>Customers_Table[[#This Row],[Quantity Ordered]]*Customers_Table[[#This Row],[Sales Price (Per unit)]]</f>
        <v>1600</v>
      </c>
      <c r="N687" t="s">
        <v>2626</v>
      </c>
    </row>
    <row r="688" spans="1:14" x14ac:dyDescent="0.2">
      <c r="A688" t="s">
        <v>977</v>
      </c>
      <c r="B688" t="s">
        <v>978</v>
      </c>
      <c r="C688">
        <v>1919</v>
      </c>
      <c r="D688" t="s">
        <v>42</v>
      </c>
      <c r="E688" s="1">
        <v>45422</v>
      </c>
      <c r="F688" s="6">
        <v>3</v>
      </c>
      <c r="G688" s="1" t="s">
        <v>52</v>
      </c>
      <c r="H688" t="s">
        <v>39</v>
      </c>
      <c r="I688" t="s">
        <v>2627</v>
      </c>
      <c r="J688" t="s">
        <v>1241</v>
      </c>
      <c r="K688">
        <v>2600</v>
      </c>
      <c r="L688">
        <v>300</v>
      </c>
      <c r="M688">
        <f>Customers_Table[[#This Row],[Quantity Ordered]]*Customers_Table[[#This Row],[Sales Price (Per unit)]]</f>
        <v>900</v>
      </c>
      <c r="N688" t="s">
        <v>2628</v>
      </c>
    </row>
    <row r="689" spans="1:14" x14ac:dyDescent="0.2">
      <c r="A689" t="s">
        <v>979</v>
      </c>
      <c r="B689" t="s">
        <v>980</v>
      </c>
      <c r="C689">
        <v>1920</v>
      </c>
      <c r="D689" t="s">
        <v>37</v>
      </c>
      <c r="E689" s="1">
        <v>45383</v>
      </c>
      <c r="F689" s="6">
        <v>1</v>
      </c>
      <c r="G689" s="1" t="s">
        <v>52</v>
      </c>
      <c r="H689" t="s">
        <v>81</v>
      </c>
      <c r="I689" t="s">
        <v>2629</v>
      </c>
      <c r="J689" t="s">
        <v>1361</v>
      </c>
      <c r="K689">
        <v>870</v>
      </c>
      <c r="L689">
        <v>800</v>
      </c>
      <c r="M689">
        <f>Customers_Table[[#This Row],[Quantity Ordered]]*Customers_Table[[#This Row],[Sales Price (Per unit)]]</f>
        <v>800</v>
      </c>
      <c r="N689" t="s">
        <v>2630</v>
      </c>
    </row>
    <row r="690" spans="1:14" x14ac:dyDescent="0.2">
      <c r="A690" t="s">
        <v>371</v>
      </c>
      <c r="B690" t="s">
        <v>981</v>
      </c>
      <c r="C690">
        <v>1921</v>
      </c>
      <c r="D690" t="s">
        <v>51</v>
      </c>
      <c r="E690" s="1">
        <v>45577</v>
      </c>
      <c r="F690" s="6">
        <v>2</v>
      </c>
      <c r="G690" s="1" t="s">
        <v>38</v>
      </c>
      <c r="H690" t="s">
        <v>33</v>
      </c>
      <c r="I690" t="s">
        <v>2631</v>
      </c>
      <c r="J690" t="s">
        <v>1302</v>
      </c>
      <c r="K690">
        <v>6000</v>
      </c>
      <c r="L690">
        <v>250</v>
      </c>
      <c r="M690">
        <f>Customers_Table[[#This Row],[Quantity Ordered]]*Customers_Table[[#This Row],[Sales Price (Per unit)]]</f>
        <v>500</v>
      </c>
      <c r="N690" t="s">
        <v>2632</v>
      </c>
    </row>
    <row r="691" spans="1:14" x14ac:dyDescent="0.2">
      <c r="A691" t="s">
        <v>634</v>
      </c>
      <c r="B691" t="s">
        <v>442</v>
      </c>
      <c r="C691">
        <v>1922</v>
      </c>
      <c r="D691" t="s">
        <v>92</v>
      </c>
      <c r="E691" s="1">
        <v>45607</v>
      </c>
      <c r="F691" s="6">
        <v>1</v>
      </c>
      <c r="G691" t="s">
        <v>32</v>
      </c>
      <c r="H691" t="s">
        <v>57</v>
      </c>
      <c r="I691" t="s">
        <v>2633</v>
      </c>
      <c r="J691" t="s">
        <v>1350</v>
      </c>
      <c r="K691">
        <v>5600</v>
      </c>
      <c r="L691">
        <v>600</v>
      </c>
      <c r="M691">
        <f>Customers_Table[[#This Row],[Quantity Ordered]]*Customers_Table[[#This Row],[Sales Price (Per unit)]]</f>
        <v>600</v>
      </c>
      <c r="N691" t="s">
        <v>2634</v>
      </c>
    </row>
    <row r="692" spans="1:14" x14ac:dyDescent="0.2">
      <c r="A692" t="s">
        <v>982</v>
      </c>
      <c r="B692" t="s">
        <v>983</v>
      </c>
      <c r="C692">
        <v>1923</v>
      </c>
      <c r="D692" t="s">
        <v>92</v>
      </c>
      <c r="E692" s="1">
        <v>45338</v>
      </c>
      <c r="F692" s="6">
        <v>3</v>
      </c>
      <c r="G692" s="1" t="s">
        <v>38</v>
      </c>
      <c r="H692" t="s">
        <v>64</v>
      </c>
      <c r="I692" t="s">
        <v>2635</v>
      </c>
      <c r="J692" t="s">
        <v>1400</v>
      </c>
      <c r="K692">
        <v>7310</v>
      </c>
      <c r="L692">
        <v>600</v>
      </c>
      <c r="M692">
        <f>Customers_Table[[#This Row],[Quantity Ordered]]*Customers_Table[[#This Row],[Sales Price (Per unit)]]</f>
        <v>1800</v>
      </c>
      <c r="N692" t="s">
        <v>2636</v>
      </c>
    </row>
    <row r="693" spans="1:14" x14ac:dyDescent="0.2">
      <c r="A693" t="s">
        <v>72</v>
      </c>
      <c r="B693" t="s">
        <v>621</v>
      </c>
      <c r="C693">
        <v>1924</v>
      </c>
      <c r="D693" t="s">
        <v>76</v>
      </c>
      <c r="E693" s="1">
        <v>45326</v>
      </c>
      <c r="F693" s="6">
        <v>2</v>
      </c>
      <c r="G693" s="1" t="s">
        <v>52</v>
      </c>
      <c r="H693" t="s">
        <v>47</v>
      </c>
      <c r="I693" t="s">
        <v>2637</v>
      </c>
      <c r="J693" t="s">
        <v>1275</v>
      </c>
      <c r="K693">
        <v>3000</v>
      </c>
      <c r="L693">
        <v>1200</v>
      </c>
      <c r="M693">
        <f>Customers_Table[[#This Row],[Quantity Ordered]]*Customers_Table[[#This Row],[Sales Price (Per unit)]]</f>
        <v>2400</v>
      </c>
      <c r="N693" t="s">
        <v>2638</v>
      </c>
    </row>
    <row r="694" spans="1:14" x14ac:dyDescent="0.2">
      <c r="A694" t="s">
        <v>984</v>
      </c>
      <c r="B694" t="s">
        <v>985</v>
      </c>
      <c r="C694">
        <v>1925</v>
      </c>
      <c r="D694" t="s">
        <v>51</v>
      </c>
      <c r="E694" s="1">
        <v>45622</v>
      </c>
      <c r="F694" s="6">
        <v>2</v>
      </c>
      <c r="G694" s="1" t="s">
        <v>52</v>
      </c>
      <c r="H694" t="s">
        <v>64</v>
      </c>
      <c r="I694" t="s">
        <v>2639</v>
      </c>
      <c r="J694" t="s">
        <v>1262</v>
      </c>
      <c r="K694">
        <v>7250</v>
      </c>
      <c r="L694">
        <v>250</v>
      </c>
      <c r="M694">
        <f>Customers_Table[[#This Row],[Quantity Ordered]]*Customers_Table[[#This Row],[Sales Price (Per unit)]]</f>
        <v>500</v>
      </c>
      <c r="N694" t="s">
        <v>2640</v>
      </c>
    </row>
    <row r="695" spans="1:14" x14ac:dyDescent="0.2">
      <c r="A695" t="s">
        <v>420</v>
      </c>
      <c r="B695" t="s">
        <v>986</v>
      </c>
      <c r="C695">
        <v>1926</v>
      </c>
      <c r="D695" t="s">
        <v>92</v>
      </c>
      <c r="E695" s="1">
        <v>45618</v>
      </c>
      <c r="F695" s="6">
        <v>2</v>
      </c>
      <c r="G695" t="s">
        <v>32</v>
      </c>
      <c r="H695" t="s">
        <v>39</v>
      </c>
      <c r="I695" t="s">
        <v>2641</v>
      </c>
      <c r="J695" t="s">
        <v>1241</v>
      </c>
      <c r="K695">
        <v>2600</v>
      </c>
      <c r="L695">
        <v>600</v>
      </c>
      <c r="M695">
        <f>Customers_Table[[#This Row],[Quantity Ordered]]*Customers_Table[[#This Row],[Sales Price (Per unit)]]</f>
        <v>1200</v>
      </c>
      <c r="N695" t="s">
        <v>2642</v>
      </c>
    </row>
    <row r="696" spans="1:14" x14ac:dyDescent="0.2">
      <c r="A696" t="s">
        <v>987</v>
      </c>
      <c r="B696" t="s">
        <v>988</v>
      </c>
      <c r="C696">
        <v>1927</v>
      </c>
      <c r="D696" t="s">
        <v>76</v>
      </c>
      <c r="E696" s="1">
        <v>45423</v>
      </c>
      <c r="F696" s="6">
        <v>1</v>
      </c>
      <c r="G696" s="1" t="s">
        <v>52</v>
      </c>
      <c r="H696" t="s">
        <v>39</v>
      </c>
      <c r="I696" t="s">
        <v>2643</v>
      </c>
      <c r="J696" t="s">
        <v>1241</v>
      </c>
      <c r="K696">
        <v>2600</v>
      </c>
      <c r="L696">
        <v>1200</v>
      </c>
      <c r="M696">
        <f>Customers_Table[[#This Row],[Quantity Ordered]]*Customers_Table[[#This Row],[Sales Price (Per unit)]]</f>
        <v>1200</v>
      </c>
      <c r="N696" t="s">
        <v>2644</v>
      </c>
    </row>
    <row r="697" spans="1:14" x14ac:dyDescent="0.2">
      <c r="A697" t="s">
        <v>989</v>
      </c>
      <c r="B697" t="s">
        <v>272</v>
      </c>
      <c r="C697">
        <v>1928</v>
      </c>
      <c r="D697" t="s">
        <v>92</v>
      </c>
      <c r="E697" s="1">
        <v>45496</v>
      </c>
      <c r="F697" s="6">
        <v>2</v>
      </c>
      <c r="G697" s="1" t="s">
        <v>52</v>
      </c>
      <c r="H697" t="s">
        <v>81</v>
      </c>
      <c r="I697" t="s">
        <v>2645</v>
      </c>
      <c r="J697" t="s">
        <v>1361</v>
      </c>
      <c r="K697">
        <v>870</v>
      </c>
      <c r="L697">
        <v>600</v>
      </c>
      <c r="M697">
        <f>Customers_Table[[#This Row],[Quantity Ordered]]*Customers_Table[[#This Row],[Sales Price (Per unit)]]</f>
        <v>1200</v>
      </c>
      <c r="N697" t="s">
        <v>2646</v>
      </c>
    </row>
    <row r="698" spans="1:14" x14ac:dyDescent="0.2">
      <c r="A698" t="s">
        <v>990</v>
      </c>
      <c r="B698" t="s">
        <v>991</v>
      </c>
      <c r="C698">
        <v>1929</v>
      </c>
      <c r="D698" t="s">
        <v>31</v>
      </c>
      <c r="E698" s="1">
        <v>45530</v>
      </c>
      <c r="F698" s="6">
        <v>3</v>
      </c>
      <c r="G698" t="s">
        <v>32</v>
      </c>
      <c r="H698" t="s">
        <v>53</v>
      </c>
      <c r="I698" t="s">
        <v>2647</v>
      </c>
      <c r="J698" t="s">
        <v>1250</v>
      </c>
      <c r="K698">
        <v>4217</v>
      </c>
      <c r="L698">
        <v>250</v>
      </c>
      <c r="M698">
        <f>Customers_Table[[#This Row],[Quantity Ordered]]*Customers_Table[[#This Row],[Sales Price (Per unit)]]</f>
        <v>750</v>
      </c>
      <c r="N698" t="s">
        <v>2648</v>
      </c>
    </row>
    <row r="699" spans="1:14" x14ac:dyDescent="0.2">
      <c r="A699" t="s">
        <v>992</v>
      </c>
      <c r="B699" t="s">
        <v>779</v>
      </c>
      <c r="C699">
        <v>1930</v>
      </c>
      <c r="D699" t="s">
        <v>92</v>
      </c>
      <c r="E699" s="1">
        <v>45404</v>
      </c>
      <c r="F699" s="6">
        <v>1</v>
      </c>
      <c r="G699" s="1" t="s">
        <v>52</v>
      </c>
      <c r="H699" t="s">
        <v>81</v>
      </c>
      <c r="I699" t="s">
        <v>2649</v>
      </c>
      <c r="J699" t="s">
        <v>1361</v>
      </c>
      <c r="K699">
        <v>870</v>
      </c>
      <c r="L699">
        <v>600</v>
      </c>
      <c r="M699">
        <f>Customers_Table[[#This Row],[Quantity Ordered]]*Customers_Table[[#This Row],[Sales Price (Per unit)]]</f>
        <v>600</v>
      </c>
      <c r="N699" t="s">
        <v>2650</v>
      </c>
    </row>
    <row r="700" spans="1:14" x14ac:dyDescent="0.2">
      <c r="A700" t="s">
        <v>547</v>
      </c>
      <c r="B700" t="s">
        <v>993</v>
      </c>
      <c r="C700">
        <v>1931</v>
      </c>
      <c r="D700" t="s">
        <v>37</v>
      </c>
      <c r="E700" s="1">
        <v>45545</v>
      </c>
      <c r="F700" s="6">
        <v>2</v>
      </c>
      <c r="G700" s="1" t="s">
        <v>52</v>
      </c>
      <c r="H700" t="s">
        <v>47</v>
      </c>
      <c r="I700" t="s">
        <v>2651</v>
      </c>
      <c r="J700" t="s">
        <v>1256</v>
      </c>
      <c r="K700">
        <v>3220</v>
      </c>
      <c r="L700">
        <v>800</v>
      </c>
      <c r="M700">
        <f>Customers_Table[[#This Row],[Quantity Ordered]]*Customers_Table[[#This Row],[Sales Price (Per unit)]]</f>
        <v>1600</v>
      </c>
      <c r="N700" t="s">
        <v>2652</v>
      </c>
    </row>
    <row r="701" spans="1:14" x14ac:dyDescent="0.2">
      <c r="A701" t="s">
        <v>112</v>
      </c>
      <c r="B701" t="s">
        <v>994</v>
      </c>
      <c r="C701">
        <v>1932</v>
      </c>
      <c r="D701" t="s">
        <v>92</v>
      </c>
      <c r="E701" s="1">
        <v>45516</v>
      </c>
      <c r="F701" s="6">
        <v>2</v>
      </c>
      <c r="G701" s="1" t="s">
        <v>52</v>
      </c>
      <c r="H701" t="s">
        <v>33</v>
      </c>
      <c r="I701" t="s">
        <v>2653</v>
      </c>
      <c r="J701" t="s">
        <v>1259</v>
      </c>
      <c r="K701">
        <v>6160</v>
      </c>
      <c r="L701">
        <v>600</v>
      </c>
      <c r="M701">
        <f>Customers_Table[[#This Row],[Quantity Ordered]]*Customers_Table[[#This Row],[Sales Price (Per unit)]]</f>
        <v>1200</v>
      </c>
      <c r="N701" t="s">
        <v>2654</v>
      </c>
    </row>
    <row r="702" spans="1:14" x14ac:dyDescent="0.2">
      <c r="A702" t="s">
        <v>426</v>
      </c>
      <c r="B702" t="s">
        <v>923</v>
      </c>
      <c r="C702">
        <v>1933</v>
      </c>
      <c r="D702" t="s">
        <v>51</v>
      </c>
      <c r="E702" s="1">
        <v>45463</v>
      </c>
      <c r="F702" s="6">
        <v>1</v>
      </c>
      <c r="G702" t="s">
        <v>32</v>
      </c>
      <c r="H702" t="s">
        <v>81</v>
      </c>
      <c r="I702" t="s">
        <v>2655</v>
      </c>
      <c r="J702" t="s">
        <v>1280</v>
      </c>
      <c r="K702">
        <v>800</v>
      </c>
      <c r="L702">
        <v>250</v>
      </c>
      <c r="M702">
        <f>Customers_Table[[#This Row],[Quantity Ordered]]*Customers_Table[[#This Row],[Sales Price (Per unit)]]</f>
        <v>250</v>
      </c>
      <c r="N702" t="s">
        <v>2656</v>
      </c>
    </row>
    <row r="703" spans="1:14" x14ac:dyDescent="0.2">
      <c r="A703" t="s">
        <v>995</v>
      </c>
      <c r="B703" t="s">
        <v>996</v>
      </c>
      <c r="C703">
        <v>1934</v>
      </c>
      <c r="D703" t="s">
        <v>37</v>
      </c>
      <c r="E703" s="1">
        <v>45315</v>
      </c>
      <c r="F703" s="6">
        <v>3</v>
      </c>
      <c r="G703" s="1" t="s">
        <v>38</v>
      </c>
      <c r="H703" t="s">
        <v>81</v>
      </c>
      <c r="I703" t="s">
        <v>2657</v>
      </c>
      <c r="J703" t="s">
        <v>1361</v>
      </c>
      <c r="K703">
        <v>870</v>
      </c>
      <c r="L703">
        <v>800</v>
      </c>
      <c r="M703">
        <f>Customers_Table[[#This Row],[Quantity Ordered]]*Customers_Table[[#This Row],[Sales Price (Per unit)]]</f>
        <v>2400</v>
      </c>
      <c r="N703" t="s">
        <v>2658</v>
      </c>
    </row>
    <row r="704" spans="1:14" x14ac:dyDescent="0.2">
      <c r="A704" t="s">
        <v>460</v>
      </c>
      <c r="B704" t="s">
        <v>391</v>
      </c>
      <c r="C704">
        <v>1935</v>
      </c>
      <c r="D704" t="s">
        <v>31</v>
      </c>
      <c r="E704" s="1">
        <v>45357</v>
      </c>
      <c r="F704" s="6">
        <v>1</v>
      </c>
      <c r="G704" s="1" t="s">
        <v>38</v>
      </c>
      <c r="H704" t="s">
        <v>57</v>
      </c>
      <c r="I704" t="s">
        <v>2659</v>
      </c>
      <c r="J704" t="s">
        <v>1253</v>
      </c>
      <c r="K704">
        <v>5290</v>
      </c>
      <c r="L704">
        <v>250</v>
      </c>
      <c r="M704">
        <f>Customers_Table[[#This Row],[Quantity Ordered]]*Customers_Table[[#This Row],[Sales Price (Per unit)]]</f>
        <v>250</v>
      </c>
      <c r="N704" t="s">
        <v>2660</v>
      </c>
    </row>
    <row r="705" spans="1:14" x14ac:dyDescent="0.2">
      <c r="A705" t="s">
        <v>984</v>
      </c>
      <c r="B705" t="s">
        <v>862</v>
      </c>
      <c r="C705">
        <v>1936</v>
      </c>
      <c r="D705" t="s">
        <v>37</v>
      </c>
      <c r="E705" s="1">
        <v>45411</v>
      </c>
      <c r="F705" s="6">
        <v>2</v>
      </c>
      <c r="G705" s="1" t="s">
        <v>52</v>
      </c>
      <c r="H705" t="s">
        <v>39</v>
      </c>
      <c r="I705" t="s">
        <v>2661</v>
      </c>
      <c r="J705" t="s">
        <v>1241</v>
      </c>
      <c r="K705">
        <v>2600</v>
      </c>
      <c r="L705">
        <v>800</v>
      </c>
      <c r="M705">
        <f>Customers_Table[[#This Row],[Quantity Ordered]]*Customers_Table[[#This Row],[Sales Price (Per unit)]]</f>
        <v>1600</v>
      </c>
      <c r="N705" t="s">
        <v>2662</v>
      </c>
    </row>
    <row r="706" spans="1:14" x14ac:dyDescent="0.2">
      <c r="A706" t="s">
        <v>997</v>
      </c>
      <c r="B706" t="s">
        <v>998</v>
      </c>
      <c r="C706">
        <v>1937</v>
      </c>
      <c r="D706" t="s">
        <v>31</v>
      </c>
      <c r="E706" s="1">
        <v>45398</v>
      </c>
      <c r="F706" s="6">
        <v>3</v>
      </c>
      <c r="G706" t="s">
        <v>32</v>
      </c>
      <c r="H706" t="s">
        <v>39</v>
      </c>
      <c r="I706" t="s">
        <v>2663</v>
      </c>
      <c r="J706" t="s">
        <v>1241</v>
      </c>
      <c r="K706">
        <v>2600</v>
      </c>
      <c r="L706">
        <v>250</v>
      </c>
      <c r="M706">
        <f>Customers_Table[[#This Row],[Quantity Ordered]]*Customers_Table[[#This Row],[Sales Price (Per unit)]]</f>
        <v>750</v>
      </c>
      <c r="N706" t="s">
        <v>2664</v>
      </c>
    </row>
    <row r="707" spans="1:14" x14ac:dyDescent="0.2">
      <c r="A707" t="s">
        <v>999</v>
      </c>
      <c r="B707" t="s">
        <v>1000</v>
      </c>
      <c r="C707">
        <v>1938</v>
      </c>
      <c r="D707" t="s">
        <v>76</v>
      </c>
      <c r="E707" s="1">
        <v>45373</v>
      </c>
      <c r="F707" s="6">
        <v>3</v>
      </c>
      <c r="G707" t="s">
        <v>32</v>
      </c>
      <c r="H707" t="s">
        <v>64</v>
      </c>
      <c r="I707" t="s">
        <v>2665</v>
      </c>
      <c r="J707" t="s">
        <v>1265</v>
      </c>
      <c r="K707">
        <v>7000</v>
      </c>
      <c r="L707">
        <v>1200</v>
      </c>
      <c r="M707">
        <f>Customers_Table[[#This Row],[Quantity Ordered]]*Customers_Table[[#This Row],[Sales Price (Per unit)]]</f>
        <v>3600</v>
      </c>
      <c r="N707" t="s">
        <v>2666</v>
      </c>
    </row>
    <row r="708" spans="1:14" x14ac:dyDescent="0.2">
      <c r="A708" t="s">
        <v>1001</v>
      </c>
      <c r="B708" t="s">
        <v>384</v>
      </c>
      <c r="C708">
        <v>1939</v>
      </c>
      <c r="D708" t="s">
        <v>31</v>
      </c>
      <c r="E708" s="1">
        <v>45515</v>
      </c>
      <c r="F708" s="6">
        <v>2</v>
      </c>
      <c r="G708" t="s">
        <v>32</v>
      </c>
      <c r="H708" t="s">
        <v>43</v>
      </c>
      <c r="I708" t="s">
        <v>2667</v>
      </c>
      <c r="J708" t="s">
        <v>1299</v>
      </c>
      <c r="K708">
        <v>2500</v>
      </c>
      <c r="L708">
        <v>250</v>
      </c>
      <c r="M708">
        <f>Customers_Table[[#This Row],[Quantity Ordered]]*Customers_Table[[#This Row],[Sales Price (Per unit)]]</f>
        <v>500</v>
      </c>
      <c r="N708" t="s">
        <v>2668</v>
      </c>
    </row>
    <row r="709" spans="1:14" x14ac:dyDescent="0.2">
      <c r="A709" t="s">
        <v>558</v>
      </c>
      <c r="B709" t="s">
        <v>380</v>
      </c>
      <c r="C709">
        <v>1940</v>
      </c>
      <c r="D709" t="s">
        <v>31</v>
      </c>
      <c r="E709" s="1">
        <v>45322</v>
      </c>
      <c r="F709" s="6">
        <v>1</v>
      </c>
      <c r="G709" t="s">
        <v>32</v>
      </c>
      <c r="H709" t="s">
        <v>47</v>
      </c>
      <c r="I709" t="s">
        <v>2669</v>
      </c>
      <c r="J709" t="s">
        <v>1256</v>
      </c>
      <c r="K709">
        <v>3220</v>
      </c>
      <c r="L709">
        <v>250</v>
      </c>
      <c r="M709">
        <f>Customers_Table[[#This Row],[Quantity Ordered]]*Customers_Table[[#This Row],[Sales Price (Per unit)]]</f>
        <v>250</v>
      </c>
      <c r="N709" t="s">
        <v>2670</v>
      </c>
    </row>
    <row r="710" spans="1:14" x14ac:dyDescent="0.2">
      <c r="A710" t="s">
        <v>1002</v>
      </c>
      <c r="B710" t="s">
        <v>259</v>
      </c>
      <c r="C710">
        <v>1941</v>
      </c>
      <c r="D710" t="s">
        <v>42</v>
      </c>
      <c r="E710" s="1">
        <v>45477</v>
      </c>
      <c r="F710" s="6">
        <v>1</v>
      </c>
      <c r="G710" s="1" t="s">
        <v>38</v>
      </c>
      <c r="H710" t="s">
        <v>64</v>
      </c>
      <c r="I710" t="s">
        <v>2671</v>
      </c>
      <c r="J710" t="s">
        <v>1400</v>
      </c>
      <c r="K710">
        <v>7310</v>
      </c>
      <c r="L710">
        <v>300</v>
      </c>
      <c r="M710">
        <f>Customers_Table[[#This Row],[Quantity Ordered]]*Customers_Table[[#This Row],[Sales Price (Per unit)]]</f>
        <v>300</v>
      </c>
      <c r="N710" t="s">
        <v>2672</v>
      </c>
    </row>
    <row r="711" spans="1:14" x14ac:dyDescent="0.2">
      <c r="A711" t="s">
        <v>1003</v>
      </c>
      <c r="B711" t="s">
        <v>68</v>
      </c>
      <c r="C711">
        <v>1942</v>
      </c>
      <c r="D711" t="s">
        <v>76</v>
      </c>
      <c r="E711" s="1">
        <v>45466</v>
      </c>
      <c r="F711" s="6">
        <v>1</v>
      </c>
      <c r="G711" t="s">
        <v>32</v>
      </c>
      <c r="H711" t="s">
        <v>47</v>
      </c>
      <c r="I711" t="s">
        <v>2673</v>
      </c>
      <c r="J711" t="s">
        <v>1275</v>
      </c>
      <c r="K711">
        <v>3000</v>
      </c>
      <c r="L711">
        <v>1200</v>
      </c>
      <c r="M711">
        <f>Customers_Table[[#This Row],[Quantity Ordered]]*Customers_Table[[#This Row],[Sales Price (Per unit)]]</f>
        <v>1200</v>
      </c>
      <c r="N711" t="s">
        <v>2674</v>
      </c>
    </row>
    <row r="712" spans="1:14" x14ac:dyDescent="0.2">
      <c r="A712" t="s">
        <v>1004</v>
      </c>
      <c r="B712" t="s">
        <v>68</v>
      </c>
      <c r="C712">
        <v>1943</v>
      </c>
      <c r="D712" t="s">
        <v>92</v>
      </c>
      <c r="E712" s="1">
        <v>45513</v>
      </c>
      <c r="F712" s="6">
        <v>3</v>
      </c>
      <c r="G712" s="1" t="s">
        <v>52</v>
      </c>
      <c r="H712" t="s">
        <v>43</v>
      </c>
      <c r="I712" t="s">
        <v>2675</v>
      </c>
      <c r="J712" t="s">
        <v>865</v>
      </c>
      <c r="K712">
        <v>2000</v>
      </c>
      <c r="L712">
        <v>600</v>
      </c>
      <c r="M712">
        <f>Customers_Table[[#This Row],[Quantity Ordered]]*Customers_Table[[#This Row],[Sales Price (Per unit)]]</f>
        <v>1800</v>
      </c>
      <c r="N712" t="s">
        <v>2676</v>
      </c>
    </row>
    <row r="713" spans="1:14" x14ac:dyDescent="0.2">
      <c r="A713" t="s">
        <v>521</v>
      </c>
      <c r="B713" t="s">
        <v>800</v>
      </c>
      <c r="C713">
        <v>1944</v>
      </c>
      <c r="D713" t="s">
        <v>31</v>
      </c>
      <c r="E713" s="1">
        <v>45571</v>
      </c>
      <c r="F713" s="6">
        <v>3</v>
      </c>
      <c r="G713" t="s">
        <v>32</v>
      </c>
      <c r="H713" t="s">
        <v>64</v>
      </c>
      <c r="I713" t="s">
        <v>2677</v>
      </c>
      <c r="J713" t="s">
        <v>1262</v>
      </c>
      <c r="K713">
        <v>7250</v>
      </c>
      <c r="L713">
        <v>250</v>
      </c>
      <c r="M713">
        <f>Customers_Table[[#This Row],[Quantity Ordered]]*Customers_Table[[#This Row],[Sales Price (Per unit)]]</f>
        <v>750</v>
      </c>
      <c r="N713" t="s">
        <v>2678</v>
      </c>
    </row>
    <row r="714" spans="1:14" x14ac:dyDescent="0.2">
      <c r="A714" t="s">
        <v>686</v>
      </c>
      <c r="B714" t="s">
        <v>934</v>
      </c>
      <c r="C714">
        <v>1945</v>
      </c>
      <c r="D714" t="s">
        <v>37</v>
      </c>
      <c r="E714" s="1">
        <v>45294</v>
      </c>
      <c r="F714" s="6">
        <v>2</v>
      </c>
      <c r="G714" s="1" t="s">
        <v>38</v>
      </c>
      <c r="H714" t="s">
        <v>47</v>
      </c>
      <c r="I714" t="s">
        <v>2679</v>
      </c>
      <c r="J714" t="s">
        <v>1247</v>
      </c>
      <c r="K714">
        <v>3350</v>
      </c>
      <c r="L714">
        <v>800</v>
      </c>
      <c r="M714">
        <f>Customers_Table[[#This Row],[Quantity Ordered]]*Customers_Table[[#This Row],[Sales Price (Per unit)]]</f>
        <v>1600</v>
      </c>
      <c r="N714" t="s">
        <v>2680</v>
      </c>
    </row>
    <row r="715" spans="1:14" x14ac:dyDescent="0.2">
      <c r="A715" t="s">
        <v>1005</v>
      </c>
      <c r="B715" t="s">
        <v>1006</v>
      </c>
      <c r="C715">
        <v>1946</v>
      </c>
      <c r="D715" t="s">
        <v>42</v>
      </c>
      <c r="E715" s="1">
        <v>45575</v>
      </c>
      <c r="F715" s="6">
        <v>3</v>
      </c>
      <c r="G715" t="s">
        <v>32</v>
      </c>
      <c r="H715" t="s">
        <v>81</v>
      </c>
      <c r="I715" t="s">
        <v>2681</v>
      </c>
      <c r="J715" t="s">
        <v>1361</v>
      </c>
      <c r="K715">
        <v>870</v>
      </c>
      <c r="L715">
        <v>300</v>
      </c>
      <c r="M715">
        <f>Customers_Table[[#This Row],[Quantity Ordered]]*Customers_Table[[#This Row],[Sales Price (Per unit)]]</f>
        <v>900</v>
      </c>
      <c r="N715" t="s">
        <v>2682</v>
      </c>
    </row>
    <row r="716" spans="1:14" x14ac:dyDescent="0.2">
      <c r="A716" t="s">
        <v>173</v>
      </c>
      <c r="B716" t="s">
        <v>507</v>
      </c>
      <c r="C716">
        <v>1947</v>
      </c>
      <c r="D716" t="s">
        <v>37</v>
      </c>
      <c r="E716" s="1">
        <v>45483</v>
      </c>
      <c r="F716" s="6">
        <v>3</v>
      </c>
      <c r="G716" t="s">
        <v>32</v>
      </c>
      <c r="H716" t="s">
        <v>39</v>
      </c>
      <c r="I716" t="s">
        <v>2683</v>
      </c>
      <c r="J716" t="s">
        <v>1241</v>
      </c>
      <c r="K716">
        <v>2600</v>
      </c>
      <c r="L716">
        <v>800</v>
      </c>
      <c r="M716">
        <f>Customers_Table[[#This Row],[Quantity Ordered]]*Customers_Table[[#This Row],[Sales Price (Per unit)]]</f>
        <v>2400</v>
      </c>
      <c r="N716" t="s">
        <v>2684</v>
      </c>
    </row>
    <row r="717" spans="1:14" x14ac:dyDescent="0.2">
      <c r="A717" t="s">
        <v>1007</v>
      </c>
      <c r="B717" t="s">
        <v>981</v>
      </c>
      <c r="C717">
        <v>1948</v>
      </c>
      <c r="D717" t="s">
        <v>92</v>
      </c>
      <c r="E717" s="1">
        <v>45424</v>
      </c>
      <c r="F717" s="6">
        <v>1</v>
      </c>
      <c r="G717" t="s">
        <v>32</v>
      </c>
      <c r="H717" t="s">
        <v>43</v>
      </c>
      <c r="I717" t="s">
        <v>2685</v>
      </c>
      <c r="J717" t="s">
        <v>1299</v>
      </c>
      <c r="K717">
        <v>2500</v>
      </c>
      <c r="L717">
        <v>600</v>
      </c>
      <c r="M717">
        <f>Customers_Table[[#This Row],[Quantity Ordered]]*Customers_Table[[#This Row],[Sales Price (Per unit)]]</f>
        <v>600</v>
      </c>
      <c r="N717" t="s">
        <v>2686</v>
      </c>
    </row>
    <row r="718" spans="1:14" x14ac:dyDescent="0.2">
      <c r="A718" t="s">
        <v>1008</v>
      </c>
      <c r="B718" t="s">
        <v>1009</v>
      </c>
      <c r="C718">
        <v>1949</v>
      </c>
      <c r="D718" t="s">
        <v>37</v>
      </c>
      <c r="E718" s="1">
        <v>45591</v>
      </c>
      <c r="F718" s="6">
        <v>3</v>
      </c>
      <c r="G718" s="1" t="s">
        <v>52</v>
      </c>
      <c r="H718" t="s">
        <v>43</v>
      </c>
      <c r="I718" t="s">
        <v>2687</v>
      </c>
      <c r="J718" t="s">
        <v>1244</v>
      </c>
      <c r="K718">
        <v>2300</v>
      </c>
      <c r="L718">
        <v>800</v>
      </c>
      <c r="M718">
        <f>Customers_Table[[#This Row],[Quantity Ordered]]*Customers_Table[[#This Row],[Sales Price (Per unit)]]</f>
        <v>2400</v>
      </c>
      <c r="N718" t="s">
        <v>2688</v>
      </c>
    </row>
    <row r="719" spans="1:14" x14ac:dyDescent="0.2">
      <c r="A719" t="s">
        <v>985</v>
      </c>
      <c r="B719" t="s">
        <v>326</v>
      </c>
      <c r="C719">
        <v>1950</v>
      </c>
      <c r="D719" t="s">
        <v>42</v>
      </c>
      <c r="E719" s="1">
        <v>45363</v>
      </c>
      <c r="F719" s="6">
        <v>3</v>
      </c>
      <c r="G719" t="s">
        <v>32</v>
      </c>
      <c r="H719" t="s">
        <v>64</v>
      </c>
      <c r="I719" t="s">
        <v>2689</v>
      </c>
      <c r="J719" t="s">
        <v>1262</v>
      </c>
      <c r="K719">
        <v>7250</v>
      </c>
      <c r="L719">
        <v>300</v>
      </c>
      <c r="M719">
        <f>Customers_Table[[#This Row],[Quantity Ordered]]*Customers_Table[[#This Row],[Sales Price (Per unit)]]</f>
        <v>900</v>
      </c>
      <c r="N719" t="s">
        <v>2690</v>
      </c>
    </row>
    <row r="720" spans="1:14" x14ac:dyDescent="0.2">
      <c r="A720" t="s">
        <v>864</v>
      </c>
      <c r="B720" t="s">
        <v>1010</v>
      </c>
      <c r="C720">
        <v>1951</v>
      </c>
      <c r="D720" t="s">
        <v>37</v>
      </c>
      <c r="E720" s="1">
        <v>45427</v>
      </c>
      <c r="F720" s="6">
        <v>3</v>
      </c>
      <c r="G720" t="s">
        <v>32</v>
      </c>
      <c r="H720" t="s">
        <v>81</v>
      </c>
      <c r="I720" t="s">
        <v>2691</v>
      </c>
      <c r="J720" t="s">
        <v>1361</v>
      </c>
      <c r="K720">
        <v>870</v>
      </c>
      <c r="L720">
        <v>800</v>
      </c>
      <c r="M720">
        <f>Customers_Table[[#This Row],[Quantity Ordered]]*Customers_Table[[#This Row],[Sales Price (Per unit)]]</f>
        <v>2400</v>
      </c>
      <c r="N720" t="s">
        <v>2692</v>
      </c>
    </row>
    <row r="721" spans="1:14" x14ac:dyDescent="0.2">
      <c r="A721" t="s">
        <v>1011</v>
      </c>
      <c r="B721" t="s">
        <v>811</v>
      </c>
      <c r="C721">
        <v>1952</v>
      </c>
      <c r="D721" t="s">
        <v>37</v>
      </c>
      <c r="E721" s="1">
        <v>45522</v>
      </c>
      <c r="F721" s="6">
        <v>1</v>
      </c>
      <c r="G721" t="s">
        <v>32</v>
      </c>
      <c r="H721" t="s">
        <v>39</v>
      </c>
      <c r="I721" t="s">
        <v>2693</v>
      </c>
      <c r="J721" t="s">
        <v>1241</v>
      </c>
      <c r="K721">
        <v>2600</v>
      </c>
      <c r="L721">
        <v>800</v>
      </c>
      <c r="M721">
        <f>Customers_Table[[#This Row],[Quantity Ordered]]*Customers_Table[[#This Row],[Sales Price (Per unit)]]</f>
        <v>800</v>
      </c>
      <c r="N721" t="s">
        <v>2694</v>
      </c>
    </row>
    <row r="722" spans="1:14" x14ac:dyDescent="0.2">
      <c r="A722" t="s">
        <v>302</v>
      </c>
      <c r="B722" t="s">
        <v>853</v>
      </c>
      <c r="C722">
        <v>1953</v>
      </c>
      <c r="D722" t="s">
        <v>51</v>
      </c>
      <c r="E722" s="1">
        <v>45414</v>
      </c>
      <c r="F722" s="6">
        <v>1</v>
      </c>
      <c r="G722" t="s">
        <v>32</v>
      </c>
      <c r="H722" t="s">
        <v>64</v>
      </c>
      <c r="I722" t="s">
        <v>2695</v>
      </c>
      <c r="J722" t="s">
        <v>1265</v>
      </c>
      <c r="K722">
        <v>7000</v>
      </c>
      <c r="L722">
        <v>250</v>
      </c>
      <c r="M722">
        <f>Customers_Table[[#This Row],[Quantity Ordered]]*Customers_Table[[#This Row],[Sales Price (Per unit)]]</f>
        <v>250</v>
      </c>
      <c r="N722" t="s">
        <v>2696</v>
      </c>
    </row>
    <row r="723" spans="1:14" x14ac:dyDescent="0.2">
      <c r="A723" t="s">
        <v>235</v>
      </c>
      <c r="B723" t="s">
        <v>353</v>
      </c>
      <c r="C723">
        <v>1954</v>
      </c>
      <c r="D723" t="s">
        <v>76</v>
      </c>
      <c r="E723" s="1">
        <v>45322</v>
      </c>
      <c r="F723" s="6">
        <v>2</v>
      </c>
      <c r="G723" s="1" t="s">
        <v>52</v>
      </c>
      <c r="H723" t="s">
        <v>53</v>
      </c>
      <c r="I723" t="s">
        <v>2697</v>
      </c>
      <c r="J723" t="s">
        <v>1250</v>
      </c>
      <c r="K723">
        <v>4217</v>
      </c>
      <c r="L723">
        <v>1200</v>
      </c>
      <c r="M723">
        <f>Customers_Table[[#This Row],[Quantity Ordered]]*Customers_Table[[#This Row],[Sales Price (Per unit)]]</f>
        <v>2400</v>
      </c>
      <c r="N723" t="s">
        <v>2698</v>
      </c>
    </row>
    <row r="724" spans="1:14" x14ac:dyDescent="0.2">
      <c r="A724" t="s">
        <v>870</v>
      </c>
      <c r="B724" t="s">
        <v>1012</v>
      </c>
      <c r="C724">
        <v>1955</v>
      </c>
      <c r="D724" t="s">
        <v>42</v>
      </c>
      <c r="E724" s="1">
        <v>45417</v>
      </c>
      <c r="F724" s="6">
        <v>2</v>
      </c>
      <c r="G724" t="s">
        <v>71</v>
      </c>
      <c r="H724" t="s">
        <v>53</v>
      </c>
      <c r="I724" t="s">
        <v>2699</v>
      </c>
      <c r="J724" t="s">
        <v>1305</v>
      </c>
      <c r="K724">
        <v>4000</v>
      </c>
      <c r="L724">
        <v>300</v>
      </c>
      <c r="M724">
        <f>Customers_Table[[#This Row],[Quantity Ordered]]*Customers_Table[[#This Row],[Sales Price (Per unit)]]</f>
        <v>600</v>
      </c>
      <c r="N724" t="s">
        <v>2700</v>
      </c>
    </row>
    <row r="725" spans="1:14" x14ac:dyDescent="0.2">
      <c r="A725" t="s">
        <v>268</v>
      </c>
      <c r="B725" t="s">
        <v>486</v>
      </c>
      <c r="C725">
        <v>1956</v>
      </c>
      <c r="D725" t="s">
        <v>42</v>
      </c>
      <c r="E725" s="1">
        <v>45615</v>
      </c>
      <c r="F725" s="6">
        <v>2</v>
      </c>
      <c r="G725" s="1" t="s">
        <v>52</v>
      </c>
      <c r="H725" t="s">
        <v>64</v>
      </c>
      <c r="I725" t="s">
        <v>2701</v>
      </c>
      <c r="J725" t="s">
        <v>1400</v>
      </c>
      <c r="K725">
        <v>7310</v>
      </c>
      <c r="L725">
        <v>300</v>
      </c>
      <c r="M725">
        <f>Customers_Table[[#This Row],[Quantity Ordered]]*Customers_Table[[#This Row],[Sales Price (Per unit)]]</f>
        <v>600</v>
      </c>
      <c r="N725" t="s">
        <v>2702</v>
      </c>
    </row>
    <row r="726" spans="1:14" x14ac:dyDescent="0.2">
      <c r="A726" t="s">
        <v>933</v>
      </c>
      <c r="B726" t="s">
        <v>1013</v>
      </c>
      <c r="C726">
        <v>1957</v>
      </c>
      <c r="D726" t="s">
        <v>31</v>
      </c>
      <c r="E726" s="1">
        <v>45365</v>
      </c>
      <c r="F726" s="6">
        <v>1</v>
      </c>
      <c r="G726" t="s">
        <v>32</v>
      </c>
      <c r="H726" t="s">
        <v>43</v>
      </c>
      <c r="I726" t="s">
        <v>2703</v>
      </c>
      <c r="J726" t="s">
        <v>865</v>
      </c>
      <c r="K726">
        <v>2000</v>
      </c>
      <c r="L726">
        <v>250</v>
      </c>
      <c r="M726">
        <f>Customers_Table[[#This Row],[Quantity Ordered]]*Customers_Table[[#This Row],[Sales Price (Per unit)]]</f>
        <v>250</v>
      </c>
      <c r="N726" t="s">
        <v>2704</v>
      </c>
    </row>
    <row r="727" spans="1:14" x14ac:dyDescent="0.2">
      <c r="A727" t="s">
        <v>224</v>
      </c>
      <c r="B727" t="s">
        <v>293</v>
      </c>
      <c r="C727">
        <v>1958</v>
      </c>
      <c r="D727" t="s">
        <v>31</v>
      </c>
      <c r="E727" s="1">
        <v>45600</v>
      </c>
      <c r="F727" s="6">
        <v>1</v>
      </c>
      <c r="G727" s="1" t="s">
        <v>52</v>
      </c>
      <c r="H727" t="s">
        <v>64</v>
      </c>
      <c r="I727" t="s">
        <v>2705</v>
      </c>
      <c r="J727" t="s">
        <v>1400</v>
      </c>
      <c r="K727">
        <v>7310</v>
      </c>
      <c r="L727">
        <v>250</v>
      </c>
      <c r="M727">
        <f>Customers_Table[[#This Row],[Quantity Ordered]]*Customers_Table[[#This Row],[Sales Price (Per unit)]]</f>
        <v>250</v>
      </c>
      <c r="N727" t="s">
        <v>2706</v>
      </c>
    </row>
    <row r="728" spans="1:14" x14ac:dyDescent="0.2">
      <c r="A728" t="s">
        <v>1003</v>
      </c>
      <c r="B728" t="s">
        <v>212</v>
      </c>
      <c r="C728">
        <v>1959</v>
      </c>
      <c r="D728" t="s">
        <v>37</v>
      </c>
      <c r="E728" s="1">
        <v>45476</v>
      </c>
      <c r="F728" s="6">
        <v>3</v>
      </c>
      <c r="G728" t="s">
        <v>32</v>
      </c>
      <c r="H728" t="s">
        <v>81</v>
      </c>
      <c r="I728" t="s">
        <v>2707</v>
      </c>
      <c r="J728" t="s">
        <v>1361</v>
      </c>
      <c r="K728">
        <v>870</v>
      </c>
      <c r="L728">
        <v>800</v>
      </c>
      <c r="M728">
        <f>Customers_Table[[#This Row],[Quantity Ordered]]*Customers_Table[[#This Row],[Sales Price (Per unit)]]</f>
        <v>2400</v>
      </c>
      <c r="N728" t="s">
        <v>2708</v>
      </c>
    </row>
    <row r="729" spans="1:14" x14ac:dyDescent="0.2">
      <c r="A729" t="s">
        <v>1014</v>
      </c>
      <c r="B729" t="s">
        <v>1015</v>
      </c>
      <c r="C729">
        <v>1960</v>
      </c>
      <c r="D729" t="s">
        <v>31</v>
      </c>
      <c r="E729" s="1">
        <v>45506</v>
      </c>
      <c r="F729" s="6">
        <v>1</v>
      </c>
      <c r="G729" s="1" t="s">
        <v>52</v>
      </c>
      <c r="H729" t="s">
        <v>57</v>
      </c>
      <c r="I729" t="s">
        <v>2709</v>
      </c>
      <c r="J729" t="s">
        <v>1095</v>
      </c>
      <c r="K729">
        <v>5000</v>
      </c>
      <c r="L729">
        <v>250</v>
      </c>
      <c r="M729">
        <f>Customers_Table[[#This Row],[Quantity Ordered]]*Customers_Table[[#This Row],[Sales Price (Per unit)]]</f>
        <v>250</v>
      </c>
      <c r="N729" t="s">
        <v>2710</v>
      </c>
    </row>
    <row r="730" spans="1:14" x14ac:dyDescent="0.2">
      <c r="A730" t="s">
        <v>1016</v>
      </c>
      <c r="B730" t="s">
        <v>649</v>
      </c>
      <c r="C730">
        <v>1961</v>
      </c>
      <c r="D730" t="s">
        <v>31</v>
      </c>
      <c r="E730" s="1">
        <v>45547</v>
      </c>
      <c r="F730" s="6">
        <v>3</v>
      </c>
      <c r="G730" s="1" t="s">
        <v>52</v>
      </c>
      <c r="H730" t="s">
        <v>47</v>
      </c>
      <c r="I730" t="s">
        <v>2711</v>
      </c>
      <c r="J730" t="s">
        <v>1247</v>
      </c>
      <c r="K730">
        <v>3350</v>
      </c>
      <c r="L730">
        <v>250</v>
      </c>
      <c r="M730">
        <f>Customers_Table[[#This Row],[Quantity Ordered]]*Customers_Table[[#This Row],[Sales Price (Per unit)]]</f>
        <v>750</v>
      </c>
      <c r="N730" t="s">
        <v>2712</v>
      </c>
    </row>
    <row r="731" spans="1:14" x14ac:dyDescent="0.2">
      <c r="A731" t="s">
        <v>269</v>
      </c>
      <c r="B731" t="s">
        <v>883</v>
      </c>
      <c r="C731">
        <v>1962</v>
      </c>
      <c r="D731" t="s">
        <v>92</v>
      </c>
      <c r="E731" s="1">
        <v>45395</v>
      </c>
      <c r="F731" s="6">
        <v>3</v>
      </c>
      <c r="G731" t="s">
        <v>71</v>
      </c>
      <c r="H731" t="s">
        <v>47</v>
      </c>
      <c r="I731" t="s">
        <v>2713</v>
      </c>
      <c r="J731" t="s">
        <v>1275</v>
      </c>
      <c r="K731">
        <v>3000</v>
      </c>
      <c r="L731">
        <v>600</v>
      </c>
      <c r="M731">
        <f>Customers_Table[[#This Row],[Quantity Ordered]]*Customers_Table[[#This Row],[Sales Price (Per unit)]]</f>
        <v>1800</v>
      </c>
      <c r="N731" t="s">
        <v>2714</v>
      </c>
    </row>
    <row r="732" spans="1:14" x14ac:dyDescent="0.2">
      <c r="A732" t="s">
        <v>692</v>
      </c>
      <c r="B732" t="s">
        <v>1017</v>
      </c>
      <c r="C732">
        <v>1963</v>
      </c>
      <c r="D732" t="s">
        <v>51</v>
      </c>
      <c r="E732" s="1">
        <v>45454</v>
      </c>
      <c r="F732" s="6">
        <v>2</v>
      </c>
      <c r="G732" s="1" t="s">
        <v>38</v>
      </c>
      <c r="H732" t="s">
        <v>53</v>
      </c>
      <c r="I732" t="s">
        <v>2715</v>
      </c>
      <c r="J732" t="s">
        <v>1305</v>
      </c>
      <c r="K732">
        <v>4000</v>
      </c>
      <c r="L732">
        <v>250</v>
      </c>
      <c r="M732">
        <f>Customers_Table[[#This Row],[Quantity Ordered]]*Customers_Table[[#This Row],[Sales Price (Per unit)]]</f>
        <v>500</v>
      </c>
      <c r="N732" t="s">
        <v>2716</v>
      </c>
    </row>
    <row r="733" spans="1:14" x14ac:dyDescent="0.2">
      <c r="A733" t="s">
        <v>1018</v>
      </c>
      <c r="B733" t="s">
        <v>1019</v>
      </c>
      <c r="C733">
        <v>1964</v>
      </c>
      <c r="D733" t="s">
        <v>31</v>
      </c>
      <c r="E733" s="1">
        <v>45355</v>
      </c>
      <c r="F733" s="6">
        <v>1</v>
      </c>
      <c r="G733" s="1" t="s">
        <v>52</v>
      </c>
      <c r="H733" t="s">
        <v>43</v>
      </c>
      <c r="I733" t="s">
        <v>2717</v>
      </c>
      <c r="J733" t="s">
        <v>865</v>
      </c>
      <c r="K733">
        <v>2000</v>
      </c>
      <c r="L733">
        <v>250</v>
      </c>
      <c r="M733">
        <f>Customers_Table[[#This Row],[Quantity Ordered]]*Customers_Table[[#This Row],[Sales Price (Per unit)]]</f>
        <v>250</v>
      </c>
      <c r="N733" t="s">
        <v>2718</v>
      </c>
    </row>
    <row r="734" spans="1:14" x14ac:dyDescent="0.2">
      <c r="A734" t="s">
        <v>103</v>
      </c>
      <c r="B734" t="s">
        <v>176</v>
      </c>
      <c r="C734">
        <v>1965</v>
      </c>
      <c r="D734" t="s">
        <v>76</v>
      </c>
      <c r="E734" s="1">
        <v>45514</v>
      </c>
      <c r="F734" s="6">
        <v>2</v>
      </c>
      <c r="G734" t="s">
        <v>32</v>
      </c>
      <c r="H734" t="s">
        <v>43</v>
      </c>
      <c r="I734" t="s">
        <v>2719</v>
      </c>
      <c r="J734" t="s">
        <v>865</v>
      </c>
      <c r="K734">
        <v>2000</v>
      </c>
      <c r="L734">
        <v>1200</v>
      </c>
      <c r="M734">
        <f>Customers_Table[[#This Row],[Quantity Ordered]]*Customers_Table[[#This Row],[Sales Price (Per unit)]]</f>
        <v>2400</v>
      </c>
      <c r="N734" t="s">
        <v>2720</v>
      </c>
    </row>
    <row r="735" spans="1:14" x14ac:dyDescent="0.2">
      <c r="A735" t="s">
        <v>369</v>
      </c>
      <c r="B735" t="s">
        <v>315</v>
      </c>
      <c r="C735">
        <v>1966</v>
      </c>
      <c r="D735" t="s">
        <v>51</v>
      </c>
      <c r="E735" s="1">
        <v>45505</v>
      </c>
      <c r="F735" s="6">
        <v>2</v>
      </c>
      <c r="G735" s="1" t="s">
        <v>52</v>
      </c>
      <c r="H735" t="s">
        <v>39</v>
      </c>
      <c r="I735" t="s">
        <v>2721</v>
      </c>
      <c r="J735" t="s">
        <v>1241</v>
      </c>
      <c r="K735">
        <v>2600</v>
      </c>
      <c r="L735">
        <v>250</v>
      </c>
      <c r="M735">
        <f>Customers_Table[[#This Row],[Quantity Ordered]]*Customers_Table[[#This Row],[Sales Price (Per unit)]]</f>
        <v>500</v>
      </c>
      <c r="N735" t="s">
        <v>2722</v>
      </c>
    </row>
    <row r="736" spans="1:14" x14ac:dyDescent="0.2">
      <c r="A736" t="s">
        <v>351</v>
      </c>
      <c r="B736" t="s">
        <v>354</v>
      </c>
      <c r="C736">
        <v>1967</v>
      </c>
      <c r="D736" t="s">
        <v>92</v>
      </c>
      <c r="E736" s="1">
        <v>45359</v>
      </c>
      <c r="F736" s="6">
        <v>3</v>
      </c>
      <c r="G736" t="s">
        <v>32</v>
      </c>
      <c r="H736" t="s">
        <v>43</v>
      </c>
      <c r="I736" t="s">
        <v>2723</v>
      </c>
      <c r="J736" t="s">
        <v>865</v>
      </c>
      <c r="K736">
        <v>2000</v>
      </c>
      <c r="L736">
        <v>600</v>
      </c>
      <c r="M736">
        <f>Customers_Table[[#This Row],[Quantity Ordered]]*Customers_Table[[#This Row],[Sales Price (Per unit)]]</f>
        <v>1800</v>
      </c>
      <c r="N736" t="s">
        <v>2724</v>
      </c>
    </row>
    <row r="737" spans="1:14" x14ac:dyDescent="0.2">
      <c r="A737" t="s">
        <v>362</v>
      </c>
      <c r="B737" t="s">
        <v>1020</v>
      </c>
      <c r="C737">
        <v>1968</v>
      </c>
      <c r="D737" t="s">
        <v>31</v>
      </c>
      <c r="E737" s="1">
        <v>45625</v>
      </c>
      <c r="F737" s="6">
        <v>2</v>
      </c>
      <c r="G737" t="s">
        <v>71</v>
      </c>
      <c r="H737" t="s">
        <v>81</v>
      </c>
      <c r="I737" t="s">
        <v>2725</v>
      </c>
      <c r="J737" t="s">
        <v>1280</v>
      </c>
      <c r="K737">
        <v>800</v>
      </c>
      <c r="L737">
        <v>250</v>
      </c>
      <c r="M737">
        <f>Customers_Table[[#This Row],[Quantity Ordered]]*Customers_Table[[#This Row],[Sales Price (Per unit)]]</f>
        <v>500</v>
      </c>
      <c r="N737" t="s">
        <v>2726</v>
      </c>
    </row>
    <row r="738" spans="1:14" x14ac:dyDescent="0.2">
      <c r="A738" t="s">
        <v>1021</v>
      </c>
      <c r="B738" t="s">
        <v>1022</v>
      </c>
      <c r="C738">
        <v>1969</v>
      </c>
      <c r="D738" t="s">
        <v>42</v>
      </c>
      <c r="E738" s="1">
        <v>45374</v>
      </c>
      <c r="F738" s="6">
        <v>2</v>
      </c>
      <c r="G738" t="s">
        <v>32</v>
      </c>
      <c r="H738" t="s">
        <v>33</v>
      </c>
      <c r="I738" t="s">
        <v>2727</v>
      </c>
      <c r="J738" t="s">
        <v>1259</v>
      </c>
      <c r="K738">
        <v>6160</v>
      </c>
      <c r="L738">
        <v>300</v>
      </c>
      <c r="M738">
        <f>Customers_Table[[#This Row],[Quantity Ordered]]*Customers_Table[[#This Row],[Sales Price (Per unit)]]</f>
        <v>600</v>
      </c>
      <c r="N738" t="s">
        <v>2728</v>
      </c>
    </row>
    <row r="739" spans="1:14" x14ac:dyDescent="0.2">
      <c r="A739" t="s">
        <v>229</v>
      </c>
      <c r="B739" t="s">
        <v>1023</v>
      </c>
      <c r="C739">
        <v>1970</v>
      </c>
      <c r="D739" t="s">
        <v>92</v>
      </c>
      <c r="E739" s="1">
        <v>45483</v>
      </c>
      <c r="F739" s="6">
        <v>3</v>
      </c>
      <c r="G739" s="1" t="s">
        <v>52</v>
      </c>
      <c r="H739" t="s">
        <v>57</v>
      </c>
      <c r="I739" t="s">
        <v>2729</v>
      </c>
      <c r="J739" t="s">
        <v>1350</v>
      </c>
      <c r="K739">
        <v>5600</v>
      </c>
      <c r="L739">
        <v>600</v>
      </c>
      <c r="M739">
        <f>Customers_Table[[#This Row],[Quantity Ordered]]*Customers_Table[[#This Row],[Sales Price (Per unit)]]</f>
        <v>1800</v>
      </c>
      <c r="N739" t="s">
        <v>2730</v>
      </c>
    </row>
    <row r="740" spans="1:14" x14ac:dyDescent="0.2">
      <c r="A740" t="s">
        <v>35</v>
      </c>
      <c r="B740" t="s">
        <v>107</v>
      </c>
      <c r="C740">
        <v>1971</v>
      </c>
      <c r="D740" t="s">
        <v>76</v>
      </c>
      <c r="E740" s="1">
        <v>45358</v>
      </c>
      <c r="F740" s="6">
        <v>2</v>
      </c>
      <c r="G740" t="s">
        <v>32</v>
      </c>
      <c r="H740" t="s">
        <v>39</v>
      </c>
      <c r="I740" t="s">
        <v>2731</v>
      </c>
      <c r="J740" t="s">
        <v>1241</v>
      </c>
      <c r="K740">
        <v>2600</v>
      </c>
      <c r="L740">
        <v>1200</v>
      </c>
      <c r="M740">
        <f>Customers_Table[[#This Row],[Quantity Ordered]]*Customers_Table[[#This Row],[Sales Price (Per unit)]]</f>
        <v>2400</v>
      </c>
      <c r="N740" t="s">
        <v>2732</v>
      </c>
    </row>
    <row r="741" spans="1:14" x14ac:dyDescent="0.2">
      <c r="A741" t="s">
        <v>811</v>
      </c>
      <c r="B741" t="s">
        <v>617</v>
      </c>
      <c r="C741">
        <v>1972</v>
      </c>
      <c r="D741" t="s">
        <v>42</v>
      </c>
      <c r="E741" s="1">
        <v>45303</v>
      </c>
      <c r="F741" s="6">
        <v>2</v>
      </c>
      <c r="G741" t="s">
        <v>32</v>
      </c>
      <c r="H741" t="s">
        <v>64</v>
      </c>
      <c r="I741" t="s">
        <v>2733</v>
      </c>
      <c r="J741" t="s">
        <v>1265</v>
      </c>
      <c r="K741">
        <v>7000</v>
      </c>
      <c r="L741">
        <v>300</v>
      </c>
      <c r="M741">
        <f>Customers_Table[[#This Row],[Quantity Ordered]]*Customers_Table[[#This Row],[Sales Price (Per unit)]]</f>
        <v>600</v>
      </c>
      <c r="N741" t="s">
        <v>2734</v>
      </c>
    </row>
    <row r="742" spans="1:14" x14ac:dyDescent="0.2">
      <c r="A742" t="s">
        <v>182</v>
      </c>
      <c r="B742" t="s">
        <v>113</v>
      </c>
      <c r="C742">
        <v>1973</v>
      </c>
      <c r="D742" t="s">
        <v>76</v>
      </c>
      <c r="E742" s="1">
        <v>45574</v>
      </c>
      <c r="F742" s="6">
        <v>2</v>
      </c>
      <c r="G742" s="1" t="s">
        <v>52</v>
      </c>
      <c r="H742" t="s">
        <v>39</v>
      </c>
      <c r="I742" t="s">
        <v>2735</v>
      </c>
      <c r="J742" t="s">
        <v>1241</v>
      </c>
      <c r="K742">
        <v>2600</v>
      </c>
      <c r="L742">
        <v>1200</v>
      </c>
      <c r="M742">
        <f>Customers_Table[[#This Row],[Quantity Ordered]]*Customers_Table[[#This Row],[Sales Price (Per unit)]]</f>
        <v>2400</v>
      </c>
      <c r="N742" t="s">
        <v>2736</v>
      </c>
    </row>
    <row r="743" spans="1:14" x14ac:dyDescent="0.2">
      <c r="A743" t="s">
        <v>408</v>
      </c>
      <c r="B743" t="s">
        <v>382</v>
      </c>
      <c r="C743">
        <v>1974</v>
      </c>
      <c r="D743" t="s">
        <v>76</v>
      </c>
      <c r="E743" s="1">
        <v>45376</v>
      </c>
      <c r="F743" s="6">
        <v>3</v>
      </c>
      <c r="G743" t="s">
        <v>32</v>
      </c>
      <c r="H743" t="s">
        <v>81</v>
      </c>
      <c r="I743" t="s">
        <v>2737</v>
      </c>
      <c r="J743" t="s">
        <v>1361</v>
      </c>
      <c r="K743">
        <v>870</v>
      </c>
      <c r="L743">
        <v>1200</v>
      </c>
      <c r="M743">
        <f>Customers_Table[[#This Row],[Quantity Ordered]]*Customers_Table[[#This Row],[Sales Price (Per unit)]]</f>
        <v>3600</v>
      </c>
      <c r="N743" t="s">
        <v>2738</v>
      </c>
    </row>
    <row r="744" spans="1:14" x14ac:dyDescent="0.2">
      <c r="A744" t="s">
        <v>637</v>
      </c>
      <c r="B744" t="s">
        <v>345</v>
      </c>
      <c r="C744">
        <v>1975</v>
      </c>
      <c r="D744" t="s">
        <v>76</v>
      </c>
      <c r="E744" s="1">
        <v>45640</v>
      </c>
      <c r="F744" s="6">
        <v>3</v>
      </c>
      <c r="G744" s="1" t="s">
        <v>52</v>
      </c>
      <c r="H744" t="s">
        <v>43</v>
      </c>
      <c r="I744" t="s">
        <v>2739</v>
      </c>
      <c r="J744" t="s">
        <v>865</v>
      </c>
      <c r="K744">
        <v>2000</v>
      </c>
      <c r="L744">
        <v>1200</v>
      </c>
      <c r="M744">
        <f>Customers_Table[[#This Row],[Quantity Ordered]]*Customers_Table[[#This Row],[Sales Price (Per unit)]]</f>
        <v>3600</v>
      </c>
      <c r="N744" t="s">
        <v>2740</v>
      </c>
    </row>
    <row r="745" spans="1:14" x14ac:dyDescent="0.2">
      <c r="A745" t="s">
        <v>1024</v>
      </c>
      <c r="B745" t="s">
        <v>1025</v>
      </c>
      <c r="C745">
        <v>1976</v>
      </c>
      <c r="D745" t="s">
        <v>76</v>
      </c>
      <c r="E745" s="1">
        <v>45363</v>
      </c>
      <c r="F745" s="6">
        <v>2</v>
      </c>
      <c r="G745" t="s">
        <v>71</v>
      </c>
      <c r="H745" t="s">
        <v>57</v>
      </c>
      <c r="I745" t="s">
        <v>2741</v>
      </c>
      <c r="J745" t="s">
        <v>1253</v>
      </c>
      <c r="K745">
        <v>5290</v>
      </c>
      <c r="L745">
        <v>1200</v>
      </c>
      <c r="M745">
        <f>Customers_Table[[#This Row],[Quantity Ordered]]*Customers_Table[[#This Row],[Sales Price (Per unit)]]</f>
        <v>2400</v>
      </c>
      <c r="N745" t="s">
        <v>2742</v>
      </c>
    </row>
    <row r="746" spans="1:14" x14ac:dyDescent="0.2">
      <c r="A746" t="s">
        <v>898</v>
      </c>
      <c r="B746" t="s">
        <v>1026</v>
      </c>
      <c r="C746">
        <v>1977</v>
      </c>
      <c r="D746" t="s">
        <v>31</v>
      </c>
      <c r="E746" s="1">
        <v>45537</v>
      </c>
      <c r="F746" s="6">
        <v>2</v>
      </c>
      <c r="G746" s="1" t="s">
        <v>52</v>
      </c>
      <c r="H746" t="s">
        <v>39</v>
      </c>
      <c r="I746" t="s">
        <v>2743</v>
      </c>
      <c r="J746" t="s">
        <v>1241</v>
      </c>
      <c r="K746">
        <v>2600</v>
      </c>
      <c r="L746">
        <v>250</v>
      </c>
      <c r="M746">
        <f>Customers_Table[[#This Row],[Quantity Ordered]]*Customers_Table[[#This Row],[Sales Price (Per unit)]]</f>
        <v>500</v>
      </c>
      <c r="N746" t="s">
        <v>2744</v>
      </c>
    </row>
    <row r="747" spans="1:14" x14ac:dyDescent="0.2">
      <c r="A747" t="s">
        <v>526</v>
      </c>
      <c r="B747" t="s">
        <v>1027</v>
      </c>
      <c r="C747">
        <v>1978</v>
      </c>
      <c r="D747" t="s">
        <v>51</v>
      </c>
      <c r="E747" s="1">
        <v>45574</v>
      </c>
      <c r="F747" s="6">
        <v>2</v>
      </c>
      <c r="G747" t="s">
        <v>71</v>
      </c>
      <c r="H747" t="s">
        <v>81</v>
      </c>
      <c r="I747" t="s">
        <v>2745</v>
      </c>
      <c r="J747" t="s">
        <v>1361</v>
      </c>
      <c r="K747">
        <v>870</v>
      </c>
      <c r="L747">
        <v>250</v>
      </c>
      <c r="M747">
        <f>Customers_Table[[#This Row],[Quantity Ordered]]*Customers_Table[[#This Row],[Sales Price (Per unit)]]</f>
        <v>500</v>
      </c>
      <c r="N747" t="s">
        <v>2746</v>
      </c>
    </row>
    <row r="748" spans="1:14" x14ac:dyDescent="0.2">
      <c r="A748" t="s">
        <v>1028</v>
      </c>
      <c r="B748" t="s">
        <v>663</v>
      </c>
      <c r="C748">
        <v>1979</v>
      </c>
      <c r="D748" t="s">
        <v>31</v>
      </c>
      <c r="E748" s="1">
        <v>45529</v>
      </c>
      <c r="F748" s="6">
        <v>3</v>
      </c>
      <c r="G748" t="s">
        <v>71</v>
      </c>
      <c r="H748" t="s">
        <v>33</v>
      </c>
      <c r="I748" t="s">
        <v>2747</v>
      </c>
      <c r="J748" t="s">
        <v>1302</v>
      </c>
      <c r="K748">
        <v>6000</v>
      </c>
      <c r="L748">
        <v>250</v>
      </c>
      <c r="M748">
        <f>Customers_Table[[#This Row],[Quantity Ordered]]*Customers_Table[[#This Row],[Sales Price (Per unit)]]</f>
        <v>750</v>
      </c>
      <c r="N748" t="s">
        <v>2748</v>
      </c>
    </row>
    <row r="749" spans="1:14" x14ac:dyDescent="0.2">
      <c r="A749" t="s">
        <v>718</v>
      </c>
      <c r="B749" t="s">
        <v>792</v>
      </c>
      <c r="C749">
        <v>1980</v>
      </c>
      <c r="D749" t="s">
        <v>76</v>
      </c>
      <c r="E749" s="1">
        <v>45455</v>
      </c>
      <c r="F749" s="6">
        <v>3</v>
      </c>
      <c r="G749" t="s">
        <v>32</v>
      </c>
      <c r="H749" t="s">
        <v>53</v>
      </c>
      <c r="I749" t="s">
        <v>2749</v>
      </c>
      <c r="J749" t="s">
        <v>1268</v>
      </c>
      <c r="K749">
        <v>4870</v>
      </c>
      <c r="L749">
        <v>1200</v>
      </c>
      <c r="M749">
        <f>Customers_Table[[#This Row],[Quantity Ordered]]*Customers_Table[[#This Row],[Sales Price (Per unit)]]</f>
        <v>3600</v>
      </c>
      <c r="N749" t="s">
        <v>2750</v>
      </c>
    </row>
    <row r="750" spans="1:14" x14ac:dyDescent="0.2">
      <c r="A750" t="s">
        <v>1029</v>
      </c>
      <c r="B750" t="s">
        <v>282</v>
      </c>
      <c r="C750">
        <v>1981</v>
      </c>
      <c r="D750" t="s">
        <v>76</v>
      </c>
      <c r="E750" s="1">
        <v>45633</v>
      </c>
      <c r="F750" s="6">
        <v>1</v>
      </c>
      <c r="G750" s="1" t="s">
        <v>52</v>
      </c>
      <c r="H750" t="s">
        <v>81</v>
      </c>
      <c r="I750" t="s">
        <v>2751</v>
      </c>
      <c r="J750" t="s">
        <v>1361</v>
      </c>
      <c r="K750">
        <v>870</v>
      </c>
      <c r="L750">
        <v>1200</v>
      </c>
      <c r="M750">
        <f>Customers_Table[[#This Row],[Quantity Ordered]]*Customers_Table[[#This Row],[Sales Price (Per unit)]]</f>
        <v>1200</v>
      </c>
      <c r="N750" t="s">
        <v>2752</v>
      </c>
    </row>
    <row r="751" spans="1:14" x14ac:dyDescent="0.2">
      <c r="A751" t="s">
        <v>364</v>
      </c>
      <c r="B751" t="s">
        <v>1030</v>
      </c>
      <c r="C751">
        <v>1982</v>
      </c>
      <c r="D751" t="s">
        <v>42</v>
      </c>
      <c r="E751" s="1">
        <v>45615</v>
      </c>
      <c r="F751" s="6">
        <v>2</v>
      </c>
      <c r="G751" t="s">
        <v>32</v>
      </c>
      <c r="H751" t="s">
        <v>81</v>
      </c>
      <c r="I751" t="s">
        <v>2753</v>
      </c>
      <c r="J751" t="s">
        <v>1361</v>
      </c>
      <c r="K751">
        <v>870</v>
      </c>
      <c r="L751">
        <v>300</v>
      </c>
      <c r="M751">
        <f>Customers_Table[[#This Row],[Quantity Ordered]]*Customers_Table[[#This Row],[Sales Price (Per unit)]]</f>
        <v>600</v>
      </c>
      <c r="N751" t="s">
        <v>2754</v>
      </c>
    </row>
    <row r="752" spans="1:14" x14ac:dyDescent="0.2">
      <c r="A752" t="s">
        <v>34</v>
      </c>
      <c r="B752" t="s">
        <v>1031</v>
      </c>
      <c r="C752">
        <v>1983</v>
      </c>
      <c r="D752" t="s">
        <v>37</v>
      </c>
      <c r="E752" s="1">
        <v>45359</v>
      </c>
      <c r="F752" s="6">
        <v>3</v>
      </c>
      <c r="G752" s="1" t="s">
        <v>38</v>
      </c>
      <c r="H752" t="s">
        <v>47</v>
      </c>
      <c r="I752" t="s">
        <v>2755</v>
      </c>
      <c r="J752" t="s">
        <v>1247</v>
      </c>
      <c r="K752">
        <v>3350</v>
      </c>
      <c r="L752">
        <v>800</v>
      </c>
      <c r="M752">
        <f>Customers_Table[[#This Row],[Quantity Ordered]]*Customers_Table[[#This Row],[Sales Price (Per unit)]]</f>
        <v>2400</v>
      </c>
      <c r="N752" t="s">
        <v>2756</v>
      </c>
    </row>
    <row r="753" spans="1:14" x14ac:dyDescent="0.2">
      <c r="A753" t="s">
        <v>1032</v>
      </c>
      <c r="B753" t="s">
        <v>1033</v>
      </c>
      <c r="C753">
        <v>1984</v>
      </c>
      <c r="D753" t="s">
        <v>76</v>
      </c>
      <c r="E753" s="1">
        <v>45599</v>
      </c>
      <c r="F753" s="6">
        <v>2</v>
      </c>
      <c r="G753" s="1" t="s">
        <v>38</v>
      </c>
      <c r="H753" t="s">
        <v>57</v>
      </c>
      <c r="I753" t="s">
        <v>2757</v>
      </c>
      <c r="J753" t="s">
        <v>1253</v>
      </c>
      <c r="K753">
        <v>5290</v>
      </c>
      <c r="L753">
        <v>1200</v>
      </c>
      <c r="M753">
        <f>Customers_Table[[#This Row],[Quantity Ordered]]*Customers_Table[[#This Row],[Sales Price (Per unit)]]</f>
        <v>2400</v>
      </c>
      <c r="N753" t="s">
        <v>2758</v>
      </c>
    </row>
    <row r="754" spans="1:14" x14ac:dyDescent="0.2">
      <c r="A754" t="s">
        <v>562</v>
      </c>
      <c r="B754" t="s">
        <v>962</v>
      </c>
      <c r="C754">
        <v>1985</v>
      </c>
      <c r="D754" t="s">
        <v>51</v>
      </c>
      <c r="E754" s="1">
        <v>45313</v>
      </c>
      <c r="F754" s="6">
        <v>3</v>
      </c>
      <c r="G754" t="s">
        <v>32</v>
      </c>
      <c r="H754" t="s">
        <v>33</v>
      </c>
      <c r="I754" t="s">
        <v>2759</v>
      </c>
      <c r="J754" t="s">
        <v>1302</v>
      </c>
      <c r="K754">
        <v>6000</v>
      </c>
      <c r="L754">
        <v>250</v>
      </c>
      <c r="M754">
        <f>Customers_Table[[#This Row],[Quantity Ordered]]*Customers_Table[[#This Row],[Sales Price (Per unit)]]</f>
        <v>750</v>
      </c>
      <c r="N754" t="s">
        <v>2760</v>
      </c>
    </row>
    <row r="755" spans="1:14" x14ac:dyDescent="0.2">
      <c r="A755" t="s">
        <v>1034</v>
      </c>
      <c r="B755" t="s">
        <v>1035</v>
      </c>
      <c r="C755">
        <v>1986</v>
      </c>
      <c r="D755" t="s">
        <v>37</v>
      </c>
      <c r="E755" s="1">
        <v>45510</v>
      </c>
      <c r="F755" s="6">
        <v>2</v>
      </c>
      <c r="G755" s="1" t="s">
        <v>52</v>
      </c>
      <c r="H755" t="s">
        <v>43</v>
      </c>
      <c r="I755" t="s">
        <v>2761</v>
      </c>
      <c r="J755" t="s">
        <v>1244</v>
      </c>
      <c r="K755">
        <v>2300</v>
      </c>
      <c r="L755">
        <v>800</v>
      </c>
      <c r="M755">
        <f>Customers_Table[[#This Row],[Quantity Ordered]]*Customers_Table[[#This Row],[Sales Price (Per unit)]]</f>
        <v>1600</v>
      </c>
      <c r="N755" t="s">
        <v>2762</v>
      </c>
    </row>
    <row r="756" spans="1:14" x14ac:dyDescent="0.2">
      <c r="A756" t="s">
        <v>1036</v>
      </c>
      <c r="B756" t="s">
        <v>1037</v>
      </c>
      <c r="C756">
        <v>1987</v>
      </c>
      <c r="D756" t="s">
        <v>37</v>
      </c>
      <c r="E756" s="1">
        <v>45585</v>
      </c>
      <c r="F756" s="6">
        <v>3</v>
      </c>
      <c r="G756" t="s">
        <v>32</v>
      </c>
      <c r="H756" t="s">
        <v>39</v>
      </c>
      <c r="I756" t="s">
        <v>2763</v>
      </c>
      <c r="J756" t="s">
        <v>1241</v>
      </c>
      <c r="K756">
        <v>2600</v>
      </c>
      <c r="L756">
        <v>800</v>
      </c>
      <c r="M756">
        <f>Customers_Table[[#This Row],[Quantity Ordered]]*Customers_Table[[#This Row],[Sales Price (Per unit)]]</f>
        <v>2400</v>
      </c>
      <c r="N756" t="s">
        <v>2764</v>
      </c>
    </row>
    <row r="757" spans="1:14" x14ac:dyDescent="0.2">
      <c r="A757" t="s">
        <v>1038</v>
      </c>
      <c r="B757" t="s">
        <v>134</v>
      </c>
      <c r="C757">
        <v>1988</v>
      </c>
      <c r="D757" t="s">
        <v>92</v>
      </c>
      <c r="E757" s="1">
        <v>45654</v>
      </c>
      <c r="F757" s="6">
        <v>2</v>
      </c>
      <c r="G757" s="1" t="s">
        <v>52</v>
      </c>
      <c r="H757" t="s">
        <v>81</v>
      </c>
      <c r="I757" t="s">
        <v>2765</v>
      </c>
      <c r="J757" t="s">
        <v>1361</v>
      </c>
      <c r="K757">
        <v>870</v>
      </c>
      <c r="L757">
        <v>600</v>
      </c>
      <c r="M757">
        <f>Customers_Table[[#This Row],[Quantity Ordered]]*Customers_Table[[#This Row],[Sales Price (Per unit)]]</f>
        <v>1200</v>
      </c>
      <c r="N757" t="s">
        <v>2766</v>
      </c>
    </row>
    <row r="758" spans="1:14" x14ac:dyDescent="0.2">
      <c r="A758" t="s">
        <v>412</v>
      </c>
      <c r="B758" t="s">
        <v>1035</v>
      </c>
      <c r="C758">
        <v>1989</v>
      </c>
      <c r="D758" t="s">
        <v>92</v>
      </c>
      <c r="E758" s="1">
        <v>45647</v>
      </c>
      <c r="F758" s="6">
        <v>3</v>
      </c>
      <c r="G758" s="1" t="s">
        <v>52</v>
      </c>
      <c r="H758" t="s">
        <v>43</v>
      </c>
      <c r="I758" t="s">
        <v>2767</v>
      </c>
      <c r="J758" t="s">
        <v>1299</v>
      </c>
      <c r="K758">
        <v>2500</v>
      </c>
      <c r="L758">
        <v>600</v>
      </c>
      <c r="M758">
        <f>Customers_Table[[#This Row],[Quantity Ordered]]*Customers_Table[[#This Row],[Sales Price (Per unit)]]</f>
        <v>1800</v>
      </c>
      <c r="N758" t="s">
        <v>2768</v>
      </c>
    </row>
    <row r="759" spans="1:14" x14ac:dyDescent="0.2">
      <c r="A759" t="s">
        <v>677</v>
      </c>
      <c r="B759" t="s">
        <v>1039</v>
      </c>
      <c r="C759">
        <v>1990</v>
      </c>
      <c r="D759" t="s">
        <v>76</v>
      </c>
      <c r="E759" s="1">
        <v>45356</v>
      </c>
      <c r="F759" s="6">
        <v>2</v>
      </c>
      <c r="G759" t="s">
        <v>32</v>
      </c>
      <c r="H759" t="s">
        <v>33</v>
      </c>
      <c r="I759" t="s">
        <v>2769</v>
      </c>
      <c r="J759" t="s">
        <v>1259</v>
      </c>
      <c r="K759">
        <v>6160</v>
      </c>
      <c r="L759">
        <v>1200</v>
      </c>
      <c r="M759">
        <f>Customers_Table[[#This Row],[Quantity Ordered]]*Customers_Table[[#This Row],[Sales Price (Per unit)]]</f>
        <v>2400</v>
      </c>
      <c r="N759" t="s">
        <v>2770</v>
      </c>
    </row>
    <row r="760" spans="1:14" x14ac:dyDescent="0.2">
      <c r="A760" t="s">
        <v>72</v>
      </c>
      <c r="B760" t="s">
        <v>1040</v>
      </c>
      <c r="C760">
        <v>1991</v>
      </c>
      <c r="D760" t="s">
        <v>42</v>
      </c>
      <c r="E760" s="1">
        <v>45419</v>
      </c>
      <c r="F760" s="6">
        <v>2</v>
      </c>
      <c r="G760" t="s">
        <v>32</v>
      </c>
      <c r="H760" t="s">
        <v>81</v>
      </c>
      <c r="I760" t="s">
        <v>2771</v>
      </c>
      <c r="J760" t="s">
        <v>1361</v>
      </c>
      <c r="K760">
        <v>870</v>
      </c>
      <c r="L760">
        <v>300</v>
      </c>
      <c r="M760">
        <f>Customers_Table[[#This Row],[Quantity Ordered]]*Customers_Table[[#This Row],[Sales Price (Per unit)]]</f>
        <v>600</v>
      </c>
      <c r="N760" t="s">
        <v>2772</v>
      </c>
    </row>
    <row r="761" spans="1:14" x14ac:dyDescent="0.2">
      <c r="A761" t="s">
        <v>547</v>
      </c>
      <c r="B761" t="s">
        <v>1041</v>
      </c>
      <c r="C761">
        <v>1992</v>
      </c>
      <c r="D761" t="s">
        <v>51</v>
      </c>
      <c r="E761" s="1">
        <v>45525</v>
      </c>
      <c r="F761" s="6">
        <v>1</v>
      </c>
      <c r="G761" s="1" t="s">
        <v>38</v>
      </c>
      <c r="H761" t="s">
        <v>53</v>
      </c>
      <c r="I761" t="s">
        <v>2773</v>
      </c>
      <c r="J761" t="s">
        <v>1250</v>
      </c>
      <c r="K761">
        <v>4217</v>
      </c>
      <c r="L761">
        <v>250</v>
      </c>
      <c r="M761">
        <f>Customers_Table[[#This Row],[Quantity Ordered]]*Customers_Table[[#This Row],[Sales Price (Per unit)]]</f>
        <v>250</v>
      </c>
      <c r="N761" t="s">
        <v>2774</v>
      </c>
    </row>
    <row r="762" spans="1:14" x14ac:dyDescent="0.2">
      <c r="A762" t="s">
        <v>439</v>
      </c>
      <c r="B762" t="s">
        <v>382</v>
      </c>
      <c r="C762">
        <v>1993</v>
      </c>
      <c r="D762" t="s">
        <v>31</v>
      </c>
      <c r="E762" s="1">
        <v>45523</v>
      </c>
      <c r="F762" s="6">
        <v>1</v>
      </c>
      <c r="G762" s="1" t="s">
        <v>52</v>
      </c>
      <c r="H762" t="s">
        <v>53</v>
      </c>
      <c r="I762" t="s">
        <v>2775</v>
      </c>
      <c r="J762" t="s">
        <v>1250</v>
      </c>
      <c r="K762">
        <v>4217</v>
      </c>
      <c r="L762">
        <v>250</v>
      </c>
      <c r="M762">
        <f>Customers_Table[[#This Row],[Quantity Ordered]]*Customers_Table[[#This Row],[Sales Price (Per unit)]]</f>
        <v>250</v>
      </c>
      <c r="N762" t="s">
        <v>2776</v>
      </c>
    </row>
    <row r="763" spans="1:14" x14ac:dyDescent="0.2">
      <c r="A763" t="s">
        <v>812</v>
      </c>
      <c r="B763" t="s">
        <v>492</v>
      </c>
      <c r="C763">
        <v>1994</v>
      </c>
      <c r="D763" t="s">
        <v>76</v>
      </c>
      <c r="E763" s="1">
        <v>45641</v>
      </c>
      <c r="F763" s="6">
        <v>2</v>
      </c>
      <c r="G763" t="s">
        <v>32</v>
      </c>
      <c r="H763" t="s">
        <v>64</v>
      </c>
      <c r="I763" t="s">
        <v>2777</v>
      </c>
      <c r="J763" t="s">
        <v>1265</v>
      </c>
      <c r="K763">
        <v>7000</v>
      </c>
      <c r="L763">
        <v>1200</v>
      </c>
      <c r="M763">
        <f>Customers_Table[[#This Row],[Quantity Ordered]]*Customers_Table[[#This Row],[Sales Price (Per unit)]]</f>
        <v>2400</v>
      </c>
      <c r="N763" t="s">
        <v>2778</v>
      </c>
    </row>
    <row r="764" spans="1:14" x14ac:dyDescent="0.2">
      <c r="A764" t="s">
        <v>1042</v>
      </c>
      <c r="B764" t="s">
        <v>464</v>
      </c>
      <c r="C764">
        <v>1995</v>
      </c>
      <c r="D764" t="s">
        <v>31</v>
      </c>
      <c r="E764" s="1">
        <v>45452</v>
      </c>
      <c r="F764" s="6">
        <v>3</v>
      </c>
      <c r="G764" t="s">
        <v>32</v>
      </c>
      <c r="H764" t="s">
        <v>33</v>
      </c>
      <c r="I764" t="s">
        <v>2779</v>
      </c>
      <c r="J764" t="s">
        <v>1259</v>
      </c>
      <c r="K764">
        <v>6160</v>
      </c>
      <c r="L764">
        <v>250</v>
      </c>
      <c r="M764">
        <f>Customers_Table[[#This Row],[Quantity Ordered]]*Customers_Table[[#This Row],[Sales Price (Per unit)]]</f>
        <v>750</v>
      </c>
      <c r="N764" t="s">
        <v>2780</v>
      </c>
    </row>
    <row r="765" spans="1:14" x14ac:dyDescent="0.2">
      <c r="A765" t="s">
        <v>1043</v>
      </c>
      <c r="B765" t="s">
        <v>1040</v>
      </c>
      <c r="C765">
        <v>1996</v>
      </c>
      <c r="D765" t="s">
        <v>51</v>
      </c>
      <c r="E765" s="1">
        <v>45591</v>
      </c>
      <c r="F765" s="6">
        <v>3</v>
      </c>
      <c r="G765" s="1" t="s">
        <v>52</v>
      </c>
      <c r="H765" t="s">
        <v>53</v>
      </c>
      <c r="I765" t="s">
        <v>2781</v>
      </c>
      <c r="J765" t="s">
        <v>1268</v>
      </c>
      <c r="K765">
        <v>4870</v>
      </c>
      <c r="L765">
        <v>250</v>
      </c>
      <c r="M765">
        <f>Customers_Table[[#This Row],[Quantity Ordered]]*Customers_Table[[#This Row],[Sales Price (Per unit)]]</f>
        <v>750</v>
      </c>
      <c r="N765" t="s">
        <v>2782</v>
      </c>
    </row>
    <row r="766" spans="1:14" x14ac:dyDescent="0.2">
      <c r="A766" t="s">
        <v>813</v>
      </c>
      <c r="B766" t="s">
        <v>1044</v>
      </c>
      <c r="C766">
        <v>1997</v>
      </c>
      <c r="D766" t="s">
        <v>31</v>
      </c>
      <c r="E766" s="1">
        <v>45364</v>
      </c>
      <c r="F766" s="6">
        <v>1</v>
      </c>
      <c r="G766" s="1" t="s">
        <v>52</v>
      </c>
      <c r="H766" t="s">
        <v>64</v>
      </c>
      <c r="I766" t="s">
        <v>2783</v>
      </c>
      <c r="J766" t="s">
        <v>1262</v>
      </c>
      <c r="K766">
        <v>7250</v>
      </c>
      <c r="L766">
        <v>250</v>
      </c>
      <c r="M766">
        <f>Customers_Table[[#This Row],[Quantity Ordered]]*Customers_Table[[#This Row],[Sales Price (Per unit)]]</f>
        <v>250</v>
      </c>
      <c r="N766" t="s">
        <v>2784</v>
      </c>
    </row>
    <row r="767" spans="1:14" x14ac:dyDescent="0.2">
      <c r="A767" t="s">
        <v>104</v>
      </c>
      <c r="B767" t="s">
        <v>1045</v>
      </c>
      <c r="C767">
        <v>1998</v>
      </c>
      <c r="D767" t="s">
        <v>76</v>
      </c>
      <c r="E767" s="1">
        <v>45355</v>
      </c>
      <c r="F767" s="6">
        <v>3</v>
      </c>
      <c r="G767" t="s">
        <v>71</v>
      </c>
      <c r="H767" t="s">
        <v>81</v>
      </c>
      <c r="I767" t="s">
        <v>2785</v>
      </c>
      <c r="J767" t="s">
        <v>1280</v>
      </c>
      <c r="K767">
        <v>800</v>
      </c>
      <c r="L767">
        <v>1200</v>
      </c>
      <c r="M767">
        <f>Customers_Table[[#This Row],[Quantity Ordered]]*Customers_Table[[#This Row],[Sales Price (Per unit)]]</f>
        <v>3600</v>
      </c>
      <c r="N767" t="s">
        <v>2786</v>
      </c>
    </row>
    <row r="768" spans="1:14" x14ac:dyDescent="0.2">
      <c r="A768" t="s">
        <v>718</v>
      </c>
      <c r="B768" t="s">
        <v>1041</v>
      </c>
      <c r="C768">
        <v>1999</v>
      </c>
      <c r="D768" t="s">
        <v>51</v>
      </c>
      <c r="E768" s="1">
        <v>45511</v>
      </c>
      <c r="F768" s="6">
        <v>3</v>
      </c>
      <c r="G768" t="s">
        <v>32</v>
      </c>
      <c r="H768" t="s">
        <v>33</v>
      </c>
      <c r="I768" t="s">
        <v>2787</v>
      </c>
      <c r="J768" t="s">
        <v>1259</v>
      </c>
      <c r="K768">
        <v>6160</v>
      </c>
      <c r="L768">
        <v>250</v>
      </c>
      <c r="M768">
        <f>Customers_Table[[#This Row],[Quantity Ordered]]*Customers_Table[[#This Row],[Sales Price (Per unit)]]</f>
        <v>750</v>
      </c>
      <c r="N768" t="s">
        <v>2788</v>
      </c>
    </row>
    <row r="769" spans="1:14" x14ac:dyDescent="0.2">
      <c r="A769" t="s">
        <v>1046</v>
      </c>
      <c r="B769" t="s">
        <v>410</v>
      </c>
      <c r="C769">
        <v>2000</v>
      </c>
      <c r="D769" t="s">
        <v>76</v>
      </c>
      <c r="E769" s="1">
        <v>45653</v>
      </c>
      <c r="F769" s="6">
        <v>3</v>
      </c>
      <c r="G769" s="1" t="s">
        <v>52</v>
      </c>
      <c r="H769" t="s">
        <v>33</v>
      </c>
      <c r="I769" t="s">
        <v>2789</v>
      </c>
      <c r="J769" t="s">
        <v>1302</v>
      </c>
      <c r="K769">
        <v>6000</v>
      </c>
      <c r="L769">
        <v>1200</v>
      </c>
      <c r="M769">
        <f>Customers_Table[[#This Row],[Quantity Ordered]]*Customers_Table[[#This Row],[Sales Price (Per unit)]]</f>
        <v>3600</v>
      </c>
      <c r="N769" t="s">
        <v>2790</v>
      </c>
    </row>
    <row r="770" spans="1:14" x14ac:dyDescent="0.2">
      <c r="A770" t="s">
        <v>137</v>
      </c>
      <c r="B770" t="s">
        <v>625</v>
      </c>
      <c r="C770">
        <v>2001</v>
      </c>
      <c r="D770" t="s">
        <v>76</v>
      </c>
      <c r="E770" s="1">
        <v>45369</v>
      </c>
      <c r="F770" s="6">
        <v>3</v>
      </c>
      <c r="G770" t="s">
        <v>32</v>
      </c>
      <c r="H770" t="s">
        <v>43</v>
      </c>
      <c r="I770" t="s">
        <v>2791</v>
      </c>
      <c r="J770" t="s">
        <v>1299</v>
      </c>
      <c r="K770">
        <v>2500</v>
      </c>
      <c r="L770">
        <v>1200</v>
      </c>
      <c r="M770">
        <f>Customers_Table[[#This Row],[Quantity Ordered]]*Customers_Table[[#This Row],[Sales Price (Per unit)]]</f>
        <v>3600</v>
      </c>
      <c r="N770" t="s">
        <v>2792</v>
      </c>
    </row>
    <row r="771" spans="1:14" x14ac:dyDescent="0.2">
      <c r="A771" t="s">
        <v>396</v>
      </c>
      <c r="B771" t="s">
        <v>778</v>
      </c>
      <c r="C771">
        <v>2002</v>
      </c>
      <c r="D771" t="s">
        <v>76</v>
      </c>
      <c r="E771" s="1">
        <v>45552</v>
      </c>
      <c r="F771" s="6">
        <v>2</v>
      </c>
      <c r="G771" s="1" t="s">
        <v>52</v>
      </c>
      <c r="H771" t="s">
        <v>47</v>
      </c>
      <c r="I771" t="s">
        <v>2793</v>
      </c>
      <c r="J771" t="s">
        <v>1247</v>
      </c>
      <c r="K771">
        <v>3350</v>
      </c>
      <c r="L771">
        <v>1200</v>
      </c>
      <c r="M771">
        <f>Customers_Table[[#This Row],[Quantity Ordered]]*Customers_Table[[#This Row],[Sales Price (Per unit)]]</f>
        <v>2400</v>
      </c>
      <c r="N771" t="s">
        <v>2794</v>
      </c>
    </row>
    <row r="772" spans="1:14" x14ac:dyDescent="0.2">
      <c r="A772" t="s">
        <v>269</v>
      </c>
      <c r="B772" t="s">
        <v>1047</v>
      </c>
      <c r="C772">
        <v>2003</v>
      </c>
      <c r="D772" t="s">
        <v>37</v>
      </c>
      <c r="E772" s="1">
        <v>45651</v>
      </c>
      <c r="F772" s="6">
        <v>2</v>
      </c>
      <c r="G772" s="1" t="s">
        <v>52</v>
      </c>
      <c r="H772" t="s">
        <v>43</v>
      </c>
      <c r="I772" t="s">
        <v>2795</v>
      </c>
      <c r="J772" t="s">
        <v>1299</v>
      </c>
      <c r="K772">
        <v>2500</v>
      </c>
      <c r="L772">
        <v>800</v>
      </c>
      <c r="M772">
        <f>Customers_Table[[#This Row],[Quantity Ordered]]*Customers_Table[[#This Row],[Sales Price (Per unit)]]</f>
        <v>1600</v>
      </c>
      <c r="N772" t="s">
        <v>2796</v>
      </c>
    </row>
    <row r="773" spans="1:14" x14ac:dyDescent="0.2">
      <c r="A773" t="s">
        <v>660</v>
      </c>
      <c r="B773" t="s">
        <v>973</v>
      </c>
      <c r="C773">
        <v>2004</v>
      </c>
      <c r="D773" t="s">
        <v>31</v>
      </c>
      <c r="E773" s="1">
        <v>45622</v>
      </c>
      <c r="F773" s="6">
        <v>1</v>
      </c>
      <c r="G773" s="1" t="s">
        <v>52</v>
      </c>
      <c r="H773" t="s">
        <v>43</v>
      </c>
      <c r="I773" t="s">
        <v>2797</v>
      </c>
      <c r="J773" t="s">
        <v>1299</v>
      </c>
      <c r="K773">
        <v>2500</v>
      </c>
      <c r="L773">
        <v>250</v>
      </c>
      <c r="M773">
        <f>Customers_Table[[#This Row],[Quantity Ordered]]*Customers_Table[[#This Row],[Sales Price (Per unit)]]</f>
        <v>250</v>
      </c>
      <c r="N773" t="s">
        <v>2798</v>
      </c>
    </row>
    <row r="774" spans="1:14" x14ac:dyDescent="0.2">
      <c r="A774" t="s">
        <v>349</v>
      </c>
      <c r="B774" t="s">
        <v>1048</v>
      </c>
      <c r="C774">
        <v>2005</v>
      </c>
      <c r="D774" t="s">
        <v>92</v>
      </c>
      <c r="E774" s="1">
        <v>45327</v>
      </c>
      <c r="F774" s="6">
        <v>2</v>
      </c>
      <c r="G774" t="s">
        <v>32</v>
      </c>
      <c r="H774" t="s">
        <v>57</v>
      </c>
      <c r="I774" t="s">
        <v>2799</v>
      </c>
      <c r="J774" t="s">
        <v>1253</v>
      </c>
      <c r="K774">
        <v>5290</v>
      </c>
      <c r="L774">
        <v>600</v>
      </c>
      <c r="M774">
        <f>Customers_Table[[#This Row],[Quantity Ordered]]*Customers_Table[[#This Row],[Sales Price (Per unit)]]</f>
        <v>1200</v>
      </c>
      <c r="N774" t="s">
        <v>2800</v>
      </c>
    </row>
    <row r="775" spans="1:14" x14ac:dyDescent="0.2">
      <c r="A775" t="s">
        <v>848</v>
      </c>
      <c r="B775" t="s">
        <v>203</v>
      </c>
      <c r="C775">
        <v>2006</v>
      </c>
      <c r="D775" t="s">
        <v>51</v>
      </c>
      <c r="E775" s="1">
        <v>45591</v>
      </c>
      <c r="F775" s="6">
        <v>1</v>
      </c>
      <c r="G775" s="1" t="s">
        <v>52</v>
      </c>
      <c r="H775" t="s">
        <v>43</v>
      </c>
      <c r="I775" t="s">
        <v>2801</v>
      </c>
      <c r="J775" t="s">
        <v>1299</v>
      </c>
      <c r="K775">
        <v>2500</v>
      </c>
      <c r="L775">
        <v>250</v>
      </c>
      <c r="M775">
        <f>Customers_Table[[#This Row],[Quantity Ordered]]*Customers_Table[[#This Row],[Sales Price (Per unit)]]</f>
        <v>250</v>
      </c>
      <c r="N775" t="s">
        <v>2802</v>
      </c>
    </row>
    <row r="776" spans="1:14" x14ac:dyDescent="0.2">
      <c r="A776" t="s">
        <v>396</v>
      </c>
      <c r="B776" t="s">
        <v>920</v>
      </c>
      <c r="C776">
        <v>2007</v>
      </c>
      <c r="D776" t="s">
        <v>51</v>
      </c>
      <c r="E776" s="1">
        <v>45361</v>
      </c>
      <c r="F776" s="6">
        <v>3</v>
      </c>
      <c r="G776" s="1" t="s">
        <v>52</v>
      </c>
      <c r="H776" t="s">
        <v>43</v>
      </c>
      <c r="I776" t="s">
        <v>2803</v>
      </c>
      <c r="J776" t="s">
        <v>1244</v>
      </c>
      <c r="K776">
        <v>2300</v>
      </c>
      <c r="L776">
        <v>250</v>
      </c>
      <c r="M776">
        <f>Customers_Table[[#This Row],[Quantity Ordered]]*Customers_Table[[#This Row],[Sales Price (Per unit)]]</f>
        <v>750</v>
      </c>
      <c r="N776" t="s">
        <v>2804</v>
      </c>
    </row>
    <row r="777" spans="1:14" x14ac:dyDescent="0.2">
      <c r="A777" t="s">
        <v>566</v>
      </c>
      <c r="B777" t="s">
        <v>63</v>
      </c>
      <c r="C777">
        <v>2008</v>
      </c>
      <c r="D777" t="s">
        <v>37</v>
      </c>
      <c r="E777" s="1">
        <v>45617</v>
      </c>
      <c r="F777" s="6">
        <v>1</v>
      </c>
      <c r="G777" s="1" t="s">
        <v>52</v>
      </c>
      <c r="H777" t="s">
        <v>33</v>
      </c>
      <c r="I777" t="s">
        <v>2805</v>
      </c>
      <c r="J777" t="s">
        <v>1238</v>
      </c>
      <c r="K777">
        <v>6725</v>
      </c>
      <c r="L777">
        <v>800</v>
      </c>
      <c r="M777">
        <f>Customers_Table[[#This Row],[Quantity Ordered]]*Customers_Table[[#This Row],[Sales Price (Per unit)]]</f>
        <v>800</v>
      </c>
      <c r="N777" t="s">
        <v>2806</v>
      </c>
    </row>
    <row r="778" spans="1:14" x14ac:dyDescent="0.2">
      <c r="A778" t="s">
        <v>30</v>
      </c>
      <c r="B778" t="s">
        <v>96</v>
      </c>
      <c r="C778">
        <v>2009</v>
      </c>
      <c r="D778" t="s">
        <v>92</v>
      </c>
      <c r="E778" s="1">
        <v>45293</v>
      </c>
      <c r="F778" s="6">
        <v>3</v>
      </c>
      <c r="G778" s="1" t="s">
        <v>38</v>
      </c>
      <c r="H778" t="s">
        <v>57</v>
      </c>
      <c r="I778" t="s">
        <v>2807</v>
      </c>
      <c r="J778" t="s">
        <v>1253</v>
      </c>
      <c r="K778">
        <v>5290</v>
      </c>
      <c r="L778">
        <v>600</v>
      </c>
      <c r="M778">
        <f>Customers_Table[[#This Row],[Quantity Ordered]]*Customers_Table[[#This Row],[Sales Price (Per unit)]]</f>
        <v>1800</v>
      </c>
      <c r="N778" t="s">
        <v>2808</v>
      </c>
    </row>
    <row r="779" spans="1:14" x14ac:dyDescent="0.2">
      <c r="A779" t="s">
        <v>1049</v>
      </c>
      <c r="B779" t="s">
        <v>1050</v>
      </c>
      <c r="C779">
        <v>2010</v>
      </c>
      <c r="D779" t="s">
        <v>31</v>
      </c>
      <c r="E779" s="1">
        <v>45323</v>
      </c>
      <c r="F779" s="6">
        <v>2</v>
      </c>
      <c r="G779" s="1" t="s">
        <v>52</v>
      </c>
      <c r="H779" t="s">
        <v>64</v>
      </c>
      <c r="I779" t="s">
        <v>2809</v>
      </c>
      <c r="J779" t="s">
        <v>1265</v>
      </c>
      <c r="K779">
        <v>7000</v>
      </c>
      <c r="L779">
        <v>250</v>
      </c>
      <c r="M779">
        <f>Customers_Table[[#This Row],[Quantity Ordered]]*Customers_Table[[#This Row],[Sales Price (Per unit)]]</f>
        <v>500</v>
      </c>
      <c r="N779" t="s">
        <v>2810</v>
      </c>
    </row>
    <row r="780" spans="1:14" x14ac:dyDescent="0.2">
      <c r="A780" t="s">
        <v>992</v>
      </c>
      <c r="B780" t="s">
        <v>1051</v>
      </c>
      <c r="C780">
        <v>2011</v>
      </c>
      <c r="D780" t="s">
        <v>92</v>
      </c>
      <c r="E780" s="1">
        <v>45557</v>
      </c>
      <c r="F780" s="6">
        <v>3</v>
      </c>
      <c r="G780" t="s">
        <v>32</v>
      </c>
      <c r="H780" t="s">
        <v>47</v>
      </c>
      <c r="I780" t="s">
        <v>2811</v>
      </c>
      <c r="J780" t="s">
        <v>1275</v>
      </c>
      <c r="K780">
        <v>3000</v>
      </c>
      <c r="L780">
        <v>600</v>
      </c>
      <c r="M780">
        <f>Customers_Table[[#This Row],[Quantity Ordered]]*Customers_Table[[#This Row],[Sales Price (Per unit)]]</f>
        <v>1800</v>
      </c>
      <c r="N780" t="s">
        <v>2812</v>
      </c>
    </row>
    <row r="781" spans="1:14" x14ac:dyDescent="0.2">
      <c r="A781" t="s">
        <v>1036</v>
      </c>
      <c r="B781" t="s">
        <v>246</v>
      </c>
      <c r="C781">
        <v>2012</v>
      </c>
      <c r="D781" t="s">
        <v>51</v>
      </c>
      <c r="E781" s="1">
        <v>45450</v>
      </c>
      <c r="F781" s="6">
        <v>1</v>
      </c>
      <c r="G781" t="s">
        <v>32</v>
      </c>
      <c r="H781" t="s">
        <v>81</v>
      </c>
      <c r="I781" t="s">
        <v>2813</v>
      </c>
      <c r="J781" t="s">
        <v>1280</v>
      </c>
      <c r="K781">
        <v>800</v>
      </c>
      <c r="L781">
        <v>250</v>
      </c>
      <c r="M781">
        <f>Customers_Table[[#This Row],[Quantity Ordered]]*Customers_Table[[#This Row],[Sales Price (Per unit)]]</f>
        <v>250</v>
      </c>
      <c r="N781" t="s">
        <v>2814</v>
      </c>
    </row>
    <row r="782" spans="1:14" x14ac:dyDescent="0.2">
      <c r="A782" t="s">
        <v>696</v>
      </c>
      <c r="B782" t="s">
        <v>1052</v>
      </c>
      <c r="C782">
        <v>2013</v>
      </c>
      <c r="D782" t="s">
        <v>76</v>
      </c>
      <c r="E782" s="1">
        <v>45585</v>
      </c>
      <c r="F782" s="6">
        <v>1</v>
      </c>
      <c r="G782" t="s">
        <v>32</v>
      </c>
      <c r="H782" t="s">
        <v>47</v>
      </c>
      <c r="I782" t="s">
        <v>2815</v>
      </c>
      <c r="J782" t="s">
        <v>1256</v>
      </c>
      <c r="K782">
        <v>3220</v>
      </c>
      <c r="L782">
        <v>1200</v>
      </c>
      <c r="M782">
        <f>Customers_Table[[#This Row],[Quantity Ordered]]*Customers_Table[[#This Row],[Sales Price (Per unit)]]</f>
        <v>1200</v>
      </c>
      <c r="N782" t="s">
        <v>2816</v>
      </c>
    </row>
    <row r="783" spans="1:14" x14ac:dyDescent="0.2">
      <c r="A783" t="s">
        <v>1053</v>
      </c>
      <c r="B783" t="s">
        <v>711</v>
      </c>
      <c r="C783">
        <v>2014</v>
      </c>
      <c r="D783" t="s">
        <v>92</v>
      </c>
      <c r="E783" s="1">
        <v>45333</v>
      </c>
      <c r="F783" s="6">
        <v>2</v>
      </c>
      <c r="G783" t="s">
        <v>32</v>
      </c>
      <c r="H783" t="s">
        <v>33</v>
      </c>
      <c r="I783" t="s">
        <v>2817</v>
      </c>
      <c r="J783" t="s">
        <v>1238</v>
      </c>
      <c r="K783">
        <v>6725</v>
      </c>
      <c r="L783">
        <v>600</v>
      </c>
      <c r="M783">
        <f>Customers_Table[[#This Row],[Quantity Ordered]]*Customers_Table[[#This Row],[Sales Price (Per unit)]]</f>
        <v>1200</v>
      </c>
      <c r="N783" t="s">
        <v>2818</v>
      </c>
    </row>
    <row r="784" spans="1:14" x14ac:dyDescent="0.2">
      <c r="A784" t="s">
        <v>1054</v>
      </c>
      <c r="B784" t="s">
        <v>126</v>
      </c>
      <c r="C784">
        <v>2015</v>
      </c>
      <c r="D784" t="s">
        <v>42</v>
      </c>
      <c r="E784" s="1">
        <v>45456</v>
      </c>
      <c r="F784" s="6">
        <v>3</v>
      </c>
      <c r="G784" t="s">
        <v>32</v>
      </c>
      <c r="H784" t="s">
        <v>47</v>
      </c>
      <c r="I784" t="s">
        <v>2819</v>
      </c>
      <c r="J784" t="s">
        <v>1275</v>
      </c>
      <c r="K784">
        <v>3000</v>
      </c>
      <c r="L784">
        <v>300</v>
      </c>
      <c r="M784">
        <f>Customers_Table[[#This Row],[Quantity Ordered]]*Customers_Table[[#This Row],[Sales Price (Per unit)]]</f>
        <v>900</v>
      </c>
      <c r="N784" t="s">
        <v>2820</v>
      </c>
    </row>
    <row r="785" spans="1:14" x14ac:dyDescent="0.2">
      <c r="A785" t="s">
        <v>1055</v>
      </c>
      <c r="B785" t="s">
        <v>1056</v>
      </c>
      <c r="C785">
        <v>2016</v>
      </c>
      <c r="D785" t="s">
        <v>76</v>
      </c>
      <c r="E785" s="1">
        <v>45426</v>
      </c>
      <c r="F785" s="6">
        <v>3</v>
      </c>
      <c r="G785" t="s">
        <v>32</v>
      </c>
      <c r="H785" t="s">
        <v>33</v>
      </c>
      <c r="I785" t="s">
        <v>2821</v>
      </c>
      <c r="J785" t="s">
        <v>1259</v>
      </c>
      <c r="K785">
        <v>6160</v>
      </c>
      <c r="L785">
        <v>1200</v>
      </c>
      <c r="M785">
        <f>Customers_Table[[#This Row],[Quantity Ordered]]*Customers_Table[[#This Row],[Sales Price (Per unit)]]</f>
        <v>3600</v>
      </c>
      <c r="N785" t="s">
        <v>2822</v>
      </c>
    </row>
    <row r="786" spans="1:14" x14ac:dyDescent="0.2">
      <c r="A786" t="s">
        <v>1057</v>
      </c>
      <c r="B786" t="s">
        <v>1058</v>
      </c>
      <c r="C786">
        <v>2017</v>
      </c>
      <c r="D786" t="s">
        <v>92</v>
      </c>
      <c r="E786" s="1">
        <v>45642</v>
      </c>
      <c r="F786" s="6">
        <v>2</v>
      </c>
      <c r="G786" t="s">
        <v>32</v>
      </c>
      <c r="H786" t="s">
        <v>47</v>
      </c>
      <c r="I786" t="s">
        <v>2823</v>
      </c>
      <c r="J786" t="s">
        <v>1275</v>
      </c>
      <c r="K786">
        <v>3000</v>
      </c>
      <c r="L786">
        <v>600</v>
      </c>
      <c r="M786">
        <f>Customers_Table[[#This Row],[Quantity Ordered]]*Customers_Table[[#This Row],[Sales Price (Per unit)]]</f>
        <v>1200</v>
      </c>
      <c r="N786" t="s">
        <v>2824</v>
      </c>
    </row>
    <row r="787" spans="1:14" x14ac:dyDescent="0.2">
      <c r="A787" t="s">
        <v>562</v>
      </c>
      <c r="B787" t="s">
        <v>1056</v>
      </c>
      <c r="C787">
        <v>2018</v>
      </c>
      <c r="D787" t="s">
        <v>51</v>
      </c>
      <c r="E787" s="1">
        <v>45470</v>
      </c>
      <c r="F787" s="6">
        <v>2</v>
      </c>
      <c r="G787" t="s">
        <v>32</v>
      </c>
      <c r="H787" t="s">
        <v>53</v>
      </c>
      <c r="I787" t="s">
        <v>2825</v>
      </c>
      <c r="J787" t="s">
        <v>1250</v>
      </c>
      <c r="K787">
        <v>4217</v>
      </c>
      <c r="L787">
        <v>250</v>
      </c>
      <c r="M787">
        <f>Customers_Table[[#This Row],[Quantity Ordered]]*Customers_Table[[#This Row],[Sales Price (Per unit)]]</f>
        <v>500</v>
      </c>
      <c r="N787" t="s">
        <v>2826</v>
      </c>
    </row>
    <row r="788" spans="1:14" x14ac:dyDescent="0.2">
      <c r="A788" t="s">
        <v>573</v>
      </c>
      <c r="B788" t="s">
        <v>891</v>
      </c>
      <c r="C788">
        <v>2019</v>
      </c>
      <c r="D788" t="s">
        <v>76</v>
      </c>
      <c r="E788" s="1">
        <v>45548</v>
      </c>
      <c r="F788" s="6">
        <v>2</v>
      </c>
      <c r="G788" t="s">
        <v>32</v>
      </c>
      <c r="H788" t="s">
        <v>43</v>
      </c>
      <c r="I788" t="s">
        <v>2827</v>
      </c>
      <c r="J788" t="s">
        <v>1244</v>
      </c>
      <c r="K788">
        <v>2300</v>
      </c>
      <c r="L788">
        <v>1200</v>
      </c>
      <c r="M788">
        <f>Customers_Table[[#This Row],[Quantity Ordered]]*Customers_Table[[#This Row],[Sales Price (Per unit)]]</f>
        <v>2400</v>
      </c>
      <c r="N788" t="s">
        <v>2828</v>
      </c>
    </row>
    <row r="789" spans="1:14" x14ac:dyDescent="0.2">
      <c r="A789" t="s">
        <v>564</v>
      </c>
      <c r="B789" t="s">
        <v>841</v>
      </c>
      <c r="C789">
        <v>2020</v>
      </c>
      <c r="D789" t="s">
        <v>31</v>
      </c>
      <c r="E789" s="1">
        <v>45511</v>
      </c>
      <c r="F789" s="6">
        <v>1</v>
      </c>
      <c r="G789" s="1" t="s">
        <v>52</v>
      </c>
      <c r="H789" t="s">
        <v>57</v>
      </c>
      <c r="I789" t="s">
        <v>2829</v>
      </c>
      <c r="J789" t="s">
        <v>1253</v>
      </c>
      <c r="K789">
        <v>5290</v>
      </c>
      <c r="L789">
        <v>250</v>
      </c>
      <c r="M789">
        <f>Customers_Table[[#This Row],[Quantity Ordered]]*Customers_Table[[#This Row],[Sales Price (Per unit)]]</f>
        <v>250</v>
      </c>
      <c r="N789" t="s">
        <v>2830</v>
      </c>
    </row>
    <row r="790" spans="1:14" x14ac:dyDescent="0.2">
      <c r="A790" t="s">
        <v>1059</v>
      </c>
      <c r="B790" t="s">
        <v>798</v>
      </c>
      <c r="C790">
        <v>2021</v>
      </c>
      <c r="D790" t="s">
        <v>42</v>
      </c>
      <c r="E790" s="1">
        <v>45594</v>
      </c>
      <c r="F790" s="6">
        <v>1</v>
      </c>
      <c r="G790" s="1" t="s">
        <v>38</v>
      </c>
      <c r="H790" t="s">
        <v>53</v>
      </c>
      <c r="I790" t="s">
        <v>2831</v>
      </c>
      <c r="J790" t="s">
        <v>1268</v>
      </c>
      <c r="K790">
        <v>4870</v>
      </c>
      <c r="L790">
        <v>300</v>
      </c>
      <c r="M790">
        <f>Customers_Table[[#This Row],[Quantity Ordered]]*Customers_Table[[#This Row],[Sales Price (Per unit)]]</f>
        <v>300</v>
      </c>
      <c r="N790" t="s">
        <v>2832</v>
      </c>
    </row>
    <row r="791" spans="1:14" x14ac:dyDescent="0.2">
      <c r="A791" t="s">
        <v>1060</v>
      </c>
      <c r="B791" t="s">
        <v>236</v>
      </c>
      <c r="C791">
        <v>2022</v>
      </c>
      <c r="D791" t="s">
        <v>37</v>
      </c>
      <c r="E791" s="1">
        <v>45556</v>
      </c>
      <c r="F791" s="6">
        <v>1</v>
      </c>
      <c r="G791" s="1" t="s">
        <v>52</v>
      </c>
      <c r="H791" t="s">
        <v>39</v>
      </c>
      <c r="I791" t="s">
        <v>2833</v>
      </c>
      <c r="J791" t="s">
        <v>1241</v>
      </c>
      <c r="K791">
        <v>2600</v>
      </c>
      <c r="L791">
        <v>800</v>
      </c>
      <c r="M791">
        <f>Customers_Table[[#This Row],[Quantity Ordered]]*Customers_Table[[#This Row],[Sales Price (Per unit)]]</f>
        <v>800</v>
      </c>
      <c r="N791" t="s">
        <v>2834</v>
      </c>
    </row>
    <row r="792" spans="1:14" x14ac:dyDescent="0.2">
      <c r="A792" t="s">
        <v>1061</v>
      </c>
      <c r="B792" t="s">
        <v>1062</v>
      </c>
      <c r="C792">
        <v>2023</v>
      </c>
      <c r="D792" t="s">
        <v>92</v>
      </c>
      <c r="E792" s="1">
        <v>45528</v>
      </c>
      <c r="F792" s="6">
        <v>3</v>
      </c>
      <c r="G792" s="1" t="s">
        <v>52</v>
      </c>
      <c r="H792" t="s">
        <v>64</v>
      </c>
      <c r="I792" t="s">
        <v>2835</v>
      </c>
      <c r="J792" t="s">
        <v>1262</v>
      </c>
      <c r="K792">
        <v>7250</v>
      </c>
      <c r="L792">
        <v>600</v>
      </c>
      <c r="M792">
        <f>Customers_Table[[#This Row],[Quantity Ordered]]*Customers_Table[[#This Row],[Sales Price (Per unit)]]</f>
        <v>1800</v>
      </c>
      <c r="N792" t="s">
        <v>2836</v>
      </c>
    </row>
    <row r="793" spans="1:14" x14ac:dyDescent="0.2">
      <c r="A793" t="s">
        <v>905</v>
      </c>
      <c r="B793" t="s">
        <v>835</v>
      </c>
      <c r="C793">
        <v>2024</v>
      </c>
      <c r="D793" t="s">
        <v>76</v>
      </c>
      <c r="E793" s="1">
        <v>45475</v>
      </c>
      <c r="F793" s="6">
        <v>1</v>
      </c>
      <c r="G793" t="s">
        <v>71</v>
      </c>
      <c r="H793" t="s">
        <v>64</v>
      </c>
      <c r="I793" t="s">
        <v>2837</v>
      </c>
      <c r="J793" t="s">
        <v>1262</v>
      </c>
      <c r="K793">
        <v>7250</v>
      </c>
      <c r="L793">
        <v>1200</v>
      </c>
      <c r="M793">
        <f>Customers_Table[[#This Row],[Quantity Ordered]]*Customers_Table[[#This Row],[Sales Price (Per unit)]]</f>
        <v>1200</v>
      </c>
      <c r="N793" t="s">
        <v>2838</v>
      </c>
    </row>
    <row r="794" spans="1:14" x14ac:dyDescent="0.2">
      <c r="A794" t="s">
        <v>1063</v>
      </c>
      <c r="B794" t="s">
        <v>602</v>
      </c>
      <c r="C794">
        <v>2025</v>
      </c>
      <c r="D794" t="s">
        <v>76</v>
      </c>
      <c r="E794" s="1">
        <v>45612</v>
      </c>
      <c r="F794" s="6">
        <v>3</v>
      </c>
      <c r="G794" t="s">
        <v>32</v>
      </c>
      <c r="H794" t="s">
        <v>47</v>
      </c>
      <c r="I794" t="s">
        <v>2839</v>
      </c>
      <c r="J794" t="s">
        <v>1247</v>
      </c>
      <c r="K794">
        <v>3350</v>
      </c>
      <c r="L794">
        <v>1200</v>
      </c>
      <c r="M794">
        <f>Customers_Table[[#This Row],[Quantity Ordered]]*Customers_Table[[#This Row],[Sales Price (Per unit)]]</f>
        <v>3600</v>
      </c>
      <c r="N794" t="s">
        <v>2840</v>
      </c>
    </row>
    <row r="795" spans="1:14" x14ac:dyDescent="0.2">
      <c r="A795" t="s">
        <v>674</v>
      </c>
      <c r="B795" t="s">
        <v>863</v>
      </c>
      <c r="C795">
        <v>2026</v>
      </c>
      <c r="D795" t="s">
        <v>92</v>
      </c>
      <c r="E795" s="1">
        <v>45478</v>
      </c>
      <c r="F795" s="6">
        <v>3</v>
      </c>
      <c r="G795" t="s">
        <v>32</v>
      </c>
      <c r="H795" t="s">
        <v>53</v>
      </c>
      <c r="I795" t="s">
        <v>2841</v>
      </c>
      <c r="J795" t="s">
        <v>1268</v>
      </c>
      <c r="K795">
        <v>4870</v>
      </c>
      <c r="L795">
        <v>600</v>
      </c>
      <c r="M795">
        <f>Customers_Table[[#This Row],[Quantity Ordered]]*Customers_Table[[#This Row],[Sales Price (Per unit)]]</f>
        <v>1800</v>
      </c>
      <c r="N795" t="s">
        <v>2842</v>
      </c>
    </row>
    <row r="796" spans="1:14" x14ac:dyDescent="0.2">
      <c r="A796" t="s">
        <v>1064</v>
      </c>
      <c r="B796" t="s">
        <v>1065</v>
      </c>
      <c r="C796">
        <v>2027</v>
      </c>
      <c r="D796" t="s">
        <v>76</v>
      </c>
      <c r="E796" s="1">
        <v>45623</v>
      </c>
      <c r="F796" s="6">
        <v>3</v>
      </c>
      <c r="G796" t="s">
        <v>32</v>
      </c>
      <c r="H796" t="s">
        <v>81</v>
      </c>
      <c r="I796" t="s">
        <v>2843</v>
      </c>
      <c r="J796" t="s">
        <v>1361</v>
      </c>
      <c r="K796">
        <v>870</v>
      </c>
      <c r="L796">
        <v>1200</v>
      </c>
      <c r="M796">
        <f>Customers_Table[[#This Row],[Quantity Ordered]]*Customers_Table[[#This Row],[Sales Price (Per unit)]]</f>
        <v>3600</v>
      </c>
      <c r="N796" t="s">
        <v>2844</v>
      </c>
    </row>
    <row r="797" spans="1:14" x14ac:dyDescent="0.2">
      <c r="A797" t="s">
        <v>1066</v>
      </c>
      <c r="B797" t="s">
        <v>715</v>
      </c>
      <c r="C797">
        <v>2028</v>
      </c>
      <c r="D797" t="s">
        <v>31</v>
      </c>
      <c r="E797" s="1">
        <v>45370</v>
      </c>
      <c r="F797" s="6">
        <v>3</v>
      </c>
      <c r="G797" t="s">
        <v>32</v>
      </c>
      <c r="H797" t="s">
        <v>81</v>
      </c>
      <c r="I797" t="s">
        <v>2845</v>
      </c>
      <c r="J797" t="s">
        <v>1361</v>
      </c>
      <c r="K797">
        <v>870</v>
      </c>
      <c r="L797">
        <v>250</v>
      </c>
      <c r="M797">
        <f>Customers_Table[[#This Row],[Quantity Ordered]]*Customers_Table[[#This Row],[Sales Price (Per unit)]]</f>
        <v>750</v>
      </c>
      <c r="N797" t="s">
        <v>2846</v>
      </c>
    </row>
    <row r="798" spans="1:14" x14ac:dyDescent="0.2">
      <c r="A798" t="s">
        <v>1067</v>
      </c>
      <c r="B798" t="s">
        <v>1068</v>
      </c>
      <c r="C798">
        <v>2029</v>
      </c>
      <c r="D798" t="s">
        <v>31</v>
      </c>
      <c r="E798" s="1">
        <v>45539</v>
      </c>
      <c r="F798" s="6">
        <v>3</v>
      </c>
      <c r="G798" s="1" t="s">
        <v>52</v>
      </c>
      <c r="H798" t="s">
        <v>33</v>
      </c>
      <c r="I798" t="s">
        <v>2847</v>
      </c>
      <c r="J798" t="s">
        <v>1259</v>
      </c>
      <c r="K798">
        <v>6160</v>
      </c>
      <c r="L798">
        <v>250</v>
      </c>
      <c r="M798">
        <f>Customers_Table[[#This Row],[Quantity Ordered]]*Customers_Table[[#This Row],[Sales Price (Per unit)]]</f>
        <v>750</v>
      </c>
      <c r="N798" t="s">
        <v>2848</v>
      </c>
    </row>
    <row r="799" spans="1:14" x14ac:dyDescent="0.2">
      <c r="A799" t="s">
        <v>708</v>
      </c>
      <c r="B799" t="s">
        <v>725</v>
      </c>
      <c r="C799">
        <v>2030</v>
      </c>
      <c r="D799" t="s">
        <v>76</v>
      </c>
      <c r="E799" s="1">
        <v>45546</v>
      </c>
      <c r="F799" s="6">
        <v>2</v>
      </c>
      <c r="G799" s="1" t="s">
        <v>52</v>
      </c>
      <c r="H799" t="s">
        <v>47</v>
      </c>
      <c r="I799" t="s">
        <v>2849</v>
      </c>
      <c r="J799" t="s">
        <v>1275</v>
      </c>
      <c r="K799">
        <v>3000</v>
      </c>
      <c r="L799">
        <v>1200</v>
      </c>
      <c r="M799">
        <f>Customers_Table[[#This Row],[Quantity Ordered]]*Customers_Table[[#This Row],[Sales Price (Per unit)]]</f>
        <v>2400</v>
      </c>
      <c r="N799" t="s">
        <v>2850</v>
      </c>
    </row>
    <row r="800" spans="1:14" x14ac:dyDescent="0.2">
      <c r="A800" t="s">
        <v>675</v>
      </c>
      <c r="B800" t="s">
        <v>1069</v>
      </c>
      <c r="C800">
        <v>2031</v>
      </c>
      <c r="D800" t="s">
        <v>31</v>
      </c>
      <c r="E800" s="1">
        <v>45492</v>
      </c>
      <c r="F800" s="6">
        <v>1</v>
      </c>
      <c r="G800" t="s">
        <v>32</v>
      </c>
      <c r="H800" t="s">
        <v>47</v>
      </c>
      <c r="I800" t="s">
        <v>2851</v>
      </c>
      <c r="J800" t="s">
        <v>1256</v>
      </c>
      <c r="K800">
        <v>3220</v>
      </c>
      <c r="L800">
        <v>250</v>
      </c>
      <c r="M800">
        <f>Customers_Table[[#This Row],[Quantity Ordered]]*Customers_Table[[#This Row],[Sales Price (Per unit)]]</f>
        <v>250</v>
      </c>
      <c r="N800" t="s">
        <v>2852</v>
      </c>
    </row>
    <row r="801" spans="1:14" x14ac:dyDescent="0.2">
      <c r="A801" t="s">
        <v>842</v>
      </c>
      <c r="B801" t="s">
        <v>983</v>
      </c>
      <c r="C801">
        <v>2032</v>
      </c>
      <c r="D801" t="s">
        <v>42</v>
      </c>
      <c r="E801" s="1">
        <v>45389</v>
      </c>
      <c r="F801" s="6">
        <v>3</v>
      </c>
      <c r="G801" t="s">
        <v>32</v>
      </c>
      <c r="H801" t="s">
        <v>39</v>
      </c>
      <c r="I801" t="s">
        <v>2853</v>
      </c>
      <c r="J801" t="s">
        <v>1241</v>
      </c>
      <c r="K801">
        <v>2600</v>
      </c>
      <c r="L801">
        <v>300</v>
      </c>
      <c r="M801">
        <f>Customers_Table[[#This Row],[Quantity Ordered]]*Customers_Table[[#This Row],[Sales Price (Per unit)]]</f>
        <v>900</v>
      </c>
      <c r="N801" t="s">
        <v>2854</v>
      </c>
    </row>
    <row r="802" spans="1:14" x14ac:dyDescent="0.2">
      <c r="A802" t="s">
        <v>1046</v>
      </c>
      <c r="B802" t="s">
        <v>845</v>
      </c>
      <c r="C802">
        <v>2033</v>
      </c>
      <c r="D802" t="s">
        <v>42</v>
      </c>
      <c r="E802" s="1">
        <v>45618</v>
      </c>
      <c r="F802" s="6">
        <v>2</v>
      </c>
      <c r="G802" s="1" t="s">
        <v>52</v>
      </c>
      <c r="H802" t="s">
        <v>47</v>
      </c>
      <c r="I802" t="s">
        <v>2855</v>
      </c>
      <c r="J802" t="s">
        <v>1275</v>
      </c>
      <c r="K802">
        <v>3000</v>
      </c>
      <c r="L802">
        <v>300</v>
      </c>
      <c r="M802">
        <f>Customers_Table[[#This Row],[Quantity Ordered]]*Customers_Table[[#This Row],[Sales Price (Per unit)]]</f>
        <v>600</v>
      </c>
      <c r="N802" t="s">
        <v>2856</v>
      </c>
    </row>
    <row r="803" spans="1:14" x14ac:dyDescent="0.2">
      <c r="A803" t="s">
        <v>899</v>
      </c>
      <c r="B803" t="s">
        <v>319</v>
      </c>
      <c r="C803">
        <v>2034</v>
      </c>
      <c r="D803" t="s">
        <v>37</v>
      </c>
      <c r="E803" s="1">
        <v>45622</v>
      </c>
      <c r="F803" s="6">
        <v>2</v>
      </c>
      <c r="G803" s="1" t="s">
        <v>52</v>
      </c>
      <c r="H803" t="s">
        <v>33</v>
      </c>
      <c r="I803" t="s">
        <v>2857</v>
      </c>
      <c r="J803" t="s">
        <v>1302</v>
      </c>
      <c r="K803">
        <v>6000</v>
      </c>
      <c r="L803">
        <v>800</v>
      </c>
      <c r="M803">
        <f>Customers_Table[[#This Row],[Quantity Ordered]]*Customers_Table[[#This Row],[Sales Price (Per unit)]]</f>
        <v>1600</v>
      </c>
      <c r="N803" t="s">
        <v>2858</v>
      </c>
    </row>
    <row r="804" spans="1:14" x14ac:dyDescent="0.2">
      <c r="A804" t="s">
        <v>623</v>
      </c>
      <c r="B804" t="s">
        <v>845</v>
      </c>
      <c r="C804">
        <v>2035</v>
      </c>
      <c r="D804" t="s">
        <v>76</v>
      </c>
      <c r="E804" s="1">
        <v>45614</v>
      </c>
      <c r="F804" s="6">
        <v>2</v>
      </c>
      <c r="G804" t="s">
        <v>32</v>
      </c>
      <c r="H804" t="s">
        <v>33</v>
      </c>
      <c r="I804" t="s">
        <v>2859</v>
      </c>
      <c r="J804" t="s">
        <v>1259</v>
      </c>
      <c r="K804">
        <v>6160</v>
      </c>
      <c r="L804">
        <v>1200</v>
      </c>
      <c r="M804">
        <f>Customers_Table[[#This Row],[Quantity Ordered]]*Customers_Table[[#This Row],[Sales Price (Per unit)]]</f>
        <v>2400</v>
      </c>
      <c r="N804" t="s">
        <v>2860</v>
      </c>
    </row>
    <row r="805" spans="1:14" x14ac:dyDescent="0.2">
      <c r="A805" t="s">
        <v>1070</v>
      </c>
      <c r="B805" t="s">
        <v>1071</v>
      </c>
      <c r="C805">
        <v>2036</v>
      </c>
      <c r="D805" t="s">
        <v>76</v>
      </c>
      <c r="E805" s="1">
        <v>45479</v>
      </c>
      <c r="F805" s="6">
        <v>1</v>
      </c>
      <c r="G805" s="1" t="s">
        <v>52</v>
      </c>
      <c r="H805" t="s">
        <v>39</v>
      </c>
      <c r="I805" t="s">
        <v>2861</v>
      </c>
      <c r="J805" t="s">
        <v>1241</v>
      </c>
      <c r="K805">
        <v>2600</v>
      </c>
      <c r="L805">
        <v>1200</v>
      </c>
      <c r="M805">
        <f>Customers_Table[[#This Row],[Quantity Ordered]]*Customers_Table[[#This Row],[Sales Price (Per unit)]]</f>
        <v>1200</v>
      </c>
      <c r="N805" t="s">
        <v>2862</v>
      </c>
    </row>
    <row r="806" spans="1:14" x14ac:dyDescent="0.2">
      <c r="A806" t="s">
        <v>1072</v>
      </c>
      <c r="B806" t="s">
        <v>1073</v>
      </c>
      <c r="C806">
        <v>2037</v>
      </c>
      <c r="D806" t="s">
        <v>42</v>
      </c>
      <c r="E806" s="1">
        <v>45404</v>
      </c>
      <c r="F806" s="6">
        <v>3</v>
      </c>
      <c r="G806" s="1" t="s">
        <v>52</v>
      </c>
      <c r="H806" t="s">
        <v>64</v>
      </c>
      <c r="I806" t="s">
        <v>2863</v>
      </c>
      <c r="J806" t="s">
        <v>1265</v>
      </c>
      <c r="K806">
        <v>7000</v>
      </c>
      <c r="L806">
        <v>300</v>
      </c>
      <c r="M806">
        <f>Customers_Table[[#This Row],[Quantity Ordered]]*Customers_Table[[#This Row],[Sales Price (Per unit)]]</f>
        <v>900</v>
      </c>
      <c r="N806" t="s">
        <v>2864</v>
      </c>
    </row>
    <row r="807" spans="1:14" x14ac:dyDescent="0.2">
      <c r="A807" t="s">
        <v>686</v>
      </c>
      <c r="B807" t="s">
        <v>900</v>
      </c>
      <c r="C807">
        <v>2038</v>
      </c>
      <c r="D807" t="s">
        <v>42</v>
      </c>
      <c r="E807" s="1">
        <v>45511</v>
      </c>
      <c r="F807" s="6">
        <v>3</v>
      </c>
      <c r="G807" t="s">
        <v>32</v>
      </c>
      <c r="H807" t="s">
        <v>81</v>
      </c>
      <c r="I807" t="s">
        <v>2865</v>
      </c>
      <c r="J807" t="s">
        <v>1361</v>
      </c>
      <c r="K807">
        <v>870</v>
      </c>
      <c r="L807">
        <v>300</v>
      </c>
      <c r="M807">
        <f>Customers_Table[[#This Row],[Quantity Ordered]]*Customers_Table[[#This Row],[Sales Price (Per unit)]]</f>
        <v>900</v>
      </c>
      <c r="N807" t="s">
        <v>2866</v>
      </c>
    </row>
    <row r="808" spans="1:14" x14ac:dyDescent="0.2">
      <c r="A808" t="s">
        <v>1014</v>
      </c>
      <c r="B808" t="s">
        <v>456</v>
      </c>
      <c r="C808">
        <v>2039</v>
      </c>
      <c r="D808" t="s">
        <v>92</v>
      </c>
      <c r="E808" s="1">
        <v>45530</v>
      </c>
      <c r="F808" s="6">
        <v>3</v>
      </c>
      <c r="G808" s="1" t="s">
        <v>52</v>
      </c>
      <c r="H808" t="s">
        <v>53</v>
      </c>
      <c r="I808" t="s">
        <v>2867</v>
      </c>
      <c r="J808" t="s">
        <v>1250</v>
      </c>
      <c r="K808">
        <v>4217</v>
      </c>
      <c r="L808">
        <v>600</v>
      </c>
      <c r="M808">
        <f>Customers_Table[[#This Row],[Quantity Ordered]]*Customers_Table[[#This Row],[Sales Price (Per unit)]]</f>
        <v>1800</v>
      </c>
      <c r="N808" t="s">
        <v>2868</v>
      </c>
    </row>
    <row r="809" spans="1:14" x14ac:dyDescent="0.2">
      <c r="A809" t="s">
        <v>1074</v>
      </c>
      <c r="B809" t="s">
        <v>283</v>
      </c>
      <c r="C809">
        <v>2040</v>
      </c>
      <c r="D809" t="s">
        <v>51</v>
      </c>
      <c r="E809" s="1">
        <v>45360</v>
      </c>
      <c r="F809" s="6">
        <v>2</v>
      </c>
      <c r="G809" t="s">
        <v>71</v>
      </c>
      <c r="H809" t="s">
        <v>43</v>
      </c>
      <c r="I809" t="s">
        <v>2869</v>
      </c>
      <c r="J809" t="s">
        <v>865</v>
      </c>
      <c r="K809">
        <v>2000</v>
      </c>
      <c r="L809">
        <v>250</v>
      </c>
      <c r="M809">
        <f>Customers_Table[[#This Row],[Quantity Ordered]]*Customers_Table[[#This Row],[Sales Price (Per unit)]]</f>
        <v>500</v>
      </c>
      <c r="N809" t="s">
        <v>2870</v>
      </c>
    </row>
    <row r="810" spans="1:14" x14ac:dyDescent="0.2">
      <c r="A810" t="s">
        <v>1075</v>
      </c>
      <c r="B810" t="s">
        <v>1076</v>
      </c>
      <c r="C810">
        <v>2041</v>
      </c>
      <c r="D810" t="s">
        <v>37</v>
      </c>
      <c r="E810" s="1">
        <v>45300</v>
      </c>
      <c r="F810" s="6">
        <v>1</v>
      </c>
      <c r="G810" t="s">
        <v>32</v>
      </c>
      <c r="H810" t="s">
        <v>57</v>
      </c>
      <c r="I810" t="s">
        <v>2871</v>
      </c>
      <c r="J810" t="s">
        <v>1253</v>
      </c>
      <c r="K810">
        <v>5290</v>
      </c>
      <c r="L810">
        <v>800</v>
      </c>
      <c r="M810">
        <f>Customers_Table[[#This Row],[Quantity Ordered]]*Customers_Table[[#This Row],[Sales Price (Per unit)]]</f>
        <v>800</v>
      </c>
      <c r="N810" t="s">
        <v>2872</v>
      </c>
    </row>
    <row r="811" spans="1:14" x14ac:dyDescent="0.2">
      <c r="A811" t="s">
        <v>704</v>
      </c>
      <c r="B811" t="s">
        <v>196</v>
      </c>
      <c r="C811">
        <v>2042</v>
      </c>
      <c r="D811" t="s">
        <v>42</v>
      </c>
      <c r="E811" s="1">
        <v>45393</v>
      </c>
      <c r="F811" s="6">
        <v>1</v>
      </c>
      <c r="G811" t="s">
        <v>32</v>
      </c>
      <c r="H811" t="s">
        <v>64</v>
      </c>
      <c r="I811" t="s">
        <v>2873</v>
      </c>
      <c r="J811" t="s">
        <v>1400</v>
      </c>
      <c r="K811">
        <v>7310</v>
      </c>
      <c r="L811">
        <v>300</v>
      </c>
      <c r="M811">
        <f>Customers_Table[[#This Row],[Quantity Ordered]]*Customers_Table[[#This Row],[Sales Price (Per unit)]]</f>
        <v>300</v>
      </c>
      <c r="N811" t="s">
        <v>2874</v>
      </c>
    </row>
    <row r="812" spans="1:14" x14ac:dyDescent="0.2">
      <c r="A812" t="s">
        <v>1077</v>
      </c>
      <c r="B812" t="s">
        <v>1078</v>
      </c>
      <c r="C812">
        <v>2043</v>
      </c>
      <c r="D812" t="s">
        <v>51</v>
      </c>
      <c r="E812" s="1">
        <v>45543</v>
      </c>
      <c r="F812" s="6">
        <v>2</v>
      </c>
      <c r="G812" s="1" t="s">
        <v>38</v>
      </c>
      <c r="H812" t="s">
        <v>43</v>
      </c>
      <c r="I812" t="s">
        <v>2875</v>
      </c>
      <c r="J812" t="s">
        <v>1244</v>
      </c>
      <c r="K812">
        <v>2300</v>
      </c>
      <c r="L812">
        <v>250</v>
      </c>
      <c r="M812">
        <f>Customers_Table[[#This Row],[Quantity Ordered]]*Customers_Table[[#This Row],[Sales Price (Per unit)]]</f>
        <v>500</v>
      </c>
      <c r="N812" t="s">
        <v>2876</v>
      </c>
    </row>
    <row r="813" spans="1:14" x14ac:dyDescent="0.2">
      <c r="A813" t="s">
        <v>203</v>
      </c>
      <c r="B813" t="s">
        <v>1079</v>
      </c>
      <c r="C813">
        <v>2044</v>
      </c>
      <c r="D813" t="s">
        <v>31</v>
      </c>
      <c r="E813" s="1">
        <v>45597</v>
      </c>
      <c r="F813" s="6">
        <v>2</v>
      </c>
      <c r="G813" t="s">
        <v>32</v>
      </c>
      <c r="H813" t="s">
        <v>47</v>
      </c>
      <c r="I813" t="s">
        <v>2877</v>
      </c>
      <c r="J813" t="s">
        <v>1256</v>
      </c>
      <c r="K813">
        <v>3220</v>
      </c>
      <c r="L813">
        <v>250</v>
      </c>
      <c r="M813">
        <f>Customers_Table[[#This Row],[Quantity Ordered]]*Customers_Table[[#This Row],[Sales Price (Per unit)]]</f>
        <v>500</v>
      </c>
      <c r="N813" t="s">
        <v>2878</v>
      </c>
    </row>
    <row r="814" spans="1:14" x14ac:dyDescent="0.2">
      <c r="A814" t="s">
        <v>1080</v>
      </c>
      <c r="B814" t="s">
        <v>535</v>
      </c>
      <c r="C814">
        <v>2045</v>
      </c>
      <c r="D814" t="s">
        <v>37</v>
      </c>
      <c r="E814" s="1">
        <v>45295</v>
      </c>
      <c r="F814" s="6">
        <v>3</v>
      </c>
      <c r="G814" t="s">
        <v>32</v>
      </c>
      <c r="H814" t="s">
        <v>43</v>
      </c>
      <c r="I814" t="s">
        <v>2879</v>
      </c>
      <c r="J814" t="s">
        <v>1299</v>
      </c>
      <c r="K814">
        <v>2500</v>
      </c>
      <c r="L814">
        <v>800</v>
      </c>
      <c r="M814">
        <f>Customers_Table[[#This Row],[Quantity Ordered]]*Customers_Table[[#This Row],[Sales Price (Per unit)]]</f>
        <v>2400</v>
      </c>
      <c r="N814" t="s">
        <v>2880</v>
      </c>
    </row>
    <row r="815" spans="1:14" x14ac:dyDescent="0.2">
      <c r="A815" t="s">
        <v>818</v>
      </c>
      <c r="B815" t="s">
        <v>1081</v>
      </c>
      <c r="C815">
        <v>2046</v>
      </c>
      <c r="D815" t="s">
        <v>92</v>
      </c>
      <c r="E815" s="1">
        <v>45512</v>
      </c>
      <c r="F815" s="6">
        <v>1</v>
      </c>
      <c r="G815" t="s">
        <v>71</v>
      </c>
      <c r="H815" t="s">
        <v>47</v>
      </c>
      <c r="I815" t="s">
        <v>2881</v>
      </c>
      <c r="J815" t="s">
        <v>1275</v>
      </c>
      <c r="K815">
        <v>3000</v>
      </c>
      <c r="L815">
        <v>600</v>
      </c>
      <c r="M815">
        <f>Customers_Table[[#This Row],[Quantity Ordered]]*Customers_Table[[#This Row],[Sales Price (Per unit)]]</f>
        <v>600</v>
      </c>
      <c r="N815" t="s">
        <v>2882</v>
      </c>
    </row>
    <row r="816" spans="1:14" x14ac:dyDescent="0.2">
      <c r="A816" t="s">
        <v>1082</v>
      </c>
      <c r="B816" t="s">
        <v>788</v>
      </c>
      <c r="C816">
        <v>2047</v>
      </c>
      <c r="D816" t="s">
        <v>37</v>
      </c>
      <c r="E816" s="1">
        <v>45376</v>
      </c>
      <c r="F816" s="6">
        <v>1</v>
      </c>
      <c r="G816" s="1" t="s">
        <v>52</v>
      </c>
      <c r="H816" t="s">
        <v>43</v>
      </c>
      <c r="I816" t="s">
        <v>2883</v>
      </c>
      <c r="J816" t="s">
        <v>1244</v>
      </c>
      <c r="K816">
        <v>2300</v>
      </c>
      <c r="L816">
        <v>800</v>
      </c>
      <c r="M816">
        <f>Customers_Table[[#This Row],[Quantity Ordered]]*Customers_Table[[#This Row],[Sales Price (Per unit)]]</f>
        <v>800</v>
      </c>
      <c r="N816" t="s">
        <v>2884</v>
      </c>
    </row>
    <row r="817" spans="1:14" x14ac:dyDescent="0.2">
      <c r="A817" t="s">
        <v>60</v>
      </c>
      <c r="B817" t="s">
        <v>1083</v>
      </c>
      <c r="C817">
        <v>2048</v>
      </c>
      <c r="D817" t="s">
        <v>37</v>
      </c>
      <c r="E817" s="1">
        <v>45401</v>
      </c>
      <c r="F817" s="6">
        <v>2</v>
      </c>
      <c r="G817" t="s">
        <v>71</v>
      </c>
      <c r="H817" t="s">
        <v>53</v>
      </c>
      <c r="I817" t="s">
        <v>2885</v>
      </c>
      <c r="J817" t="s">
        <v>1268</v>
      </c>
      <c r="K817">
        <v>4870</v>
      </c>
      <c r="L817">
        <v>800</v>
      </c>
      <c r="M817">
        <f>Customers_Table[[#This Row],[Quantity Ordered]]*Customers_Table[[#This Row],[Sales Price (Per unit)]]</f>
        <v>1600</v>
      </c>
      <c r="N817" t="s">
        <v>2886</v>
      </c>
    </row>
    <row r="818" spans="1:14" x14ac:dyDescent="0.2">
      <c r="A818" t="s">
        <v>332</v>
      </c>
      <c r="B818" t="s">
        <v>1084</v>
      </c>
      <c r="C818">
        <v>2049</v>
      </c>
      <c r="D818" t="s">
        <v>76</v>
      </c>
      <c r="E818" s="1">
        <v>45436</v>
      </c>
      <c r="F818" s="6">
        <v>2</v>
      </c>
      <c r="G818" s="1" t="s">
        <v>52</v>
      </c>
      <c r="H818" t="s">
        <v>53</v>
      </c>
      <c r="I818" t="s">
        <v>2887</v>
      </c>
      <c r="J818" t="s">
        <v>1268</v>
      </c>
      <c r="K818">
        <v>4870</v>
      </c>
      <c r="L818">
        <v>1200</v>
      </c>
      <c r="M818">
        <f>Customers_Table[[#This Row],[Quantity Ordered]]*Customers_Table[[#This Row],[Sales Price (Per unit)]]</f>
        <v>2400</v>
      </c>
      <c r="N818" t="s">
        <v>2888</v>
      </c>
    </row>
    <row r="819" spans="1:14" x14ac:dyDescent="0.2">
      <c r="A819" t="s">
        <v>1085</v>
      </c>
      <c r="B819" t="s">
        <v>1086</v>
      </c>
      <c r="C819">
        <v>2050</v>
      </c>
      <c r="D819" t="s">
        <v>76</v>
      </c>
      <c r="E819" s="1">
        <v>45313</v>
      </c>
      <c r="F819" s="6">
        <v>2</v>
      </c>
      <c r="G819" s="1" t="s">
        <v>38</v>
      </c>
      <c r="H819" t="s">
        <v>53</v>
      </c>
      <c r="I819" t="s">
        <v>2889</v>
      </c>
      <c r="J819" t="s">
        <v>1250</v>
      </c>
      <c r="K819">
        <v>4217</v>
      </c>
      <c r="L819">
        <v>1200</v>
      </c>
      <c r="M819">
        <f>Customers_Table[[#This Row],[Quantity Ordered]]*Customers_Table[[#This Row],[Sales Price (Per unit)]]</f>
        <v>2400</v>
      </c>
      <c r="N819" t="s">
        <v>2890</v>
      </c>
    </row>
    <row r="820" spans="1:14" x14ac:dyDescent="0.2">
      <c r="A820" t="s">
        <v>1087</v>
      </c>
      <c r="B820" t="s">
        <v>991</v>
      </c>
      <c r="C820">
        <v>2051</v>
      </c>
      <c r="D820" t="s">
        <v>31</v>
      </c>
      <c r="E820" s="1">
        <v>45633</v>
      </c>
      <c r="F820" s="6">
        <v>1</v>
      </c>
      <c r="G820" t="s">
        <v>32</v>
      </c>
      <c r="H820" t="s">
        <v>39</v>
      </c>
      <c r="I820" t="s">
        <v>2891</v>
      </c>
      <c r="J820" t="s">
        <v>1241</v>
      </c>
      <c r="K820">
        <v>2600</v>
      </c>
      <c r="L820">
        <v>250</v>
      </c>
      <c r="M820">
        <f>Customers_Table[[#This Row],[Quantity Ordered]]*Customers_Table[[#This Row],[Sales Price (Per unit)]]</f>
        <v>250</v>
      </c>
      <c r="N820" t="s">
        <v>2892</v>
      </c>
    </row>
    <row r="821" spans="1:14" x14ac:dyDescent="0.2">
      <c r="A821" t="s">
        <v>213</v>
      </c>
      <c r="B821" t="s">
        <v>1088</v>
      </c>
      <c r="C821">
        <v>2052</v>
      </c>
      <c r="D821" t="s">
        <v>51</v>
      </c>
      <c r="E821" s="1">
        <v>45615</v>
      </c>
      <c r="F821" s="6">
        <v>3</v>
      </c>
      <c r="G821" t="s">
        <v>32</v>
      </c>
      <c r="H821" t="s">
        <v>57</v>
      </c>
      <c r="I821" t="s">
        <v>2893</v>
      </c>
      <c r="J821" t="s">
        <v>1095</v>
      </c>
      <c r="K821">
        <v>5000</v>
      </c>
      <c r="L821">
        <v>250</v>
      </c>
      <c r="M821">
        <f>Customers_Table[[#This Row],[Quantity Ordered]]*Customers_Table[[#This Row],[Sales Price (Per unit)]]</f>
        <v>750</v>
      </c>
      <c r="N821" t="s">
        <v>2894</v>
      </c>
    </row>
    <row r="822" spans="1:14" x14ac:dyDescent="0.2">
      <c r="A822" t="s">
        <v>1089</v>
      </c>
      <c r="B822" t="s">
        <v>1090</v>
      </c>
      <c r="C822">
        <v>2053</v>
      </c>
      <c r="D822" t="s">
        <v>37</v>
      </c>
      <c r="E822" s="1">
        <v>45642</v>
      </c>
      <c r="F822" s="6">
        <v>1</v>
      </c>
      <c r="G822" s="1" t="s">
        <v>38</v>
      </c>
      <c r="H822" t="s">
        <v>53</v>
      </c>
      <c r="I822" t="s">
        <v>2895</v>
      </c>
      <c r="J822" t="s">
        <v>1250</v>
      </c>
      <c r="K822">
        <v>4217</v>
      </c>
      <c r="L822">
        <v>800</v>
      </c>
      <c r="M822">
        <f>Customers_Table[[#This Row],[Quantity Ordered]]*Customers_Table[[#This Row],[Sales Price (Per unit)]]</f>
        <v>800</v>
      </c>
      <c r="N822" t="s">
        <v>2896</v>
      </c>
    </row>
    <row r="823" spans="1:14" x14ac:dyDescent="0.2">
      <c r="A823" t="s">
        <v>1091</v>
      </c>
      <c r="B823" t="s">
        <v>807</v>
      </c>
      <c r="C823">
        <v>2054</v>
      </c>
      <c r="D823" t="s">
        <v>51</v>
      </c>
      <c r="E823" s="1">
        <v>45500</v>
      </c>
      <c r="F823" s="6">
        <v>1</v>
      </c>
      <c r="G823" s="1" t="s">
        <v>52</v>
      </c>
      <c r="H823" t="s">
        <v>64</v>
      </c>
      <c r="I823" t="s">
        <v>2897</v>
      </c>
      <c r="J823" t="s">
        <v>1400</v>
      </c>
      <c r="K823">
        <v>7310</v>
      </c>
      <c r="L823">
        <v>250</v>
      </c>
      <c r="M823">
        <f>Customers_Table[[#This Row],[Quantity Ordered]]*Customers_Table[[#This Row],[Sales Price (Per unit)]]</f>
        <v>250</v>
      </c>
      <c r="N823" t="s">
        <v>2898</v>
      </c>
    </row>
    <row r="824" spans="1:14" x14ac:dyDescent="0.2">
      <c r="A824" t="s">
        <v>1092</v>
      </c>
      <c r="B824" t="s">
        <v>664</v>
      </c>
      <c r="C824">
        <v>2055</v>
      </c>
      <c r="D824" t="s">
        <v>42</v>
      </c>
      <c r="E824" s="1">
        <v>45452</v>
      </c>
      <c r="F824" s="6">
        <v>1</v>
      </c>
      <c r="G824" t="s">
        <v>32</v>
      </c>
      <c r="H824" t="s">
        <v>47</v>
      </c>
      <c r="I824" t="s">
        <v>2899</v>
      </c>
      <c r="J824" t="s">
        <v>1247</v>
      </c>
      <c r="K824">
        <v>3350</v>
      </c>
      <c r="L824">
        <v>300</v>
      </c>
      <c r="M824">
        <f>Customers_Table[[#This Row],[Quantity Ordered]]*Customers_Table[[#This Row],[Sales Price (Per unit)]]</f>
        <v>300</v>
      </c>
      <c r="N824" t="s">
        <v>2900</v>
      </c>
    </row>
    <row r="825" spans="1:14" x14ac:dyDescent="0.2">
      <c r="A825" t="s">
        <v>658</v>
      </c>
      <c r="B825" t="s">
        <v>624</v>
      </c>
      <c r="C825">
        <v>2056</v>
      </c>
      <c r="D825" t="s">
        <v>51</v>
      </c>
      <c r="E825" s="1">
        <v>45411</v>
      </c>
      <c r="F825" s="6">
        <v>2</v>
      </c>
      <c r="G825" t="s">
        <v>32</v>
      </c>
      <c r="H825" t="s">
        <v>64</v>
      </c>
      <c r="I825" t="s">
        <v>2901</v>
      </c>
      <c r="J825" t="s">
        <v>1400</v>
      </c>
      <c r="K825">
        <v>7310</v>
      </c>
      <c r="L825">
        <v>250</v>
      </c>
      <c r="M825">
        <f>Customers_Table[[#This Row],[Quantity Ordered]]*Customers_Table[[#This Row],[Sales Price (Per unit)]]</f>
        <v>500</v>
      </c>
      <c r="N825" t="s">
        <v>2902</v>
      </c>
    </row>
    <row r="826" spans="1:14" x14ac:dyDescent="0.2">
      <c r="A826" t="s">
        <v>733</v>
      </c>
      <c r="B826" t="s">
        <v>123</v>
      </c>
      <c r="C826">
        <v>2057</v>
      </c>
      <c r="D826" t="s">
        <v>42</v>
      </c>
      <c r="E826" s="1">
        <v>45370</v>
      </c>
      <c r="F826" s="6">
        <v>2</v>
      </c>
      <c r="G826" s="1" t="s">
        <v>52</v>
      </c>
      <c r="H826" t="s">
        <v>53</v>
      </c>
      <c r="I826" t="s">
        <v>2903</v>
      </c>
      <c r="J826" t="s">
        <v>1268</v>
      </c>
      <c r="K826">
        <v>4870</v>
      </c>
      <c r="L826">
        <v>300</v>
      </c>
      <c r="M826">
        <f>Customers_Table[[#This Row],[Quantity Ordered]]*Customers_Table[[#This Row],[Sales Price (Per unit)]]</f>
        <v>600</v>
      </c>
      <c r="N826" t="s">
        <v>2904</v>
      </c>
    </row>
    <row r="827" spans="1:14" x14ac:dyDescent="0.2">
      <c r="A827" t="s">
        <v>1093</v>
      </c>
      <c r="B827" t="s">
        <v>1094</v>
      </c>
      <c r="C827">
        <v>2058</v>
      </c>
      <c r="D827" t="s">
        <v>76</v>
      </c>
      <c r="E827" s="1">
        <v>45458</v>
      </c>
      <c r="F827" s="6">
        <v>1</v>
      </c>
      <c r="G827" s="1" t="s">
        <v>52</v>
      </c>
      <c r="H827" t="s">
        <v>43</v>
      </c>
      <c r="I827" t="s">
        <v>2905</v>
      </c>
      <c r="J827" t="s">
        <v>865</v>
      </c>
      <c r="K827">
        <v>2000</v>
      </c>
      <c r="L827">
        <v>1200</v>
      </c>
      <c r="M827">
        <f>Customers_Table[[#This Row],[Quantity Ordered]]*Customers_Table[[#This Row],[Sales Price (Per unit)]]</f>
        <v>1200</v>
      </c>
      <c r="N827" t="s">
        <v>2906</v>
      </c>
    </row>
    <row r="828" spans="1:14" x14ac:dyDescent="0.2">
      <c r="A828" t="s">
        <v>884</v>
      </c>
      <c r="B828" t="s">
        <v>1095</v>
      </c>
      <c r="C828">
        <v>2059</v>
      </c>
      <c r="D828" t="s">
        <v>51</v>
      </c>
      <c r="E828" s="1">
        <v>45299</v>
      </c>
      <c r="F828" s="6">
        <v>2</v>
      </c>
      <c r="G828" t="s">
        <v>32</v>
      </c>
      <c r="H828" t="s">
        <v>43</v>
      </c>
      <c r="I828" t="s">
        <v>2907</v>
      </c>
      <c r="J828" t="s">
        <v>1299</v>
      </c>
      <c r="K828">
        <v>2500</v>
      </c>
      <c r="L828">
        <v>250</v>
      </c>
      <c r="M828">
        <f>Customers_Table[[#This Row],[Quantity Ordered]]*Customers_Table[[#This Row],[Sales Price (Per unit)]]</f>
        <v>500</v>
      </c>
      <c r="N828" t="s">
        <v>2908</v>
      </c>
    </row>
    <row r="829" spans="1:14" x14ac:dyDescent="0.2">
      <c r="A829" t="s">
        <v>547</v>
      </c>
      <c r="B829" t="s">
        <v>395</v>
      </c>
      <c r="C829">
        <v>2060</v>
      </c>
      <c r="D829" t="s">
        <v>51</v>
      </c>
      <c r="E829" s="1">
        <v>45631</v>
      </c>
      <c r="F829" s="6">
        <v>1</v>
      </c>
      <c r="G829" t="s">
        <v>71</v>
      </c>
      <c r="H829" t="s">
        <v>47</v>
      </c>
      <c r="I829" t="s">
        <v>2909</v>
      </c>
      <c r="J829" t="s">
        <v>1247</v>
      </c>
      <c r="K829">
        <v>3350</v>
      </c>
      <c r="L829">
        <v>250</v>
      </c>
      <c r="M829">
        <f>Customers_Table[[#This Row],[Quantity Ordered]]*Customers_Table[[#This Row],[Sales Price (Per unit)]]</f>
        <v>250</v>
      </c>
      <c r="N829" t="s">
        <v>2910</v>
      </c>
    </row>
    <row r="830" spans="1:14" x14ac:dyDescent="0.2">
      <c r="A830" t="s">
        <v>175</v>
      </c>
      <c r="B830" t="s">
        <v>1096</v>
      </c>
      <c r="C830">
        <v>2061</v>
      </c>
      <c r="D830" t="s">
        <v>76</v>
      </c>
      <c r="E830" s="1">
        <v>45353</v>
      </c>
      <c r="F830" s="6">
        <v>1</v>
      </c>
      <c r="G830" s="1" t="s">
        <v>38</v>
      </c>
      <c r="H830" t="s">
        <v>53</v>
      </c>
      <c r="I830" t="s">
        <v>2911</v>
      </c>
      <c r="J830" t="s">
        <v>1268</v>
      </c>
      <c r="K830">
        <v>4870</v>
      </c>
      <c r="L830">
        <v>1200</v>
      </c>
      <c r="M830">
        <f>Customers_Table[[#This Row],[Quantity Ordered]]*Customers_Table[[#This Row],[Sales Price (Per unit)]]</f>
        <v>1200</v>
      </c>
      <c r="N830" t="s">
        <v>2912</v>
      </c>
    </row>
    <row r="831" spans="1:14" x14ac:dyDescent="0.2">
      <c r="A831" t="s">
        <v>1097</v>
      </c>
      <c r="B831" t="s">
        <v>1098</v>
      </c>
      <c r="C831">
        <v>2062</v>
      </c>
      <c r="D831" t="s">
        <v>76</v>
      </c>
      <c r="E831" s="1">
        <v>45485</v>
      </c>
      <c r="F831" s="6">
        <v>1</v>
      </c>
      <c r="G831" s="1" t="s">
        <v>52</v>
      </c>
      <c r="H831" t="s">
        <v>33</v>
      </c>
      <c r="I831" t="s">
        <v>2913</v>
      </c>
      <c r="J831" t="s">
        <v>1238</v>
      </c>
      <c r="K831">
        <v>6725</v>
      </c>
      <c r="L831">
        <v>1200</v>
      </c>
      <c r="M831">
        <f>Customers_Table[[#This Row],[Quantity Ordered]]*Customers_Table[[#This Row],[Sales Price (Per unit)]]</f>
        <v>1200</v>
      </c>
      <c r="N831" t="s">
        <v>2914</v>
      </c>
    </row>
    <row r="832" spans="1:14" x14ac:dyDescent="0.2">
      <c r="A832" t="s">
        <v>198</v>
      </c>
      <c r="B832" t="s">
        <v>1099</v>
      </c>
      <c r="C832">
        <v>2063</v>
      </c>
      <c r="D832" t="s">
        <v>37</v>
      </c>
      <c r="E832" s="1">
        <v>45444</v>
      </c>
      <c r="F832" s="6">
        <v>3</v>
      </c>
      <c r="G832" s="1" t="s">
        <v>52</v>
      </c>
      <c r="H832" t="s">
        <v>43</v>
      </c>
      <c r="I832" t="s">
        <v>2915</v>
      </c>
      <c r="J832" t="s">
        <v>1244</v>
      </c>
      <c r="K832">
        <v>2300</v>
      </c>
      <c r="L832">
        <v>800</v>
      </c>
      <c r="M832">
        <f>Customers_Table[[#This Row],[Quantity Ordered]]*Customers_Table[[#This Row],[Sales Price (Per unit)]]</f>
        <v>2400</v>
      </c>
      <c r="N832" t="s">
        <v>2916</v>
      </c>
    </row>
    <row r="833" spans="1:14" x14ac:dyDescent="0.2">
      <c r="A833" t="s">
        <v>884</v>
      </c>
      <c r="B833" t="s">
        <v>672</v>
      </c>
      <c r="C833">
        <v>2064</v>
      </c>
      <c r="D833" t="s">
        <v>76</v>
      </c>
      <c r="E833" s="1">
        <v>45357</v>
      </c>
      <c r="F833" s="6">
        <v>2</v>
      </c>
      <c r="G833" s="1" t="s">
        <v>52</v>
      </c>
      <c r="H833" t="s">
        <v>43</v>
      </c>
      <c r="I833" t="s">
        <v>2917</v>
      </c>
      <c r="J833" t="s">
        <v>865</v>
      </c>
      <c r="K833">
        <v>2000</v>
      </c>
      <c r="L833">
        <v>1200</v>
      </c>
      <c r="M833">
        <f>Customers_Table[[#This Row],[Quantity Ordered]]*Customers_Table[[#This Row],[Sales Price (Per unit)]]</f>
        <v>2400</v>
      </c>
      <c r="N833" t="s">
        <v>2918</v>
      </c>
    </row>
    <row r="834" spans="1:14" x14ac:dyDescent="0.2">
      <c r="A834" t="s">
        <v>672</v>
      </c>
      <c r="B834" t="s">
        <v>1100</v>
      </c>
      <c r="C834">
        <v>2065</v>
      </c>
      <c r="D834" t="s">
        <v>37</v>
      </c>
      <c r="E834" s="1">
        <v>45480</v>
      </c>
      <c r="F834" s="6">
        <v>1</v>
      </c>
      <c r="G834" t="s">
        <v>32</v>
      </c>
      <c r="H834" t="s">
        <v>53</v>
      </c>
      <c r="I834" t="s">
        <v>2919</v>
      </c>
      <c r="J834" t="s">
        <v>1268</v>
      </c>
      <c r="K834">
        <v>4870</v>
      </c>
      <c r="L834">
        <v>800</v>
      </c>
      <c r="M834">
        <f>Customers_Table[[#This Row],[Quantity Ordered]]*Customers_Table[[#This Row],[Sales Price (Per unit)]]</f>
        <v>800</v>
      </c>
      <c r="N834" t="s">
        <v>2920</v>
      </c>
    </row>
    <row r="835" spans="1:14" x14ac:dyDescent="0.2">
      <c r="A835" t="s">
        <v>610</v>
      </c>
      <c r="B835" t="s">
        <v>199</v>
      </c>
      <c r="C835">
        <v>2066</v>
      </c>
      <c r="D835" t="s">
        <v>76</v>
      </c>
      <c r="E835" s="1">
        <v>45535</v>
      </c>
      <c r="F835" s="6">
        <v>3</v>
      </c>
      <c r="G835" s="1" t="s">
        <v>38</v>
      </c>
      <c r="H835" t="s">
        <v>81</v>
      </c>
      <c r="I835" t="s">
        <v>2921</v>
      </c>
      <c r="J835" t="s">
        <v>1280</v>
      </c>
      <c r="K835">
        <v>800</v>
      </c>
      <c r="L835">
        <v>1200</v>
      </c>
      <c r="M835">
        <f>Customers_Table[[#This Row],[Quantity Ordered]]*Customers_Table[[#This Row],[Sales Price (Per unit)]]</f>
        <v>3600</v>
      </c>
      <c r="N835" t="s">
        <v>2922</v>
      </c>
    </row>
    <row r="836" spans="1:14" x14ac:dyDescent="0.2">
      <c r="A836" t="s">
        <v>1101</v>
      </c>
      <c r="B836" t="s">
        <v>1102</v>
      </c>
      <c r="C836">
        <v>2067</v>
      </c>
      <c r="D836" t="s">
        <v>76</v>
      </c>
      <c r="E836" s="1">
        <v>45343</v>
      </c>
      <c r="F836" s="6">
        <v>1</v>
      </c>
      <c r="G836" t="s">
        <v>71</v>
      </c>
      <c r="H836" t="s">
        <v>33</v>
      </c>
      <c r="I836" t="s">
        <v>2923</v>
      </c>
      <c r="J836" t="s">
        <v>1302</v>
      </c>
      <c r="K836">
        <v>6000</v>
      </c>
      <c r="L836">
        <v>1200</v>
      </c>
      <c r="M836">
        <f>Customers_Table[[#This Row],[Quantity Ordered]]*Customers_Table[[#This Row],[Sales Price (Per unit)]]</f>
        <v>1200</v>
      </c>
      <c r="N836" t="s">
        <v>2924</v>
      </c>
    </row>
    <row r="837" spans="1:14" x14ac:dyDescent="0.2">
      <c r="A837" t="s">
        <v>1103</v>
      </c>
      <c r="B837" t="s">
        <v>1104</v>
      </c>
      <c r="C837">
        <v>2068</v>
      </c>
      <c r="D837" t="s">
        <v>51</v>
      </c>
      <c r="E837" s="1">
        <v>45419</v>
      </c>
      <c r="F837" s="6">
        <v>1</v>
      </c>
      <c r="G837" t="s">
        <v>32</v>
      </c>
      <c r="H837" t="s">
        <v>33</v>
      </c>
      <c r="I837" t="s">
        <v>2925</v>
      </c>
      <c r="J837" t="s">
        <v>1259</v>
      </c>
      <c r="K837">
        <v>6160</v>
      </c>
      <c r="L837">
        <v>250</v>
      </c>
      <c r="M837">
        <f>Customers_Table[[#This Row],[Quantity Ordered]]*Customers_Table[[#This Row],[Sales Price (Per unit)]]</f>
        <v>250</v>
      </c>
      <c r="N837" t="s">
        <v>2926</v>
      </c>
    </row>
    <row r="838" spans="1:14" x14ac:dyDescent="0.2">
      <c r="A838" t="s">
        <v>720</v>
      </c>
      <c r="B838" t="s">
        <v>1105</v>
      </c>
      <c r="C838">
        <v>2069</v>
      </c>
      <c r="D838" t="s">
        <v>76</v>
      </c>
      <c r="E838" s="1">
        <v>45470</v>
      </c>
      <c r="F838" s="6">
        <v>1</v>
      </c>
      <c r="G838" s="1" t="s">
        <v>52</v>
      </c>
      <c r="H838" t="s">
        <v>39</v>
      </c>
      <c r="I838" t="s">
        <v>2927</v>
      </c>
      <c r="J838" t="s">
        <v>1241</v>
      </c>
      <c r="K838">
        <v>2600</v>
      </c>
      <c r="L838">
        <v>1200</v>
      </c>
      <c r="M838">
        <f>Customers_Table[[#This Row],[Quantity Ordered]]*Customers_Table[[#This Row],[Sales Price (Per unit)]]</f>
        <v>1200</v>
      </c>
      <c r="N838" t="s">
        <v>2928</v>
      </c>
    </row>
    <row r="839" spans="1:14" x14ac:dyDescent="0.2">
      <c r="A839" t="s">
        <v>1106</v>
      </c>
      <c r="B839" t="s">
        <v>68</v>
      </c>
      <c r="C839">
        <v>2070</v>
      </c>
      <c r="D839" t="s">
        <v>37</v>
      </c>
      <c r="E839" s="1">
        <v>45546</v>
      </c>
      <c r="F839" s="6">
        <v>1</v>
      </c>
      <c r="G839" s="1" t="s">
        <v>52</v>
      </c>
      <c r="H839" t="s">
        <v>33</v>
      </c>
      <c r="I839" t="s">
        <v>2929</v>
      </c>
      <c r="J839" t="s">
        <v>1302</v>
      </c>
      <c r="K839">
        <v>6000</v>
      </c>
      <c r="L839">
        <v>800</v>
      </c>
      <c r="M839">
        <f>Customers_Table[[#This Row],[Quantity Ordered]]*Customers_Table[[#This Row],[Sales Price (Per unit)]]</f>
        <v>800</v>
      </c>
      <c r="N839" t="s">
        <v>2930</v>
      </c>
    </row>
    <row r="840" spans="1:14" x14ac:dyDescent="0.2">
      <c r="A840" t="s">
        <v>1107</v>
      </c>
      <c r="B840" t="s">
        <v>107</v>
      </c>
      <c r="C840">
        <v>2071</v>
      </c>
      <c r="D840" t="s">
        <v>76</v>
      </c>
      <c r="E840" s="1">
        <v>45529</v>
      </c>
      <c r="F840" s="6">
        <v>2</v>
      </c>
      <c r="G840" s="1" t="s">
        <v>52</v>
      </c>
      <c r="H840" t="s">
        <v>33</v>
      </c>
      <c r="I840" t="s">
        <v>2931</v>
      </c>
      <c r="J840" t="s">
        <v>1302</v>
      </c>
      <c r="K840">
        <v>6000</v>
      </c>
      <c r="L840">
        <v>1200</v>
      </c>
      <c r="M840">
        <f>Customers_Table[[#This Row],[Quantity Ordered]]*Customers_Table[[#This Row],[Sales Price (Per unit)]]</f>
        <v>2400</v>
      </c>
      <c r="N840" t="s">
        <v>2932</v>
      </c>
    </row>
    <row r="841" spans="1:14" x14ac:dyDescent="0.2">
      <c r="A841" t="s">
        <v>239</v>
      </c>
      <c r="B841" t="s">
        <v>104</v>
      </c>
      <c r="C841">
        <v>2072</v>
      </c>
      <c r="D841" t="s">
        <v>76</v>
      </c>
      <c r="E841" s="1">
        <v>45350</v>
      </c>
      <c r="F841" s="6">
        <v>2</v>
      </c>
      <c r="G841" s="1" t="s">
        <v>52</v>
      </c>
      <c r="H841" t="s">
        <v>57</v>
      </c>
      <c r="I841" t="s">
        <v>2933</v>
      </c>
      <c r="J841" t="s">
        <v>1095</v>
      </c>
      <c r="K841">
        <v>5000</v>
      </c>
      <c r="L841">
        <v>1200</v>
      </c>
      <c r="M841">
        <f>Customers_Table[[#This Row],[Quantity Ordered]]*Customers_Table[[#This Row],[Sales Price (Per unit)]]</f>
        <v>2400</v>
      </c>
      <c r="N841" t="s">
        <v>2934</v>
      </c>
    </row>
    <row r="842" spans="1:14" x14ac:dyDescent="0.2">
      <c r="A842" t="s">
        <v>656</v>
      </c>
      <c r="B842" t="s">
        <v>1108</v>
      </c>
      <c r="C842">
        <v>2073</v>
      </c>
      <c r="D842" t="s">
        <v>31</v>
      </c>
      <c r="E842" s="1">
        <v>45619</v>
      </c>
      <c r="F842" s="6">
        <v>3</v>
      </c>
      <c r="G842" t="s">
        <v>32</v>
      </c>
      <c r="H842" t="s">
        <v>43</v>
      </c>
      <c r="I842" t="s">
        <v>2935</v>
      </c>
      <c r="J842" t="s">
        <v>865</v>
      </c>
      <c r="K842">
        <v>2000</v>
      </c>
      <c r="L842">
        <v>250</v>
      </c>
      <c r="M842">
        <f>Customers_Table[[#This Row],[Quantity Ordered]]*Customers_Table[[#This Row],[Sales Price (Per unit)]]</f>
        <v>750</v>
      </c>
      <c r="N842" t="s">
        <v>2936</v>
      </c>
    </row>
    <row r="843" spans="1:14" x14ac:dyDescent="0.2">
      <c r="A843" t="s">
        <v>589</v>
      </c>
      <c r="B843" t="s">
        <v>721</v>
      </c>
      <c r="C843">
        <v>2074</v>
      </c>
      <c r="D843" t="s">
        <v>31</v>
      </c>
      <c r="E843" s="1">
        <v>45648</v>
      </c>
      <c r="F843" s="6">
        <v>2</v>
      </c>
      <c r="G843" s="1" t="s">
        <v>38</v>
      </c>
      <c r="H843" t="s">
        <v>47</v>
      </c>
      <c r="I843" t="s">
        <v>2937</v>
      </c>
      <c r="J843" t="s">
        <v>1247</v>
      </c>
      <c r="K843">
        <v>3350</v>
      </c>
      <c r="L843">
        <v>250</v>
      </c>
      <c r="M843">
        <f>Customers_Table[[#This Row],[Quantity Ordered]]*Customers_Table[[#This Row],[Sales Price (Per unit)]]</f>
        <v>500</v>
      </c>
      <c r="N843" t="s">
        <v>2938</v>
      </c>
    </row>
    <row r="844" spans="1:14" x14ac:dyDescent="0.2">
      <c r="A844" t="s">
        <v>656</v>
      </c>
      <c r="B844" t="s">
        <v>1109</v>
      </c>
      <c r="C844">
        <v>2075</v>
      </c>
      <c r="D844" t="s">
        <v>92</v>
      </c>
      <c r="E844" s="1">
        <v>45544</v>
      </c>
      <c r="F844" s="6">
        <v>2</v>
      </c>
      <c r="G844" t="s">
        <v>71</v>
      </c>
      <c r="H844" t="s">
        <v>81</v>
      </c>
      <c r="I844" t="s">
        <v>2939</v>
      </c>
      <c r="J844" t="s">
        <v>1361</v>
      </c>
      <c r="K844">
        <v>870</v>
      </c>
      <c r="L844">
        <v>600</v>
      </c>
      <c r="M844">
        <f>Customers_Table[[#This Row],[Quantity Ordered]]*Customers_Table[[#This Row],[Sales Price (Per unit)]]</f>
        <v>1200</v>
      </c>
      <c r="N844" t="s">
        <v>2940</v>
      </c>
    </row>
    <row r="845" spans="1:14" x14ac:dyDescent="0.2">
      <c r="A845" t="s">
        <v>1110</v>
      </c>
      <c r="B845" t="s">
        <v>922</v>
      </c>
      <c r="C845">
        <v>2076</v>
      </c>
      <c r="D845" t="s">
        <v>92</v>
      </c>
      <c r="E845" s="1">
        <v>45543</v>
      </c>
      <c r="F845" s="6">
        <v>3</v>
      </c>
      <c r="G845" s="1" t="s">
        <v>52</v>
      </c>
      <c r="H845" t="s">
        <v>43</v>
      </c>
      <c r="I845" t="s">
        <v>2941</v>
      </c>
      <c r="J845" t="s">
        <v>1299</v>
      </c>
      <c r="K845">
        <v>2500</v>
      </c>
      <c r="L845">
        <v>600</v>
      </c>
      <c r="M845">
        <f>Customers_Table[[#This Row],[Quantity Ordered]]*Customers_Table[[#This Row],[Sales Price (Per unit)]]</f>
        <v>1800</v>
      </c>
      <c r="N845" t="s">
        <v>2942</v>
      </c>
    </row>
    <row r="846" spans="1:14" x14ac:dyDescent="0.2">
      <c r="A846" t="s">
        <v>1111</v>
      </c>
      <c r="B846" t="s">
        <v>1112</v>
      </c>
      <c r="C846">
        <v>2077</v>
      </c>
      <c r="D846" t="s">
        <v>42</v>
      </c>
      <c r="E846" s="1">
        <v>45501</v>
      </c>
      <c r="F846" s="6">
        <v>2</v>
      </c>
      <c r="G846" t="s">
        <v>32</v>
      </c>
      <c r="H846" t="s">
        <v>43</v>
      </c>
      <c r="I846" t="s">
        <v>2943</v>
      </c>
      <c r="J846" t="s">
        <v>1299</v>
      </c>
      <c r="K846">
        <v>2500</v>
      </c>
      <c r="L846">
        <v>300</v>
      </c>
      <c r="M846">
        <f>Customers_Table[[#This Row],[Quantity Ordered]]*Customers_Table[[#This Row],[Sales Price (Per unit)]]</f>
        <v>600</v>
      </c>
      <c r="N846" t="s">
        <v>2944</v>
      </c>
    </row>
    <row r="847" spans="1:14" x14ac:dyDescent="0.2">
      <c r="A847" t="s">
        <v>417</v>
      </c>
      <c r="B847" t="s">
        <v>659</v>
      </c>
      <c r="C847">
        <v>2078</v>
      </c>
      <c r="D847" t="s">
        <v>76</v>
      </c>
      <c r="E847" s="1">
        <v>45431</v>
      </c>
      <c r="F847" s="6">
        <v>1</v>
      </c>
      <c r="G847" t="s">
        <v>71</v>
      </c>
      <c r="H847" t="s">
        <v>64</v>
      </c>
      <c r="I847" t="s">
        <v>2945</v>
      </c>
      <c r="J847" t="s">
        <v>1262</v>
      </c>
      <c r="K847">
        <v>7250</v>
      </c>
      <c r="L847">
        <v>1200</v>
      </c>
      <c r="M847">
        <f>Customers_Table[[#This Row],[Quantity Ordered]]*Customers_Table[[#This Row],[Sales Price (Per unit)]]</f>
        <v>1200</v>
      </c>
      <c r="N847" t="s">
        <v>2946</v>
      </c>
    </row>
    <row r="848" spans="1:14" x14ac:dyDescent="0.2">
      <c r="A848" t="s">
        <v>1113</v>
      </c>
      <c r="B848" t="s">
        <v>711</v>
      </c>
      <c r="C848">
        <v>2079</v>
      </c>
      <c r="D848" t="s">
        <v>92</v>
      </c>
      <c r="E848" s="1">
        <v>45462</v>
      </c>
      <c r="F848" s="6">
        <v>2</v>
      </c>
      <c r="G848" s="1" t="s">
        <v>38</v>
      </c>
      <c r="H848" t="s">
        <v>57</v>
      </c>
      <c r="I848" t="s">
        <v>2947</v>
      </c>
      <c r="J848" t="s">
        <v>1253</v>
      </c>
      <c r="K848">
        <v>5290</v>
      </c>
      <c r="L848">
        <v>600</v>
      </c>
      <c r="M848">
        <f>Customers_Table[[#This Row],[Quantity Ordered]]*Customers_Table[[#This Row],[Sales Price (Per unit)]]</f>
        <v>1200</v>
      </c>
      <c r="N848" t="s">
        <v>2948</v>
      </c>
    </row>
    <row r="849" spans="1:14" x14ac:dyDescent="0.2">
      <c r="A849" t="s">
        <v>485</v>
      </c>
      <c r="B849" t="s">
        <v>1114</v>
      </c>
      <c r="C849">
        <v>2080</v>
      </c>
      <c r="D849" t="s">
        <v>42</v>
      </c>
      <c r="E849" s="1">
        <v>45308</v>
      </c>
      <c r="F849" s="6">
        <v>3</v>
      </c>
      <c r="G849" s="1" t="s">
        <v>52</v>
      </c>
      <c r="H849" t="s">
        <v>47</v>
      </c>
      <c r="I849" t="s">
        <v>2949</v>
      </c>
      <c r="J849" t="s">
        <v>1256</v>
      </c>
      <c r="K849">
        <v>3220</v>
      </c>
      <c r="L849">
        <v>300</v>
      </c>
      <c r="M849">
        <f>Customers_Table[[#This Row],[Quantity Ordered]]*Customers_Table[[#This Row],[Sales Price (Per unit)]]</f>
        <v>900</v>
      </c>
      <c r="N849" t="s">
        <v>2950</v>
      </c>
    </row>
    <row r="850" spans="1:14" x14ac:dyDescent="0.2">
      <c r="A850" t="s">
        <v>1115</v>
      </c>
      <c r="B850" t="s">
        <v>153</v>
      </c>
      <c r="C850">
        <v>2081</v>
      </c>
      <c r="D850" t="s">
        <v>51</v>
      </c>
      <c r="E850" s="1">
        <v>45637</v>
      </c>
      <c r="F850" s="6">
        <v>1</v>
      </c>
      <c r="G850" s="1" t="s">
        <v>38</v>
      </c>
      <c r="H850" t="s">
        <v>33</v>
      </c>
      <c r="I850" t="s">
        <v>2951</v>
      </c>
      <c r="J850" t="s">
        <v>1238</v>
      </c>
      <c r="K850">
        <v>6725</v>
      </c>
      <c r="L850">
        <v>250</v>
      </c>
      <c r="M850">
        <f>Customers_Table[[#This Row],[Quantity Ordered]]*Customers_Table[[#This Row],[Sales Price (Per unit)]]</f>
        <v>250</v>
      </c>
      <c r="N850" t="s">
        <v>2952</v>
      </c>
    </row>
    <row r="851" spans="1:14" x14ac:dyDescent="0.2">
      <c r="A851" t="s">
        <v>763</v>
      </c>
      <c r="B851" t="s">
        <v>1116</v>
      </c>
      <c r="C851">
        <v>2082</v>
      </c>
      <c r="D851" t="s">
        <v>76</v>
      </c>
      <c r="E851" s="1">
        <v>45489</v>
      </c>
      <c r="F851" s="6">
        <v>2</v>
      </c>
      <c r="G851" s="1" t="s">
        <v>52</v>
      </c>
      <c r="H851" t="s">
        <v>43</v>
      </c>
      <c r="I851" t="s">
        <v>2953</v>
      </c>
      <c r="J851" t="s">
        <v>1299</v>
      </c>
      <c r="K851">
        <v>2500</v>
      </c>
      <c r="L851">
        <v>1200</v>
      </c>
      <c r="M851">
        <f>Customers_Table[[#This Row],[Quantity Ordered]]*Customers_Table[[#This Row],[Sales Price (Per unit)]]</f>
        <v>2400</v>
      </c>
      <c r="N851" t="s">
        <v>2954</v>
      </c>
    </row>
    <row r="852" spans="1:14" x14ac:dyDescent="0.2">
      <c r="A852" t="s">
        <v>1117</v>
      </c>
      <c r="B852" t="s">
        <v>315</v>
      </c>
      <c r="C852">
        <v>2083</v>
      </c>
      <c r="D852" t="s">
        <v>76</v>
      </c>
      <c r="E852" s="1">
        <v>45567</v>
      </c>
      <c r="F852" s="6">
        <v>2</v>
      </c>
      <c r="G852" t="s">
        <v>71</v>
      </c>
      <c r="H852" t="s">
        <v>64</v>
      </c>
      <c r="I852" t="s">
        <v>2955</v>
      </c>
      <c r="J852" t="s">
        <v>1400</v>
      </c>
      <c r="K852">
        <v>7310</v>
      </c>
      <c r="L852">
        <v>1200</v>
      </c>
      <c r="M852">
        <f>Customers_Table[[#This Row],[Quantity Ordered]]*Customers_Table[[#This Row],[Sales Price (Per unit)]]</f>
        <v>2400</v>
      </c>
      <c r="N852" t="s">
        <v>2956</v>
      </c>
    </row>
    <row r="853" spans="1:14" x14ac:dyDescent="0.2">
      <c r="A853" t="s">
        <v>1118</v>
      </c>
      <c r="B853" t="s">
        <v>499</v>
      </c>
      <c r="C853">
        <v>2084</v>
      </c>
      <c r="D853" t="s">
        <v>31</v>
      </c>
      <c r="E853" s="1">
        <v>45292</v>
      </c>
      <c r="F853" s="6">
        <v>3</v>
      </c>
      <c r="G853" t="s">
        <v>32</v>
      </c>
      <c r="H853" t="s">
        <v>53</v>
      </c>
      <c r="I853" t="s">
        <v>2957</v>
      </c>
      <c r="J853" t="s">
        <v>1268</v>
      </c>
      <c r="K853">
        <v>4870</v>
      </c>
      <c r="L853">
        <v>250</v>
      </c>
      <c r="M853">
        <f>Customers_Table[[#This Row],[Quantity Ordered]]*Customers_Table[[#This Row],[Sales Price (Per unit)]]</f>
        <v>750</v>
      </c>
      <c r="N853" t="s">
        <v>2958</v>
      </c>
    </row>
    <row r="854" spans="1:14" x14ac:dyDescent="0.2">
      <c r="A854" t="s">
        <v>1119</v>
      </c>
      <c r="B854" t="s">
        <v>1120</v>
      </c>
      <c r="C854">
        <v>2085</v>
      </c>
      <c r="D854" t="s">
        <v>31</v>
      </c>
      <c r="E854" s="1">
        <v>45335</v>
      </c>
      <c r="F854" s="6">
        <v>3</v>
      </c>
      <c r="G854" s="1" t="s">
        <v>38</v>
      </c>
      <c r="H854" t="s">
        <v>33</v>
      </c>
      <c r="I854" t="s">
        <v>2959</v>
      </c>
      <c r="J854" t="s">
        <v>1238</v>
      </c>
      <c r="K854">
        <v>6725</v>
      </c>
      <c r="L854">
        <v>250</v>
      </c>
      <c r="M854">
        <f>Customers_Table[[#This Row],[Quantity Ordered]]*Customers_Table[[#This Row],[Sales Price (Per unit)]]</f>
        <v>750</v>
      </c>
      <c r="N854" t="s">
        <v>2960</v>
      </c>
    </row>
    <row r="855" spans="1:14" x14ac:dyDescent="0.2">
      <c r="A855" t="s">
        <v>406</v>
      </c>
      <c r="B855" t="s">
        <v>1062</v>
      </c>
      <c r="C855">
        <v>2086</v>
      </c>
      <c r="D855" t="s">
        <v>92</v>
      </c>
      <c r="E855" s="1">
        <v>45413</v>
      </c>
      <c r="F855" s="6">
        <v>3</v>
      </c>
      <c r="G855" s="1" t="s">
        <v>52</v>
      </c>
      <c r="H855" t="s">
        <v>47</v>
      </c>
      <c r="I855" t="s">
        <v>2961</v>
      </c>
      <c r="J855" t="s">
        <v>1256</v>
      </c>
      <c r="K855">
        <v>3220</v>
      </c>
      <c r="L855">
        <v>600</v>
      </c>
      <c r="M855">
        <f>Customers_Table[[#This Row],[Quantity Ordered]]*Customers_Table[[#This Row],[Sales Price (Per unit)]]</f>
        <v>1800</v>
      </c>
      <c r="N855" t="s">
        <v>2962</v>
      </c>
    </row>
    <row r="856" spans="1:14" x14ac:dyDescent="0.2">
      <c r="A856" t="s">
        <v>1103</v>
      </c>
      <c r="B856" t="s">
        <v>316</v>
      </c>
      <c r="C856">
        <v>2087</v>
      </c>
      <c r="D856" t="s">
        <v>51</v>
      </c>
      <c r="E856" s="1">
        <v>45443</v>
      </c>
      <c r="F856" s="6">
        <v>1</v>
      </c>
      <c r="G856" t="s">
        <v>32</v>
      </c>
      <c r="H856" t="s">
        <v>53</v>
      </c>
      <c r="I856" t="s">
        <v>2963</v>
      </c>
      <c r="J856" t="s">
        <v>1268</v>
      </c>
      <c r="K856">
        <v>4870</v>
      </c>
      <c r="L856">
        <v>250</v>
      </c>
      <c r="M856">
        <f>Customers_Table[[#This Row],[Quantity Ordered]]*Customers_Table[[#This Row],[Sales Price (Per unit)]]</f>
        <v>250</v>
      </c>
      <c r="N856" t="s">
        <v>2964</v>
      </c>
    </row>
    <row r="857" spans="1:14" x14ac:dyDescent="0.2">
      <c r="A857" t="s">
        <v>1121</v>
      </c>
      <c r="B857" t="s">
        <v>1122</v>
      </c>
      <c r="C857">
        <v>2088</v>
      </c>
      <c r="D857" t="s">
        <v>31</v>
      </c>
      <c r="E857" s="1">
        <v>45518</v>
      </c>
      <c r="F857" s="6">
        <v>2</v>
      </c>
      <c r="G857" t="s">
        <v>32</v>
      </c>
      <c r="H857" t="s">
        <v>47</v>
      </c>
      <c r="I857" t="s">
        <v>2965</v>
      </c>
      <c r="J857" t="s">
        <v>1247</v>
      </c>
      <c r="K857">
        <v>3350</v>
      </c>
      <c r="L857">
        <v>250</v>
      </c>
      <c r="M857">
        <f>Customers_Table[[#This Row],[Quantity Ordered]]*Customers_Table[[#This Row],[Sales Price (Per unit)]]</f>
        <v>500</v>
      </c>
      <c r="N857" t="s">
        <v>2966</v>
      </c>
    </row>
    <row r="858" spans="1:14" x14ac:dyDescent="0.2">
      <c r="A858" t="s">
        <v>679</v>
      </c>
      <c r="B858" t="s">
        <v>1123</v>
      </c>
      <c r="C858">
        <v>2089</v>
      </c>
      <c r="D858" t="s">
        <v>31</v>
      </c>
      <c r="E858" s="1">
        <v>45421</v>
      </c>
      <c r="F858" s="6">
        <v>1</v>
      </c>
      <c r="G858" t="s">
        <v>71</v>
      </c>
      <c r="H858" t="s">
        <v>47</v>
      </c>
      <c r="I858" t="s">
        <v>2967</v>
      </c>
      <c r="J858" t="s">
        <v>1275</v>
      </c>
      <c r="K858">
        <v>3000</v>
      </c>
      <c r="L858">
        <v>250</v>
      </c>
      <c r="M858">
        <f>Customers_Table[[#This Row],[Quantity Ordered]]*Customers_Table[[#This Row],[Sales Price (Per unit)]]</f>
        <v>250</v>
      </c>
      <c r="N858" t="s">
        <v>2968</v>
      </c>
    </row>
    <row r="859" spans="1:14" x14ac:dyDescent="0.2">
      <c r="A859" t="s">
        <v>1124</v>
      </c>
      <c r="B859" t="s">
        <v>996</v>
      </c>
      <c r="C859">
        <v>2090</v>
      </c>
      <c r="D859" t="s">
        <v>37</v>
      </c>
      <c r="E859" s="1">
        <v>45657</v>
      </c>
      <c r="F859" s="6">
        <v>2</v>
      </c>
      <c r="G859" t="s">
        <v>32</v>
      </c>
      <c r="H859" t="s">
        <v>33</v>
      </c>
      <c r="I859" t="s">
        <v>2969</v>
      </c>
      <c r="J859" t="s">
        <v>1259</v>
      </c>
      <c r="K859">
        <v>6160</v>
      </c>
      <c r="L859">
        <v>800</v>
      </c>
      <c r="M859">
        <f>Customers_Table[[#This Row],[Quantity Ordered]]*Customers_Table[[#This Row],[Sales Price (Per unit)]]</f>
        <v>1600</v>
      </c>
      <c r="N859" t="s">
        <v>2970</v>
      </c>
    </row>
    <row r="860" spans="1:14" x14ac:dyDescent="0.2">
      <c r="A860" t="s">
        <v>615</v>
      </c>
      <c r="B860" t="s">
        <v>616</v>
      </c>
      <c r="C860">
        <v>1588</v>
      </c>
      <c r="D860" t="s">
        <v>42</v>
      </c>
      <c r="E860" s="1">
        <v>45317</v>
      </c>
      <c r="F860" s="6">
        <v>2</v>
      </c>
      <c r="G860" s="1" t="s">
        <v>52</v>
      </c>
      <c r="H860" t="s">
        <v>53</v>
      </c>
      <c r="I860" t="s">
        <v>2971</v>
      </c>
      <c r="J860" t="s">
        <v>1305</v>
      </c>
      <c r="K860">
        <v>4000</v>
      </c>
      <c r="L860">
        <v>300</v>
      </c>
      <c r="M860">
        <f>Customers_Table[[#This Row],[Quantity Ordered]]*Customers_Table[[#This Row],[Sales Price (Per unit)]]</f>
        <v>600</v>
      </c>
      <c r="N860" t="s">
        <v>2972</v>
      </c>
    </row>
    <row r="861" spans="1:14" x14ac:dyDescent="0.2">
      <c r="A861" t="s">
        <v>1125</v>
      </c>
      <c r="B861" t="s">
        <v>172</v>
      </c>
      <c r="C861">
        <v>2091</v>
      </c>
      <c r="D861" t="s">
        <v>76</v>
      </c>
      <c r="E861" s="1">
        <v>45324</v>
      </c>
      <c r="F861" s="6">
        <v>2</v>
      </c>
      <c r="G861" t="s">
        <v>71</v>
      </c>
      <c r="H861" t="s">
        <v>39</v>
      </c>
      <c r="I861" t="s">
        <v>2973</v>
      </c>
      <c r="J861" t="s">
        <v>1241</v>
      </c>
      <c r="K861">
        <v>2600</v>
      </c>
      <c r="L861">
        <v>1200</v>
      </c>
      <c r="M861">
        <f>Customers_Table[[#This Row],[Quantity Ordered]]*Customers_Table[[#This Row],[Sales Price (Per unit)]]</f>
        <v>2400</v>
      </c>
      <c r="N861" t="s">
        <v>2974</v>
      </c>
    </row>
    <row r="862" spans="1:14" x14ac:dyDescent="0.2">
      <c r="A862" t="s">
        <v>1126</v>
      </c>
      <c r="B862" t="s">
        <v>1127</v>
      </c>
      <c r="C862">
        <v>2092</v>
      </c>
      <c r="D862" t="s">
        <v>31</v>
      </c>
      <c r="E862" s="1">
        <v>45312</v>
      </c>
      <c r="F862" s="6">
        <v>2</v>
      </c>
      <c r="G862" t="s">
        <v>32</v>
      </c>
      <c r="H862" t="s">
        <v>39</v>
      </c>
      <c r="I862" t="s">
        <v>2975</v>
      </c>
      <c r="J862" t="s">
        <v>1241</v>
      </c>
      <c r="K862">
        <v>2600</v>
      </c>
      <c r="L862">
        <v>250</v>
      </c>
      <c r="M862">
        <f>Customers_Table[[#This Row],[Quantity Ordered]]*Customers_Table[[#This Row],[Sales Price (Per unit)]]</f>
        <v>500</v>
      </c>
      <c r="N862" t="s">
        <v>2976</v>
      </c>
    </row>
    <row r="863" spans="1:14" x14ac:dyDescent="0.2">
      <c r="A863" t="s">
        <v>1128</v>
      </c>
      <c r="B863" t="s">
        <v>541</v>
      </c>
      <c r="C863">
        <v>2093</v>
      </c>
      <c r="D863" t="s">
        <v>51</v>
      </c>
      <c r="E863" s="1">
        <v>45606</v>
      </c>
      <c r="F863" s="6">
        <v>2</v>
      </c>
      <c r="G863" t="s">
        <v>32</v>
      </c>
      <c r="H863" t="s">
        <v>57</v>
      </c>
      <c r="I863" t="s">
        <v>2977</v>
      </c>
      <c r="J863" t="s">
        <v>1095</v>
      </c>
      <c r="K863">
        <v>5000</v>
      </c>
      <c r="L863">
        <v>250</v>
      </c>
      <c r="M863">
        <f>Customers_Table[[#This Row],[Quantity Ordered]]*Customers_Table[[#This Row],[Sales Price (Per unit)]]</f>
        <v>500</v>
      </c>
      <c r="N863" t="s">
        <v>2978</v>
      </c>
    </row>
    <row r="864" spans="1:14" x14ac:dyDescent="0.2">
      <c r="A864" t="s">
        <v>325</v>
      </c>
      <c r="B864" t="s">
        <v>918</v>
      </c>
      <c r="C864">
        <v>2094</v>
      </c>
      <c r="D864" t="s">
        <v>42</v>
      </c>
      <c r="E864" s="1">
        <v>45646</v>
      </c>
      <c r="F864" s="6">
        <v>1</v>
      </c>
      <c r="G864" t="s">
        <v>32</v>
      </c>
      <c r="H864" t="s">
        <v>57</v>
      </c>
      <c r="I864" t="s">
        <v>2979</v>
      </c>
      <c r="J864" t="s">
        <v>1253</v>
      </c>
      <c r="K864">
        <v>5290</v>
      </c>
      <c r="L864">
        <v>300</v>
      </c>
      <c r="M864">
        <f>Customers_Table[[#This Row],[Quantity Ordered]]*Customers_Table[[#This Row],[Sales Price (Per unit)]]</f>
        <v>300</v>
      </c>
      <c r="N864" t="s">
        <v>2980</v>
      </c>
    </row>
    <row r="865" spans="1:14" x14ac:dyDescent="0.2">
      <c r="A865" t="s">
        <v>1129</v>
      </c>
      <c r="B865" t="s">
        <v>605</v>
      </c>
      <c r="C865">
        <v>2095</v>
      </c>
      <c r="D865" t="s">
        <v>31</v>
      </c>
      <c r="E865" s="1">
        <v>45455</v>
      </c>
      <c r="F865" s="6">
        <v>2</v>
      </c>
      <c r="G865" t="s">
        <v>32</v>
      </c>
      <c r="H865" t="s">
        <v>39</v>
      </c>
      <c r="I865" t="s">
        <v>2981</v>
      </c>
      <c r="J865" t="s">
        <v>1241</v>
      </c>
      <c r="K865">
        <v>2600</v>
      </c>
      <c r="L865">
        <v>250</v>
      </c>
      <c r="M865">
        <f>Customers_Table[[#This Row],[Quantity Ordered]]*Customers_Table[[#This Row],[Sales Price (Per unit)]]</f>
        <v>500</v>
      </c>
      <c r="N865" t="s">
        <v>2982</v>
      </c>
    </row>
    <row r="866" spans="1:14" x14ac:dyDescent="0.2">
      <c r="A866" t="s">
        <v>634</v>
      </c>
      <c r="B866" t="s">
        <v>323</v>
      </c>
      <c r="C866">
        <v>2096</v>
      </c>
      <c r="D866" t="s">
        <v>31</v>
      </c>
      <c r="E866" s="1">
        <v>45620</v>
      </c>
      <c r="F866" s="6">
        <v>1</v>
      </c>
      <c r="G866" t="s">
        <v>32</v>
      </c>
      <c r="H866" t="s">
        <v>64</v>
      </c>
      <c r="I866" t="s">
        <v>2983</v>
      </c>
      <c r="J866" t="s">
        <v>1265</v>
      </c>
      <c r="K866">
        <v>7000</v>
      </c>
      <c r="L866">
        <v>250</v>
      </c>
      <c r="M866">
        <f>Customers_Table[[#This Row],[Quantity Ordered]]*Customers_Table[[#This Row],[Sales Price (Per unit)]]</f>
        <v>250</v>
      </c>
      <c r="N866" t="s">
        <v>2984</v>
      </c>
    </row>
    <row r="867" spans="1:14" x14ac:dyDescent="0.2">
      <c r="A867" t="s">
        <v>86</v>
      </c>
      <c r="B867" t="s">
        <v>547</v>
      </c>
      <c r="C867">
        <v>2097</v>
      </c>
      <c r="D867" t="s">
        <v>42</v>
      </c>
      <c r="E867" s="1">
        <v>45586</v>
      </c>
      <c r="F867" s="6">
        <v>2</v>
      </c>
      <c r="G867" t="s">
        <v>71</v>
      </c>
      <c r="H867" t="s">
        <v>64</v>
      </c>
      <c r="I867" t="s">
        <v>2985</v>
      </c>
      <c r="J867" t="s">
        <v>1262</v>
      </c>
      <c r="K867">
        <v>7250</v>
      </c>
      <c r="L867">
        <v>300</v>
      </c>
      <c r="M867">
        <f>Customers_Table[[#This Row],[Quantity Ordered]]*Customers_Table[[#This Row],[Sales Price (Per unit)]]</f>
        <v>600</v>
      </c>
      <c r="N867" t="s">
        <v>2986</v>
      </c>
    </row>
    <row r="868" spans="1:14" x14ac:dyDescent="0.2">
      <c r="A868" t="s">
        <v>613</v>
      </c>
      <c r="B868" t="s">
        <v>754</v>
      </c>
      <c r="C868">
        <v>2098</v>
      </c>
      <c r="D868" t="s">
        <v>76</v>
      </c>
      <c r="E868" s="1">
        <v>45519</v>
      </c>
      <c r="F868" s="6">
        <v>1</v>
      </c>
      <c r="G868" t="s">
        <v>32</v>
      </c>
      <c r="H868" t="s">
        <v>39</v>
      </c>
      <c r="I868" t="s">
        <v>2987</v>
      </c>
      <c r="J868" t="s">
        <v>1241</v>
      </c>
      <c r="K868">
        <v>2600</v>
      </c>
      <c r="L868">
        <v>1200</v>
      </c>
      <c r="M868">
        <f>Customers_Table[[#This Row],[Quantity Ordered]]*Customers_Table[[#This Row],[Sales Price (Per unit)]]</f>
        <v>1200</v>
      </c>
      <c r="N868" t="s">
        <v>2988</v>
      </c>
    </row>
    <row r="869" spans="1:14" x14ac:dyDescent="0.2">
      <c r="A869" t="s">
        <v>671</v>
      </c>
      <c r="B869" t="s">
        <v>1130</v>
      </c>
      <c r="C869">
        <v>2099</v>
      </c>
      <c r="D869" t="s">
        <v>37</v>
      </c>
      <c r="E869" s="1">
        <v>45511</v>
      </c>
      <c r="F869" s="6">
        <v>2</v>
      </c>
      <c r="G869" t="s">
        <v>71</v>
      </c>
      <c r="H869" t="s">
        <v>53</v>
      </c>
      <c r="I869" t="s">
        <v>2989</v>
      </c>
      <c r="J869" t="s">
        <v>1268</v>
      </c>
      <c r="K869">
        <v>4870</v>
      </c>
      <c r="L869">
        <v>800</v>
      </c>
      <c r="M869">
        <f>Customers_Table[[#This Row],[Quantity Ordered]]*Customers_Table[[#This Row],[Sales Price (Per unit)]]</f>
        <v>1600</v>
      </c>
      <c r="N869" t="s">
        <v>2990</v>
      </c>
    </row>
    <row r="870" spans="1:14" x14ac:dyDescent="0.2">
      <c r="A870" t="s">
        <v>694</v>
      </c>
      <c r="B870" t="s">
        <v>641</v>
      </c>
      <c r="C870">
        <v>2100</v>
      </c>
      <c r="D870" t="s">
        <v>76</v>
      </c>
      <c r="E870" s="1">
        <v>45293</v>
      </c>
      <c r="F870" s="6">
        <v>3</v>
      </c>
      <c r="G870" s="1" t="s">
        <v>38</v>
      </c>
      <c r="H870" t="s">
        <v>57</v>
      </c>
      <c r="I870" t="s">
        <v>2991</v>
      </c>
      <c r="J870" t="s">
        <v>1095</v>
      </c>
      <c r="K870">
        <v>5000</v>
      </c>
      <c r="L870">
        <v>1200</v>
      </c>
      <c r="M870">
        <f>Customers_Table[[#This Row],[Quantity Ordered]]*Customers_Table[[#This Row],[Sales Price (Per unit)]]</f>
        <v>3600</v>
      </c>
      <c r="N870" t="s">
        <v>2992</v>
      </c>
    </row>
    <row r="871" spans="1:14" x14ac:dyDescent="0.2">
      <c r="A871" t="s">
        <v>334</v>
      </c>
      <c r="B871" t="s">
        <v>1131</v>
      </c>
      <c r="C871">
        <v>2101</v>
      </c>
      <c r="D871" t="s">
        <v>76</v>
      </c>
      <c r="E871" s="1">
        <v>45419</v>
      </c>
      <c r="F871" s="6">
        <v>1</v>
      </c>
      <c r="G871" s="1" t="s">
        <v>52</v>
      </c>
      <c r="H871" t="s">
        <v>57</v>
      </c>
      <c r="I871" t="s">
        <v>2993</v>
      </c>
      <c r="J871" t="s">
        <v>1253</v>
      </c>
      <c r="K871">
        <v>5290</v>
      </c>
      <c r="L871">
        <v>1200</v>
      </c>
      <c r="M871">
        <f>Customers_Table[[#This Row],[Quantity Ordered]]*Customers_Table[[#This Row],[Sales Price (Per unit)]]</f>
        <v>1200</v>
      </c>
      <c r="N871" t="s">
        <v>2994</v>
      </c>
    </row>
    <row r="872" spans="1:14" x14ac:dyDescent="0.2">
      <c r="A872" t="s">
        <v>1132</v>
      </c>
      <c r="B872" t="s">
        <v>171</v>
      </c>
      <c r="C872">
        <v>2102</v>
      </c>
      <c r="D872" t="s">
        <v>42</v>
      </c>
      <c r="E872" s="1">
        <v>45387</v>
      </c>
      <c r="F872" s="6">
        <v>3</v>
      </c>
      <c r="G872" t="s">
        <v>32</v>
      </c>
      <c r="H872" t="s">
        <v>47</v>
      </c>
      <c r="I872" t="s">
        <v>2995</v>
      </c>
      <c r="J872" t="s">
        <v>1247</v>
      </c>
      <c r="K872">
        <v>3350</v>
      </c>
      <c r="L872">
        <v>300</v>
      </c>
      <c r="M872">
        <f>Customers_Table[[#This Row],[Quantity Ordered]]*Customers_Table[[#This Row],[Sales Price (Per unit)]]</f>
        <v>900</v>
      </c>
      <c r="N872" t="s">
        <v>2996</v>
      </c>
    </row>
    <row r="873" spans="1:14" x14ac:dyDescent="0.2">
      <c r="A873" t="s">
        <v>159</v>
      </c>
      <c r="B873" t="s">
        <v>1133</v>
      </c>
      <c r="C873">
        <v>2103</v>
      </c>
      <c r="D873" t="s">
        <v>76</v>
      </c>
      <c r="E873" s="1">
        <v>45646</v>
      </c>
      <c r="F873" s="6">
        <v>1</v>
      </c>
      <c r="G873" s="1" t="s">
        <v>52</v>
      </c>
      <c r="H873" t="s">
        <v>64</v>
      </c>
      <c r="I873" t="s">
        <v>2997</v>
      </c>
      <c r="J873" t="s">
        <v>1262</v>
      </c>
      <c r="K873">
        <v>7250</v>
      </c>
      <c r="L873">
        <v>1200</v>
      </c>
      <c r="M873">
        <f>Customers_Table[[#This Row],[Quantity Ordered]]*Customers_Table[[#This Row],[Sales Price (Per unit)]]</f>
        <v>1200</v>
      </c>
      <c r="N873" t="s">
        <v>2998</v>
      </c>
    </row>
    <row r="874" spans="1:14" x14ac:dyDescent="0.2">
      <c r="A874" t="s">
        <v>491</v>
      </c>
      <c r="B874" t="s">
        <v>951</v>
      </c>
      <c r="C874">
        <v>2104</v>
      </c>
      <c r="D874" t="s">
        <v>51</v>
      </c>
      <c r="E874" s="1">
        <v>45423</v>
      </c>
      <c r="F874" s="6">
        <v>1</v>
      </c>
      <c r="G874" t="s">
        <v>32</v>
      </c>
      <c r="H874" t="s">
        <v>43</v>
      </c>
      <c r="I874" t="s">
        <v>2999</v>
      </c>
      <c r="J874" t="s">
        <v>865</v>
      </c>
      <c r="K874">
        <v>2000</v>
      </c>
      <c r="L874">
        <v>250</v>
      </c>
      <c r="M874">
        <f>Customers_Table[[#This Row],[Quantity Ordered]]*Customers_Table[[#This Row],[Sales Price (Per unit)]]</f>
        <v>250</v>
      </c>
      <c r="N874" t="s">
        <v>3000</v>
      </c>
    </row>
    <row r="875" spans="1:14" x14ac:dyDescent="0.2">
      <c r="A875" t="s">
        <v>571</v>
      </c>
      <c r="B875" t="s">
        <v>1134</v>
      </c>
      <c r="C875">
        <v>2105</v>
      </c>
      <c r="D875" t="s">
        <v>76</v>
      </c>
      <c r="E875" s="1">
        <v>45378</v>
      </c>
      <c r="F875" s="6">
        <v>3</v>
      </c>
      <c r="G875" s="1" t="s">
        <v>38</v>
      </c>
      <c r="H875" t="s">
        <v>64</v>
      </c>
      <c r="I875" t="s">
        <v>3001</v>
      </c>
      <c r="J875" t="s">
        <v>1400</v>
      </c>
      <c r="K875">
        <v>7310</v>
      </c>
      <c r="L875">
        <v>1200</v>
      </c>
      <c r="M875">
        <f>Customers_Table[[#This Row],[Quantity Ordered]]*Customers_Table[[#This Row],[Sales Price (Per unit)]]</f>
        <v>3600</v>
      </c>
      <c r="N875" t="s">
        <v>3002</v>
      </c>
    </row>
    <row r="876" spans="1:14" x14ac:dyDescent="0.2">
      <c r="A876" t="s">
        <v>1135</v>
      </c>
      <c r="B876" t="s">
        <v>752</v>
      </c>
      <c r="C876">
        <v>2106</v>
      </c>
      <c r="D876" t="s">
        <v>42</v>
      </c>
      <c r="E876" s="1">
        <v>45590</v>
      </c>
      <c r="F876" s="6">
        <v>1</v>
      </c>
      <c r="G876" t="s">
        <v>71</v>
      </c>
      <c r="H876" t="s">
        <v>64</v>
      </c>
      <c r="I876" t="s">
        <v>3003</v>
      </c>
      <c r="J876" t="s">
        <v>1262</v>
      </c>
      <c r="K876">
        <v>7250</v>
      </c>
      <c r="L876">
        <v>300</v>
      </c>
      <c r="M876">
        <f>Customers_Table[[#This Row],[Quantity Ordered]]*Customers_Table[[#This Row],[Sales Price (Per unit)]]</f>
        <v>300</v>
      </c>
      <c r="N876" t="s">
        <v>3004</v>
      </c>
    </row>
    <row r="877" spans="1:14" x14ac:dyDescent="0.2">
      <c r="A877" t="s">
        <v>744</v>
      </c>
      <c r="B877" t="s">
        <v>1136</v>
      </c>
      <c r="C877">
        <v>2107</v>
      </c>
      <c r="D877" t="s">
        <v>31</v>
      </c>
      <c r="E877" s="1">
        <v>45531</v>
      </c>
      <c r="F877" s="6">
        <v>3</v>
      </c>
      <c r="G877" s="1" t="s">
        <v>38</v>
      </c>
      <c r="H877" t="s">
        <v>39</v>
      </c>
      <c r="I877" t="s">
        <v>3005</v>
      </c>
      <c r="J877" t="s">
        <v>1241</v>
      </c>
      <c r="K877">
        <v>2600</v>
      </c>
      <c r="L877">
        <v>250</v>
      </c>
      <c r="M877">
        <f>Customers_Table[[#This Row],[Quantity Ordered]]*Customers_Table[[#This Row],[Sales Price (Per unit)]]</f>
        <v>750</v>
      </c>
      <c r="N877" t="s">
        <v>3006</v>
      </c>
    </row>
    <row r="878" spans="1:14" x14ac:dyDescent="0.2">
      <c r="A878" t="s">
        <v>1137</v>
      </c>
      <c r="B878" t="s">
        <v>1138</v>
      </c>
      <c r="C878">
        <v>2108</v>
      </c>
      <c r="D878" t="s">
        <v>51</v>
      </c>
      <c r="E878" s="1">
        <v>45508</v>
      </c>
      <c r="F878" s="6">
        <v>3</v>
      </c>
      <c r="G878" s="1" t="s">
        <v>52</v>
      </c>
      <c r="H878" t="s">
        <v>39</v>
      </c>
      <c r="I878" t="s">
        <v>3007</v>
      </c>
      <c r="J878" t="s">
        <v>1241</v>
      </c>
      <c r="K878">
        <v>2600</v>
      </c>
      <c r="L878">
        <v>250</v>
      </c>
      <c r="M878">
        <f>Customers_Table[[#This Row],[Quantity Ordered]]*Customers_Table[[#This Row],[Sales Price (Per unit)]]</f>
        <v>750</v>
      </c>
      <c r="N878" t="s">
        <v>3008</v>
      </c>
    </row>
    <row r="879" spans="1:14" x14ac:dyDescent="0.2">
      <c r="A879" t="s">
        <v>357</v>
      </c>
      <c r="B879" t="s">
        <v>1139</v>
      </c>
      <c r="C879">
        <v>2109</v>
      </c>
      <c r="D879" t="s">
        <v>92</v>
      </c>
      <c r="E879" s="1">
        <v>45378</v>
      </c>
      <c r="F879" s="6">
        <v>3</v>
      </c>
      <c r="G879" t="s">
        <v>32</v>
      </c>
      <c r="H879" t="s">
        <v>39</v>
      </c>
      <c r="I879" t="s">
        <v>3009</v>
      </c>
      <c r="J879" t="s">
        <v>1241</v>
      </c>
      <c r="K879">
        <v>2600</v>
      </c>
      <c r="L879">
        <v>600</v>
      </c>
      <c r="M879">
        <f>Customers_Table[[#This Row],[Quantity Ordered]]*Customers_Table[[#This Row],[Sales Price (Per unit)]]</f>
        <v>1800</v>
      </c>
      <c r="N879" t="s">
        <v>3010</v>
      </c>
    </row>
    <row r="880" spans="1:14" x14ac:dyDescent="0.2">
      <c r="A880" t="s">
        <v>510</v>
      </c>
      <c r="B880" t="s">
        <v>443</v>
      </c>
      <c r="C880">
        <v>2110</v>
      </c>
      <c r="D880" t="s">
        <v>76</v>
      </c>
      <c r="E880" s="1">
        <v>45370</v>
      </c>
      <c r="F880" s="6">
        <v>1</v>
      </c>
      <c r="G880" s="1" t="s">
        <v>52</v>
      </c>
      <c r="H880" t="s">
        <v>33</v>
      </c>
      <c r="I880" t="s">
        <v>3011</v>
      </c>
      <c r="J880" t="s">
        <v>1302</v>
      </c>
      <c r="K880">
        <v>6000</v>
      </c>
      <c r="L880">
        <v>1200</v>
      </c>
      <c r="M880">
        <f>Customers_Table[[#This Row],[Quantity Ordered]]*Customers_Table[[#This Row],[Sales Price (Per unit)]]</f>
        <v>1200</v>
      </c>
      <c r="N880" t="s">
        <v>3012</v>
      </c>
    </row>
    <row r="881" spans="1:14" x14ac:dyDescent="0.2">
      <c r="A881" t="s">
        <v>1140</v>
      </c>
      <c r="B881" t="s">
        <v>1141</v>
      </c>
      <c r="C881">
        <v>2111</v>
      </c>
      <c r="D881" t="s">
        <v>76</v>
      </c>
      <c r="E881" s="1">
        <v>45444</v>
      </c>
      <c r="F881" s="6">
        <v>3</v>
      </c>
      <c r="G881" t="s">
        <v>71</v>
      </c>
      <c r="H881" t="s">
        <v>53</v>
      </c>
      <c r="I881" t="s">
        <v>3013</v>
      </c>
      <c r="J881" t="s">
        <v>1250</v>
      </c>
      <c r="K881">
        <v>4217</v>
      </c>
      <c r="L881">
        <v>1200</v>
      </c>
      <c r="M881">
        <f>Customers_Table[[#This Row],[Quantity Ordered]]*Customers_Table[[#This Row],[Sales Price (Per unit)]]</f>
        <v>3600</v>
      </c>
      <c r="N881" t="s">
        <v>3014</v>
      </c>
    </row>
    <row r="882" spans="1:14" x14ac:dyDescent="0.2">
      <c r="A882" t="s">
        <v>1142</v>
      </c>
      <c r="B882" t="s">
        <v>1143</v>
      </c>
      <c r="C882">
        <v>2112</v>
      </c>
      <c r="D882" t="s">
        <v>51</v>
      </c>
      <c r="E882" s="1">
        <v>45485</v>
      </c>
      <c r="F882" s="6">
        <v>2</v>
      </c>
      <c r="G882" s="1" t="s">
        <v>52</v>
      </c>
      <c r="H882" t="s">
        <v>33</v>
      </c>
      <c r="I882" t="s">
        <v>3015</v>
      </c>
      <c r="J882" t="s">
        <v>1302</v>
      </c>
      <c r="K882">
        <v>6000</v>
      </c>
      <c r="L882">
        <v>250</v>
      </c>
      <c r="M882">
        <f>Customers_Table[[#This Row],[Quantity Ordered]]*Customers_Table[[#This Row],[Sales Price (Per unit)]]</f>
        <v>500</v>
      </c>
      <c r="N882" t="s">
        <v>3016</v>
      </c>
    </row>
    <row r="883" spans="1:14" x14ac:dyDescent="0.2">
      <c r="A883" t="s">
        <v>1144</v>
      </c>
      <c r="B883" t="s">
        <v>1145</v>
      </c>
      <c r="C883">
        <v>2113</v>
      </c>
      <c r="D883" t="s">
        <v>76</v>
      </c>
      <c r="E883" s="1">
        <v>45599</v>
      </c>
      <c r="F883" s="6">
        <v>1</v>
      </c>
      <c r="G883" s="1" t="s">
        <v>52</v>
      </c>
      <c r="H883" t="s">
        <v>47</v>
      </c>
      <c r="I883" t="s">
        <v>3017</v>
      </c>
      <c r="J883" t="s">
        <v>1275</v>
      </c>
      <c r="K883">
        <v>3000</v>
      </c>
      <c r="L883">
        <v>1200</v>
      </c>
      <c r="M883">
        <f>Customers_Table[[#This Row],[Quantity Ordered]]*Customers_Table[[#This Row],[Sales Price (Per unit)]]</f>
        <v>1200</v>
      </c>
      <c r="N883" t="s">
        <v>3018</v>
      </c>
    </row>
    <row r="884" spans="1:14" x14ac:dyDescent="0.2">
      <c r="A884" t="s">
        <v>736</v>
      </c>
      <c r="B884" t="s">
        <v>262</v>
      </c>
      <c r="C884">
        <v>2114</v>
      </c>
      <c r="D884" t="s">
        <v>31</v>
      </c>
      <c r="E884" s="1">
        <v>45442</v>
      </c>
      <c r="F884" s="6">
        <v>1</v>
      </c>
      <c r="G884" t="s">
        <v>32</v>
      </c>
      <c r="H884" t="s">
        <v>43</v>
      </c>
      <c r="I884" t="s">
        <v>3019</v>
      </c>
      <c r="J884" t="s">
        <v>1244</v>
      </c>
      <c r="K884">
        <v>2300</v>
      </c>
      <c r="L884">
        <v>250</v>
      </c>
      <c r="M884">
        <f>Customers_Table[[#This Row],[Quantity Ordered]]*Customers_Table[[#This Row],[Sales Price (Per unit)]]</f>
        <v>250</v>
      </c>
      <c r="N884" t="s">
        <v>3020</v>
      </c>
    </row>
    <row r="885" spans="1:14" x14ac:dyDescent="0.2">
      <c r="A885" t="s">
        <v>502</v>
      </c>
      <c r="B885" t="s">
        <v>935</v>
      </c>
      <c r="C885">
        <v>2115</v>
      </c>
      <c r="D885" t="s">
        <v>42</v>
      </c>
      <c r="E885" s="1">
        <v>45614</v>
      </c>
      <c r="F885" s="6">
        <v>2</v>
      </c>
      <c r="G885" t="s">
        <v>32</v>
      </c>
      <c r="H885" t="s">
        <v>53</v>
      </c>
      <c r="I885" t="s">
        <v>3021</v>
      </c>
      <c r="J885" t="s">
        <v>1305</v>
      </c>
      <c r="K885">
        <v>4000</v>
      </c>
      <c r="L885">
        <v>300</v>
      </c>
      <c r="M885">
        <f>Customers_Table[[#This Row],[Quantity Ordered]]*Customers_Table[[#This Row],[Sales Price (Per unit)]]</f>
        <v>600</v>
      </c>
      <c r="N885" t="s">
        <v>3022</v>
      </c>
    </row>
    <row r="886" spans="1:14" x14ac:dyDescent="0.2">
      <c r="A886" t="s">
        <v>1146</v>
      </c>
      <c r="B886" t="s">
        <v>1147</v>
      </c>
      <c r="C886">
        <v>2116</v>
      </c>
      <c r="D886" t="s">
        <v>76</v>
      </c>
      <c r="E886" s="1">
        <v>45530</v>
      </c>
      <c r="F886" s="6">
        <v>2</v>
      </c>
      <c r="G886" t="s">
        <v>32</v>
      </c>
      <c r="H886" t="s">
        <v>43</v>
      </c>
      <c r="I886" t="s">
        <v>3023</v>
      </c>
      <c r="J886" t="s">
        <v>865</v>
      </c>
      <c r="K886">
        <v>2000</v>
      </c>
      <c r="L886">
        <v>1200</v>
      </c>
      <c r="M886">
        <f>Customers_Table[[#This Row],[Quantity Ordered]]*Customers_Table[[#This Row],[Sales Price (Per unit)]]</f>
        <v>2400</v>
      </c>
      <c r="N886" t="s">
        <v>3024</v>
      </c>
    </row>
    <row r="887" spans="1:14" x14ac:dyDescent="0.2">
      <c r="A887" t="s">
        <v>1148</v>
      </c>
      <c r="B887" t="s">
        <v>1052</v>
      </c>
      <c r="C887">
        <v>2117</v>
      </c>
      <c r="D887" t="s">
        <v>31</v>
      </c>
      <c r="E887" s="1">
        <v>45640</v>
      </c>
      <c r="F887" s="6">
        <v>2</v>
      </c>
      <c r="G887" t="s">
        <v>71</v>
      </c>
      <c r="H887" t="s">
        <v>47</v>
      </c>
      <c r="I887" t="s">
        <v>3025</v>
      </c>
      <c r="J887" t="s">
        <v>1275</v>
      </c>
      <c r="K887">
        <v>3000</v>
      </c>
      <c r="L887">
        <v>250</v>
      </c>
      <c r="M887">
        <f>Customers_Table[[#This Row],[Quantity Ordered]]*Customers_Table[[#This Row],[Sales Price (Per unit)]]</f>
        <v>500</v>
      </c>
      <c r="N887" t="s">
        <v>3026</v>
      </c>
    </row>
    <row r="888" spans="1:14" x14ac:dyDescent="0.2">
      <c r="A888" t="s">
        <v>1149</v>
      </c>
      <c r="B888" t="s">
        <v>778</v>
      </c>
      <c r="C888">
        <v>2118</v>
      </c>
      <c r="D888" t="s">
        <v>92</v>
      </c>
      <c r="E888" s="1">
        <v>45398</v>
      </c>
      <c r="F888" s="6">
        <v>1</v>
      </c>
      <c r="G888" s="1" t="s">
        <v>38</v>
      </c>
      <c r="H888" t="s">
        <v>64</v>
      </c>
      <c r="I888" t="s">
        <v>3027</v>
      </c>
      <c r="J888" t="s">
        <v>1400</v>
      </c>
      <c r="K888">
        <v>7310</v>
      </c>
      <c r="L888">
        <v>600</v>
      </c>
      <c r="M888">
        <f>Customers_Table[[#This Row],[Quantity Ordered]]*Customers_Table[[#This Row],[Sales Price (Per unit)]]</f>
        <v>600</v>
      </c>
      <c r="N888" t="s">
        <v>3028</v>
      </c>
    </row>
    <row r="889" spans="1:14" x14ac:dyDescent="0.2">
      <c r="A889" t="s">
        <v>665</v>
      </c>
      <c r="B889" t="s">
        <v>234</v>
      </c>
      <c r="C889">
        <v>2119</v>
      </c>
      <c r="D889" t="s">
        <v>51</v>
      </c>
      <c r="E889" s="1">
        <v>45313</v>
      </c>
      <c r="F889" s="6">
        <v>3</v>
      </c>
      <c r="G889" s="1" t="s">
        <v>38</v>
      </c>
      <c r="H889" t="s">
        <v>43</v>
      </c>
      <c r="I889" t="s">
        <v>3029</v>
      </c>
      <c r="J889" t="s">
        <v>1244</v>
      </c>
      <c r="K889">
        <v>2300</v>
      </c>
      <c r="L889">
        <v>250</v>
      </c>
      <c r="M889">
        <f>Customers_Table[[#This Row],[Quantity Ordered]]*Customers_Table[[#This Row],[Sales Price (Per unit)]]</f>
        <v>750</v>
      </c>
      <c r="N889" t="s">
        <v>3030</v>
      </c>
    </row>
    <row r="890" spans="1:14" x14ac:dyDescent="0.2">
      <c r="A890" t="s">
        <v>213</v>
      </c>
      <c r="B890" t="s">
        <v>1150</v>
      </c>
      <c r="C890">
        <v>2120</v>
      </c>
      <c r="D890" t="s">
        <v>76</v>
      </c>
      <c r="E890" s="1">
        <v>45589</v>
      </c>
      <c r="F890" s="6">
        <v>2</v>
      </c>
      <c r="G890" s="1" t="s">
        <v>52</v>
      </c>
      <c r="H890" t="s">
        <v>43</v>
      </c>
      <c r="I890" t="s">
        <v>3031</v>
      </c>
      <c r="J890" t="s">
        <v>1299</v>
      </c>
      <c r="K890">
        <v>2500</v>
      </c>
      <c r="L890">
        <v>1200</v>
      </c>
      <c r="M890">
        <f>Customers_Table[[#This Row],[Quantity Ordered]]*Customers_Table[[#This Row],[Sales Price (Per unit)]]</f>
        <v>2400</v>
      </c>
      <c r="N890" t="s">
        <v>3032</v>
      </c>
    </row>
    <row r="891" spans="1:14" x14ac:dyDescent="0.2">
      <c r="A891" t="s">
        <v>86</v>
      </c>
      <c r="B891" t="s">
        <v>702</v>
      </c>
      <c r="C891">
        <v>2121</v>
      </c>
      <c r="D891" t="s">
        <v>42</v>
      </c>
      <c r="E891" s="1">
        <v>45334</v>
      </c>
      <c r="F891" s="6">
        <v>2</v>
      </c>
      <c r="G891" t="s">
        <v>32</v>
      </c>
      <c r="H891" t="s">
        <v>64</v>
      </c>
      <c r="I891" t="s">
        <v>3033</v>
      </c>
      <c r="J891" t="s">
        <v>1262</v>
      </c>
      <c r="K891">
        <v>7250</v>
      </c>
      <c r="L891">
        <v>300</v>
      </c>
      <c r="M891">
        <f>Customers_Table[[#This Row],[Quantity Ordered]]*Customers_Table[[#This Row],[Sales Price (Per unit)]]</f>
        <v>600</v>
      </c>
      <c r="N891" t="s">
        <v>3034</v>
      </c>
    </row>
    <row r="892" spans="1:14" x14ac:dyDescent="0.2">
      <c r="A892" t="s">
        <v>1151</v>
      </c>
      <c r="B892" t="s">
        <v>1152</v>
      </c>
      <c r="C892">
        <v>2122</v>
      </c>
      <c r="D892" t="s">
        <v>42</v>
      </c>
      <c r="E892" s="1">
        <v>45506</v>
      </c>
      <c r="F892" s="6">
        <v>3</v>
      </c>
      <c r="G892" t="s">
        <v>32</v>
      </c>
      <c r="H892" t="s">
        <v>47</v>
      </c>
      <c r="I892" t="s">
        <v>3035</v>
      </c>
      <c r="J892" t="s">
        <v>1275</v>
      </c>
      <c r="K892">
        <v>3000</v>
      </c>
      <c r="L892">
        <v>300</v>
      </c>
      <c r="M892">
        <f>Customers_Table[[#This Row],[Quantity Ordered]]*Customers_Table[[#This Row],[Sales Price (Per unit)]]</f>
        <v>900</v>
      </c>
      <c r="N892" t="s">
        <v>3036</v>
      </c>
    </row>
    <row r="893" spans="1:14" x14ac:dyDescent="0.2">
      <c r="A893" t="s">
        <v>1153</v>
      </c>
      <c r="B893" t="s">
        <v>1154</v>
      </c>
      <c r="C893">
        <v>2123</v>
      </c>
      <c r="D893" t="s">
        <v>76</v>
      </c>
      <c r="E893" s="1">
        <v>45639</v>
      </c>
      <c r="F893" s="6">
        <v>3</v>
      </c>
      <c r="G893" t="s">
        <v>32</v>
      </c>
      <c r="H893" t="s">
        <v>39</v>
      </c>
      <c r="I893" t="s">
        <v>3037</v>
      </c>
      <c r="J893" t="s">
        <v>1241</v>
      </c>
      <c r="K893">
        <v>2600</v>
      </c>
      <c r="L893">
        <v>1200</v>
      </c>
      <c r="M893">
        <f>Customers_Table[[#This Row],[Quantity Ordered]]*Customers_Table[[#This Row],[Sales Price (Per unit)]]</f>
        <v>3600</v>
      </c>
      <c r="N893" t="s">
        <v>3038</v>
      </c>
    </row>
    <row r="894" spans="1:14" x14ac:dyDescent="0.2">
      <c r="A894" t="s">
        <v>172</v>
      </c>
      <c r="B894" t="s">
        <v>1155</v>
      </c>
      <c r="C894">
        <v>2124</v>
      </c>
      <c r="D894" t="s">
        <v>31</v>
      </c>
      <c r="E894" s="1">
        <v>45533</v>
      </c>
      <c r="F894" s="6">
        <v>2</v>
      </c>
      <c r="G894" s="1" t="s">
        <v>52</v>
      </c>
      <c r="H894" t="s">
        <v>33</v>
      </c>
      <c r="I894" t="s">
        <v>3039</v>
      </c>
      <c r="J894" t="s">
        <v>1259</v>
      </c>
      <c r="K894">
        <v>6160</v>
      </c>
      <c r="L894">
        <v>250</v>
      </c>
      <c r="M894">
        <f>Customers_Table[[#This Row],[Quantity Ordered]]*Customers_Table[[#This Row],[Sales Price (Per unit)]]</f>
        <v>500</v>
      </c>
      <c r="N894" t="s">
        <v>3040</v>
      </c>
    </row>
    <row r="895" spans="1:14" x14ac:dyDescent="0.2">
      <c r="A895" t="s">
        <v>1156</v>
      </c>
      <c r="B895" t="s">
        <v>1157</v>
      </c>
      <c r="C895">
        <v>2125</v>
      </c>
      <c r="D895" t="s">
        <v>51</v>
      </c>
      <c r="E895" s="1">
        <v>45619</v>
      </c>
      <c r="F895" s="6">
        <v>1</v>
      </c>
      <c r="G895" t="s">
        <v>32</v>
      </c>
      <c r="H895" t="s">
        <v>43</v>
      </c>
      <c r="I895" t="s">
        <v>3041</v>
      </c>
      <c r="J895" t="s">
        <v>1299</v>
      </c>
      <c r="K895">
        <v>2500</v>
      </c>
      <c r="L895">
        <v>250</v>
      </c>
      <c r="M895">
        <f>Customers_Table[[#This Row],[Quantity Ordered]]*Customers_Table[[#This Row],[Sales Price (Per unit)]]</f>
        <v>250</v>
      </c>
      <c r="N895" t="s">
        <v>3042</v>
      </c>
    </row>
    <row r="896" spans="1:14" x14ac:dyDescent="0.2">
      <c r="A896" t="s">
        <v>1158</v>
      </c>
      <c r="B896" t="s">
        <v>984</v>
      </c>
      <c r="C896">
        <v>2126</v>
      </c>
      <c r="D896" t="s">
        <v>51</v>
      </c>
      <c r="E896" s="1">
        <v>45323</v>
      </c>
      <c r="F896" s="6">
        <v>3</v>
      </c>
      <c r="G896" t="s">
        <v>71</v>
      </c>
      <c r="H896" t="s">
        <v>43</v>
      </c>
      <c r="I896" t="s">
        <v>3043</v>
      </c>
      <c r="J896" t="s">
        <v>1299</v>
      </c>
      <c r="K896">
        <v>2500</v>
      </c>
      <c r="L896">
        <v>250</v>
      </c>
      <c r="M896">
        <f>Customers_Table[[#This Row],[Quantity Ordered]]*Customers_Table[[#This Row],[Sales Price (Per unit)]]</f>
        <v>750</v>
      </c>
      <c r="N896" t="s">
        <v>3044</v>
      </c>
    </row>
    <row r="897" spans="1:14" x14ac:dyDescent="0.2">
      <c r="A897" t="s">
        <v>951</v>
      </c>
      <c r="B897" t="s">
        <v>378</v>
      </c>
      <c r="C897">
        <v>2127</v>
      </c>
      <c r="D897" t="s">
        <v>42</v>
      </c>
      <c r="E897" s="1">
        <v>45448</v>
      </c>
      <c r="F897" s="6">
        <v>3</v>
      </c>
      <c r="G897" s="1" t="s">
        <v>38</v>
      </c>
      <c r="H897" t="s">
        <v>81</v>
      </c>
      <c r="I897" t="s">
        <v>3045</v>
      </c>
      <c r="J897" t="s">
        <v>1361</v>
      </c>
      <c r="K897">
        <v>870</v>
      </c>
      <c r="L897">
        <v>300</v>
      </c>
      <c r="M897">
        <f>Customers_Table[[#This Row],[Quantity Ordered]]*Customers_Table[[#This Row],[Sales Price (Per unit)]]</f>
        <v>900</v>
      </c>
      <c r="N897" t="s">
        <v>3046</v>
      </c>
    </row>
    <row r="898" spans="1:14" x14ac:dyDescent="0.2">
      <c r="A898" t="s">
        <v>1159</v>
      </c>
      <c r="B898" t="s">
        <v>443</v>
      </c>
      <c r="C898">
        <v>2128</v>
      </c>
      <c r="D898" t="s">
        <v>37</v>
      </c>
      <c r="E898" s="1">
        <v>45610</v>
      </c>
      <c r="F898" s="6">
        <v>1</v>
      </c>
      <c r="G898" t="s">
        <v>32</v>
      </c>
      <c r="H898" t="s">
        <v>57</v>
      </c>
      <c r="I898" t="s">
        <v>3047</v>
      </c>
      <c r="J898" t="s">
        <v>1253</v>
      </c>
      <c r="K898">
        <v>5290</v>
      </c>
      <c r="L898">
        <v>800</v>
      </c>
      <c r="M898">
        <f>Customers_Table[[#This Row],[Quantity Ordered]]*Customers_Table[[#This Row],[Sales Price (Per unit)]]</f>
        <v>800</v>
      </c>
      <c r="N898" t="s">
        <v>3048</v>
      </c>
    </row>
    <row r="899" spans="1:14" x14ac:dyDescent="0.2">
      <c r="A899" t="s">
        <v>72</v>
      </c>
      <c r="B899" t="s">
        <v>124</v>
      </c>
      <c r="C899">
        <v>2129</v>
      </c>
      <c r="D899" t="s">
        <v>51</v>
      </c>
      <c r="E899" s="1">
        <v>45644</v>
      </c>
      <c r="F899" s="6">
        <v>3</v>
      </c>
      <c r="G899" t="s">
        <v>32</v>
      </c>
      <c r="H899" t="s">
        <v>57</v>
      </c>
      <c r="I899" t="s">
        <v>3049</v>
      </c>
      <c r="J899" t="s">
        <v>1350</v>
      </c>
      <c r="K899">
        <v>5600</v>
      </c>
      <c r="L899">
        <v>250</v>
      </c>
      <c r="M899">
        <f>Customers_Table[[#This Row],[Quantity Ordered]]*Customers_Table[[#This Row],[Sales Price (Per unit)]]</f>
        <v>750</v>
      </c>
      <c r="N899" t="s">
        <v>3050</v>
      </c>
    </row>
    <row r="900" spans="1:14" x14ac:dyDescent="0.2">
      <c r="A900" t="s">
        <v>1160</v>
      </c>
      <c r="B900" t="s">
        <v>451</v>
      </c>
      <c r="C900">
        <v>2130</v>
      </c>
      <c r="D900" t="s">
        <v>76</v>
      </c>
      <c r="E900" s="1">
        <v>45465</v>
      </c>
      <c r="F900" s="6">
        <v>3</v>
      </c>
      <c r="G900" t="s">
        <v>71</v>
      </c>
      <c r="H900" t="s">
        <v>53</v>
      </c>
      <c r="I900" t="s">
        <v>3051</v>
      </c>
      <c r="J900" t="s">
        <v>1268</v>
      </c>
      <c r="K900">
        <v>4870</v>
      </c>
      <c r="L900">
        <v>1200</v>
      </c>
      <c r="M900">
        <f>Customers_Table[[#This Row],[Quantity Ordered]]*Customers_Table[[#This Row],[Sales Price (Per unit)]]</f>
        <v>3600</v>
      </c>
      <c r="N900" t="s">
        <v>3052</v>
      </c>
    </row>
    <row r="901" spans="1:14" x14ac:dyDescent="0.2">
      <c r="A901" t="s">
        <v>1161</v>
      </c>
      <c r="B901" t="s">
        <v>1162</v>
      </c>
      <c r="C901">
        <v>2131</v>
      </c>
      <c r="D901" t="s">
        <v>37</v>
      </c>
      <c r="E901" s="1">
        <v>45294</v>
      </c>
      <c r="F901" s="6">
        <v>2</v>
      </c>
      <c r="G901" s="1" t="s">
        <v>52</v>
      </c>
      <c r="H901" t="s">
        <v>53</v>
      </c>
      <c r="I901" t="s">
        <v>3053</v>
      </c>
      <c r="J901" t="s">
        <v>1250</v>
      </c>
      <c r="K901">
        <v>4217</v>
      </c>
      <c r="L901">
        <v>800</v>
      </c>
      <c r="M901">
        <f>Customers_Table[[#This Row],[Quantity Ordered]]*Customers_Table[[#This Row],[Sales Price (Per unit)]]</f>
        <v>1600</v>
      </c>
      <c r="N901" t="s">
        <v>3054</v>
      </c>
    </row>
    <row r="902" spans="1:14" x14ac:dyDescent="0.2">
      <c r="A902" t="s">
        <v>1163</v>
      </c>
      <c r="B902" t="s">
        <v>1164</v>
      </c>
      <c r="C902">
        <v>2132</v>
      </c>
      <c r="D902" t="s">
        <v>76</v>
      </c>
      <c r="E902" s="1">
        <v>45322</v>
      </c>
      <c r="F902" s="6">
        <v>1</v>
      </c>
      <c r="G902" t="s">
        <v>32</v>
      </c>
      <c r="H902" t="s">
        <v>39</v>
      </c>
      <c r="I902" t="s">
        <v>3055</v>
      </c>
      <c r="J902" t="s">
        <v>1241</v>
      </c>
      <c r="K902">
        <v>2600</v>
      </c>
      <c r="L902">
        <v>1200</v>
      </c>
      <c r="M902">
        <f>Customers_Table[[#This Row],[Quantity Ordered]]*Customers_Table[[#This Row],[Sales Price (Per unit)]]</f>
        <v>1200</v>
      </c>
      <c r="N902" t="s">
        <v>3056</v>
      </c>
    </row>
    <row r="903" spans="1:14" x14ac:dyDescent="0.2">
      <c r="A903" t="s">
        <v>839</v>
      </c>
      <c r="B903" t="s">
        <v>107</v>
      </c>
      <c r="C903">
        <v>2133</v>
      </c>
      <c r="D903" t="s">
        <v>76</v>
      </c>
      <c r="E903" s="1">
        <v>45563</v>
      </c>
      <c r="F903" s="6">
        <v>2</v>
      </c>
      <c r="G903" t="s">
        <v>32</v>
      </c>
      <c r="H903" t="s">
        <v>81</v>
      </c>
      <c r="I903" t="s">
        <v>3057</v>
      </c>
      <c r="J903" t="s">
        <v>1361</v>
      </c>
      <c r="K903">
        <v>870</v>
      </c>
      <c r="L903">
        <v>1200</v>
      </c>
      <c r="M903">
        <f>Customers_Table[[#This Row],[Quantity Ordered]]*Customers_Table[[#This Row],[Sales Price (Per unit)]]</f>
        <v>2400</v>
      </c>
      <c r="N903" t="s">
        <v>3058</v>
      </c>
    </row>
    <row r="904" spans="1:14" x14ac:dyDescent="0.2">
      <c r="A904" t="s">
        <v>1165</v>
      </c>
      <c r="B904" t="s">
        <v>1166</v>
      </c>
      <c r="C904">
        <v>2134</v>
      </c>
      <c r="D904" t="s">
        <v>42</v>
      </c>
      <c r="E904" s="1">
        <v>45460</v>
      </c>
      <c r="F904" s="6">
        <v>2</v>
      </c>
      <c r="G904" s="1" t="s">
        <v>52</v>
      </c>
      <c r="H904" t="s">
        <v>33</v>
      </c>
      <c r="I904" t="s">
        <v>3059</v>
      </c>
      <c r="J904" t="s">
        <v>1302</v>
      </c>
      <c r="K904">
        <v>6000</v>
      </c>
      <c r="L904">
        <v>300</v>
      </c>
      <c r="M904">
        <f>Customers_Table[[#This Row],[Quantity Ordered]]*Customers_Table[[#This Row],[Sales Price (Per unit)]]</f>
        <v>600</v>
      </c>
      <c r="N904" t="s">
        <v>3060</v>
      </c>
    </row>
    <row r="905" spans="1:14" x14ac:dyDescent="0.2">
      <c r="A905" t="s">
        <v>96</v>
      </c>
      <c r="B905" t="s">
        <v>102</v>
      </c>
      <c r="C905">
        <v>2135</v>
      </c>
      <c r="D905" t="s">
        <v>31</v>
      </c>
      <c r="E905" s="1">
        <v>45642</v>
      </c>
      <c r="F905" s="6">
        <v>3</v>
      </c>
      <c r="G905" s="1" t="s">
        <v>52</v>
      </c>
      <c r="H905" t="s">
        <v>43</v>
      </c>
      <c r="I905" t="s">
        <v>3061</v>
      </c>
      <c r="J905" t="s">
        <v>1244</v>
      </c>
      <c r="K905">
        <v>2300</v>
      </c>
      <c r="L905">
        <v>250</v>
      </c>
      <c r="M905">
        <f>Customers_Table[[#This Row],[Quantity Ordered]]*Customers_Table[[#This Row],[Sales Price (Per unit)]]</f>
        <v>750</v>
      </c>
      <c r="N905" t="s">
        <v>3062</v>
      </c>
    </row>
    <row r="906" spans="1:14" x14ac:dyDescent="0.2">
      <c r="A906" t="s">
        <v>1167</v>
      </c>
      <c r="B906" t="s">
        <v>1168</v>
      </c>
      <c r="C906">
        <v>2136</v>
      </c>
      <c r="D906" t="s">
        <v>76</v>
      </c>
      <c r="E906" s="1">
        <v>45523</v>
      </c>
      <c r="F906" s="6">
        <v>2</v>
      </c>
      <c r="G906" t="s">
        <v>32</v>
      </c>
      <c r="H906" t="s">
        <v>47</v>
      </c>
      <c r="I906" t="s">
        <v>3063</v>
      </c>
      <c r="J906" t="s">
        <v>1247</v>
      </c>
      <c r="K906">
        <v>3350</v>
      </c>
      <c r="L906">
        <v>1200</v>
      </c>
      <c r="M906">
        <f>Customers_Table[[#This Row],[Quantity Ordered]]*Customers_Table[[#This Row],[Sales Price (Per unit)]]</f>
        <v>2400</v>
      </c>
      <c r="N906" t="s">
        <v>3064</v>
      </c>
    </row>
    <row r="907" spans="1:14" x14ac:dyDescent="0.2">
      <c r="A907" t="s">
        <v>1169</v>
      </c>
      <c r="B907" t="s">
        <v>826</v>
      </c>
      <c r="C907">
        <v>2137</v>
      </c>
      <c r="D907" t="s">
        <v>51</v>
      </c>
      <c r="E907" s="1">
        <v>45578</v>
      </c>
      <c r="F907" s="6">
        <v>3</v>
      </c>
      <c r="G907" t="s">
        <v>32</v>
      </c>
      <c r="H907" t="s">
        <v>53</v>
      </c>
      <c r="I907" t="s">
        <v>3065</v>
      </c>
      <c r="J907" t="s">
        <v>1250</v>
      </c>
      <c r="K907">
        <v>4217</v>
      </c>
      <c r="L907">
        <v>250</v>
      </c>
      <c r="M907">
        <f>Customers_Table[[#This Row],[Quantity Ordered]]*Customers_Table[[#This Row],[Sales Price (Per unit)]]</f>
        <v>750</v>
      </c>
      <c r="N907" t="s">
        <v>3066</v>
      </c>
    </row>
    <row r="908" spans="1:14" x14ac:dyDescent="0.2">
      <c r="A908" t="s">
        <v>334</v>
      </c>
      <c r="B908" t="s">
        <v>1170</v>
      </c>
      <c r="C908">
        <v>2138</v>
      </c>
      <c r="D908" t="s">
        <v>42</v>
      </c>
      <c r="E908" s="1">
        <v>45613</v>
      </c>
      <c r="F908" s="6">
        <v>3</v>
      </c>
      <c r="G908" s="1" t="s">
        <v>38</v>
      </c>
      <c r="H908" t="s">
        <v>81</v>
      </c>
      <c r="I908" t="s">
        <v>3067</v>
      </c>
      <c r="J908" t="s">
        <v>1280</v>
      </c>
      <c r="K908">
        <v>800</v>
      </c>
      <c r="L908">
        <v>300</v>
      </c>
      <c r="M908">
        <f>Customers_Table[[#This Row],[Quantity Ordered]]*Customers_Table[[#This Row],[Sales Price (Per unit)]]</f>
        <v>900</v>
      </c>
      <c r="N908" t="s">
        <v>3068</v>
      </c>
    </row>
    <row r="909" spans="1:14" x14ac:dyDescent="0.2">
      <c r="A909" t="s">
        <v>1171</v>
      </c>
      <c r="B909" t="s">
        <v>1130</v>
      </c>
      <c r="C909">
        <v>2139</v>
      </c>
      <c r="D909" t="s">
        <v>76</v>
      </c>
      <c r="E909" s="1">
        <v>45434</v>
      </c>
      <c r="F909" s="6">
        <v>3</v>
      </c>
      <c r="G909" s="1" t="s">
        <v>52</v>
      </c>
      <c r="H909" t="s">
        <v>43</v>
      </c>
      <c r="I909" t="s">
        <v>3069</v>
      </c>
      <c r="J909" t="s">
        <v>865</v>
      </c>
      <c r="K909">
        <v>2000</v>
      </c>
      <c r="L909">
        <v>1200</v>
      </c>
      <c r="M909">
        <f>Customers_Table[[#This Row],[Quantity Ordered]]*Customers_Table[[#This Row],[Sales Price (Per unit)]]</f>
        <v>3600</v>
      </c>
      <c r="N909" t="s">
        <v>3070</v>
      </c>
    </row>
    <row r="910" spans="1:14" x14ac:dyDescent="0.2">
      <c r="A910" t="s">
        <v>508</v>
      </c>
      <c r="B910" t="s">
        <v>705</v>
      </c>
      <c r="C910">
        <v>2140</v>
      </c>
      <c r="D910" t="s">
        <v>51</v>
      </c>
      <c r="E910" s="1">
        <v>45592</v>
      </c>
      <c r="F910" s="6">
        <v>3</v>
      </c>
      <c r="G910" t="s">
        <v>32</v>
      </c>
      <c r="H910" t="s">
        <v>39</v>
      </c>
      <c r="I910" t="s">
        <v>3071</v>
      </c>
      <c r="J910" t="s">
        <v>1241</v>
      </c>
      <c r="K910">
        <v>2600</v>
      </c>
      <c r="L910">
        <v>250</v>
      </c>
      <c r="M910">
        <f>Customers_Table[[#This Row],[Quantity Ordered]]*Customers_Table[[#This Row],[Sales Price (Per unit)]]</f>
        <v>750</v>
      </c>
      <c r="N910" t="s">
        <v>3072</v>
      </c>
    </row>
    <row r="911" spans="1:14" x14ac:dyDescent="0.2">
      <c r="A911" t="s">
        <v>1172</v>
      </c>
      <c r="B911" t="s">
        <v>745</v>
      </c>
      <c r="C911">
        <v>2141</v>
      </c>
      <c r="D911" t="s">
        <v>37</v>
      </c>
      <c r="E911" s="1">
        <v>45612</v>
      </c>
      <c r="F911" s="6">
        <v>3</v>
      </c>
      <c r="G911" s="1" t="s">
        <v>52</v>
      </c>
      <c r="H911" t="s">
        <v>81</v>
      </c>
      <c r="I911" t="s">
        <v>3073</v>
      </c>
      <c r="J911" t="s">
        <v>1280</v>
      </c>
      <c r="K911">
        <v>800</v>
      </c>
      <c r="L911">
        <v>800</v>
      </c>
      <c r="M911">
        <f>Customers_Table[[#This Row],[Quantity Ordered]]*Customers_Table[[#This Row],[Sales Price (Per unit)]]</f>
        <v>2400</v>
      </c>
      <c r="N911" t="s">
        <v>3074</v>
      </c>
    </row>
    <row r="912" spans="1:14" x14ac:dyDescent="0.2">
      <c r="A912" t="s">
        <v>1173</v>
      </c>
      <c r="B912" t="s">
        <v>519</v>
      </c>
      <c r="C912">
        <v>2142</v>
      </c>
      <c r="D912" t="s">
        <v>51</v>
      </c>
      <c r="E912" s="1">
        <v>45531</v>
      </c>
      <c r="F912" s="6">
        <v>3</v>
      </c>
      <c r="G912" t="s">
        <v>32</v>
      </c>
      <c r="H912" t="s">
        <v>57</v>
      </c>
      <c r="I912" t="s">
        <v>3075</v>
      </c>
      <c r="J912" t="s">
        <v>1350</v>
      </c>
      <c r="K912">
        <v>5600</v>
      </c>
      <c r="L912">
        <v>250</v>
      </c>
      <c r="M912">
        <f>Customers_Table[[#This Row],[Quantity Ordered]]*Customers_Table[[#This Row],[Sales Price (Per unit)]]</f>
        <v>750</v>
      </c>
      <c r="N912" t="s">
        <v>3076</v>
      </c>
    </row>
    <row r="913" spans="1:14" x14ac:dyDescent="0.2">
      <c r="A913" t="s">
        <v>408</v>
      </c>
      <c r="B913" t="s">
        <v>327</v>
      </c>
      <c r="C913">
        <v>2143</v>
      </c>
      <c r="D913" t="s">
        <v>42</v>
      </c>
      <c r="E913" s="1">
        <v>45472</v>
      </c>
      <c r="F913" s="6">
        <v>3</v>
      </c>
      <c r="G913" t="s">
        <v>32</v>
      </c>
      <c r="H913" t="s">
        <v>53</v>
      </c>
      <c r="I913" t="s">
        <v>3077</v>
      </c>
      <c r="J913" t="s">
        <v>1250</v>
      </c>
      <c r="K913">
        <v>4217</v>
      </c>
      <c r="L913">
        <v>300</v>
      </c>
      <c r="M913">
        <f>Customers_Table[[#This Row],[Quantity Ordered]]*Customers_Table[[#This Row],[Sales Price (Per unit)]]</f>
        <v>900</v>
      </c>
      <c r="N913" t="s">
        <v>3078</v>
      </c>
    </row>
    <row r="914" spans="1:14" x14ac:dyDescent="0.2">
      <c r="A914" t="s">
        <v>106</v>
      </c>
      <c r="B914" t="s">
        <v>375</v>
      </c>
      <c r="C914">
        <v>2144</v>
      </c>
      <c r="D914" t="s">
        <v>92</v>
      </c>
      <c r="E914" s="1">
        <v>45588</v>
      </c>
      <c r="F914" s="6">
        <v>1</v>
      </c>
      <c r="G914" s="1" t="s">
        <v>52</v>
      </c>
      <c r="H914" t="s">
        <v>33</v>
      </c>
      <c r="I914" t="s">
        <v>3079</v>
      </c>
      <c r="J914" t="s">
        <v>1259</v>
      </c>
      <c r="K914">
        <v>6160</v>
      </c>
      <c r="L914">
        <v>600</v>
      </c>
      <c r="M914">
        <f>Customers_Table[[#This Row],[Quantity Ordered]]*Customers_Table[[#This Row],[Sales Price (Per unit)]]</f>
        <v>600</v>
      </c>
      <c r="N914" t="s">
        <v>3080</v>
      </c>
    </row>
    <row r="915" spans="1:14" x14ac:dyDescent="0.2">
      <c r="A915" t="s">
        <v>1021</v>
      </c>
      <c r="B915" t="s">
        <v>614</v>
      </c>
      <c r="C915">
        <v>2145</v>
      </c>
      <c r="D915" t="s">
        <v>76</v>
      </c>
      <c r="E915" s="1">
        <v>45456</v>
      </c>
      <c r="F915" s="6">
        <v>3</v>
      </c>
      <c r="G915" s="1" t="s">
        <v>52</v>
      </c>
      <c r="H915" t="s">
        <v>81</v>
      </c>
      <c r="I915" t="s">
        <v>3081</v>
      </c>
      <c r="J915" t="s">
        <v>1280</v>
      </c>
      <c r="K915">
        <v>800</v>
      </c>
      <c r="L915">
        <v>1200</v>
      </c>
      <c r="M915">
        <f>Customers_Table[[#This Row],[Quantity Ordered]]*Customers_Table[[#This Row],[Sales Price (Per unit)]]</f>
        <v>3600</v>
      </c>
      <c r="N915" t="s">
        <v>3082</v>
      </c>
    </row>
    <row r="916" spans="1:14" x14ac:dyDescent="0.2">
      <c r="A916" t="s">
        <v>1174</v>
      </c>
      <c r="B916" t="s">
        <v>1175</v>
      </c>
      <c r="C916">
        <v>2146</v>
      </c>
      <c r="D916" t="s">
        <v>37</v>
      </c>
      <c r="E916" s="1">
        <v>45517</v>
      </c>
      <c r="F916" s="6">
        <v>3</v>
      </c>
      <c r="G916" t="s">
        <v>32</v>
      </c>
      <c r="H916" t="s">
        <v>53</v>
      </c>
      <c r="I916" t="s">
        <v>3083</v>
      </c>
      <c r="J916" t="s">
        <v>1305</v>
      </c>
      <c r="K916">
        <v>4000</v>
      </c>
      <c r="L916">
        <v>800</v>
      </c>
      <c r="M916">
        <f>Customers_Table[[#This Row],[Quantity Ordered]]*Customers_Table[[#This Row],[Sales Price (Per unit)]]</f>
        <v>2400</v>
      </c>
      <c r="N916" t="s">
        <v>3084</v>
      </c>
    </row>
    <row r="917" spans="1:14" x14ac:dyDescent="0.2">
      <c r="A917" t="s">
        <v>240</v>
      </c>
      <c r="B917" t="s">
        <v>1176</v>
      </c>
      <c r="C917">
        <v>2147</v>
      </c>
      <c r="D917" t="s">
        <v>31</v>
      </c>
      <c r="E917" s="1">
        <v>45647</v>
      </c>
      <c r="F917" s="6">
        <v>3</v>
      </c>
      <c r="G917" s="1" t="s">
        <v>52</v>
      </c>
      <c r="H917" t="s">
        <v>53</v>
      </c>
      <c r="I917" t="s">
        <v>3085</v>
      </c>
      <c r="J917" t="s">
        <v>1268</v>
      </c>
      <c r="K917">
        <v>4870</v>
      </c>
      <c r="L917">
        <v>250</v>
      </c>
      <c r="M917">
        <f>Customers_Table[[#This Row],[Quantity Ordered]]*Customers_Table[[#This Row],[Sales Price (Per unit)]]</f>
        <v>750</v>
      </c>
      <c r="N917" t="s">
        <v>3086</v>
      </c>
    </row>
    <row r="918" spans="1:14" x14ac:dyDescent="0.2">
      <c r="A918" t="s">
        <v>292</v>
      </c>
      <c r="B918" t="s">
        <v>284</v>
      </c>
      <c r="C918">
        <v>2148</v>
      </c>
      <c r="D918" t="s">
        <v>92</v>
      </c>
      <c r="E918" s="1">
        <v>45448</v>
      </c>
      <c r="F918" s="6">
        <v>2</v>
      </c>
      <c r="G918" s="1" t="s">
        <v>52</v>
      </c>
      <c r="H918" t="s">
        <v>53</v>
      </c>
      <c r="I918" t="s">
        <v>3087</v>
      </c>
      <c r="J918" t="s">
        <v>1305</v>
      </c>
      <c r="K918">
        <v>4000</v>
      </c>
      <c r="L918">
        <v>600</v>
      </c>
      <c r="M918">
        <f>Customers_Table[[#This Row],[Quantity Ordered]]*Customers_Table[[#This Row],[Sales Price (Per unit)]]</f>
        <v>1200</v>
      </c>
      <c r="N918" t="s">
        <v>3088</v>
      </c>
    </row>
    <row r="919" spans="1:14" x14ac:dyDescent="0.2">
      <c r="A919" t="s">
        <v>1132</v>
      </c>
      <c r="B919" t="s">
        <v>1177</v>
      </c>
      <c r="C919">
        <v>2149</v>
      </c>
      <c r="D919" t="s">
        <v>51</v>
      </c>
      <c r="E919" s="1">
        <v>45605</v>
      </c>
      <c r="F919" s="6">
        <v>2</v>
      </c>
      <c r="G919" s="1" t="s">
        <v>52</v>
      </c>
      <c r="H919" t="s">
        <v>43</v>
      </c>
      <c r="I919" t="s">
        <v>3089</v>
      </c>
      <c r="J919" t="s">
        <v>1244</v>
      </c>
      <c r="K919">
        <v>2300</v>
      </c>
      <c r="L919">
        <v>250</v>
      </c>
      <c r="M919">
        <f>Customers_Table[[#This Row],[Quantity Ordered]]*Customers_Table[[#This Row],[Sales Price (Per unit)]]</f>
        <v>500</v>
      </c>
      <c r="N919" t="s">
        <v>3090</v>
      </c>
    </row>
    <row r="920" spans="1:14" x14ac:dyDescent="0.2">
      <c r="A920" t="s">
        <v>1178</v>
      </c>
      <c r="B920" t="s">
        <v>437</v>
      </c>
      <c r="C920">
        <v>2150</v>
      </c>
      <c r="D920" t="s">
        <v>37</v>
      </c>
      <c r="E920" s="1">
        <v>45502</v>
      </c>
      <c r="F920" s="6">
        <v>3</v>
      </c>
      <c r="G920" t="s">
        <v>32</v>
      </c>
      <c r="H920" t="s">
        <v>81</v>
      </c>
      <c r="I920" t="s">
        <v>3091</v>
      </c>
      <c r="J920" t="s">
        <v>1361</v>
      </c>
      <c r="K920">
        <v>870</v>
      </c>
      <c r="L920">
        <v>800</v>
      </c>
      <c r="M920">
        <f>Customers_Table[[#This Row],[Quantity Ordered]]*Customers_Table[[#This Row],[Sales Price (Per unit)]]</f>
        <v>2400</v>
      </c>
      <c r="N920" t="s">
        <v>3092</v>
      </c>
    </row>
    <row r="921" spans="1:14" x14ac:dyDescent="0.2">
      <c r="A921" t="s">
        <v>1179</v>
      </c>
      <c r="B921" t="s">
        <v>1180</v>
      </c>
      <c r="C921">
        <v>2151</v>
      </c>
      <c r="D921" t="s">
        <v>42</v>
      </c>
      <c r="E921" s="1">
        <v>45616</v>
      </c>
      <c r="F921" s="6">
        <v>3</v>
      </c>
      <c r="G921" t="s">
        <v>32</v>
      </c>
      <c r="H921" t="s">
        <v>43</v>
      </c>
      <c r="I921" t="s">
        <v>3093</v>
      </c>
      <c r="J921" t="s">
        <v>1299</v>
      </c>
      <c r="K921">
        <v>2500</v>
      </c>
      <c r="L921">
        <v>300</v>
      </c>
      <c r="M921">
        <f>Customers_Table[[#This Row],[Quantity Ordered]]*Customers_Table[[#This Row],[Sales Price (Per unit)]]</f>
        <v>900</v>
      </c>
      <c r="N921" t="s">
        <v>3094</v>
      </c>
    </row>
    <row r="922" spans="1:14" x14ac:dyDescent="0.2">
      <c r="A922" t="s">
        <v>1181</v>
      </c>
      <c r="B922" t="s">
        <v>1182</v>
      </c>
      <c r="C922">
        <v>2152</v>
      </c>
      <c r="D922" t="s">
        <v>76</v>
      </c>
      <c r="E922" s="1">
        <v>45591</v>
      </c>
      <c r="F922" s="6">
        <v>2</v>
      </c>
      <c r="G922" t="s">
        <v>32</v>
      </c>
      <c r="H922" t="s">
        <v>33</v>
      </c>
      <c r="I922" t="s">
        <v>3095</v>
      </c>
      <c r="J922" t="s">
        <v>1259</v>
      </c>
      <c r="K922">
        <v>6160</v>
      </c>
      <c r="L922">
        <v>1200</v>
      </c>
      <c r="M922">
        <f>Customers_Table[[#This Row],[Quantity Ordered]]*Customers_Table[[#This Row],[Sales Price (Per unit)]]</f>
        <v>2400</v>
      </c>
      <c r="N922" t="s">
        <v>3096</v>
      </c>
    </row>
    <row r="923" spans="1:14" x14ac:dyDescent="0.2">
      <c r="A923" t="s">
        <v>1183</v>
      </c>
      <c r="B923" t="s">
        <v>1013</v>
      </c>
      <c r="C923">
        <v>2153</v>
      </c>
      <c r="D923" t="s">
        <v>37</v>
      </c>
      <c r="E923" s="1">
        <v>45491</v>
      </c>
      <c r="F923" s="6">
        <v>1</v>
      </c>
      <c r="G923" s="1" t="s">
        <v>38</v>
      </c>
      <c r="H923" t="s">
        <v>43</v>
      </c>
      <c r="I923" t="s">
        <v>3097</v>
      </c>
      <c r="J923" t="s">
        <v>1244</v>
      </c>
      <c r="K923">
        <v>2300</v>
      </c>
      <c r="L923">
        <v>800</v>
      </c>
      <c r="M923">
        <f>Customers_Table[[#This Row],[Quantity Ordered]]*Customers_Table[[#This Row],[Sales Price (Per unit)]]</f>
        <v>800</v>
      </c>
      <c r="N923" t="s">
        <v>3098</v>
      </c>
    </row>
    <row r="924" spans="1:14" x14ac:dyDescent="0.2">
      <c r="A924" t="s">
        <v>813</v>
      </c>
      <c r="B924" t="s">
        <v>475</v>
      </c>
      <c r="C924">
        <v>2154</v>
      </c>
      <c r="D924" t="s">
        <v>42</v>
      </c>
      <c r="E924" s="1">
        <v>45439</v>
      </c>
      <c r="F924" s="6">
        <v>2</v>
      </c>
      <c r="G924" t="s">
        <v>71</v>
      </c>
      <c r="H924" t="s">
        <v>47</v>
      </c>
      <c r="I924" t="s">
        <v>3099</v>
      </c>
      <c r="J924" t="s">
        <v>1275</v>
      </c>
      <c r="K924">
        <v>3000</v>
      </c>
      <c r="L924">
        <v>300</v>
      </c>
      <c r="M924">
        <f>Customers_Table[[#This Row],[Quantity Ordered]]*Customers_Table[[#This Row],[Sales Price (Per unit)]]</f>
        <v>600</v>
      </c>
      <c r="N924" t="s">
        <v>3100</v>
      </c>
    </row>
    <row r="925" spans="1:14" x14ac:dyDescent="0.2">
      <c r="A925" t="s">
        <v>215</v>
      </c>
      <c r="B925" t="s">
        <v>1083</v>
      </c>
      <c r="C925">
        <v>2155</v>
      </c>
      <c r="D925" t="s">
        <v>92</v>
      </c>
      <c r="E925" s="1">
        <v>45558</v>
      </c>
      <c r="F925" s="6">
        <v>2</v>
      </c>
      <c r="G925" t="s">
        <v>32</v>
      </c>
      <c r="H925" t="s">
        <v>64</v>
      </c>
      <c r="I925" t="s">
        <v>3101</v>
      </c>
      <c r="J925" t="s">
        <v>1400</v>
      </c>
      <c r="K925">
        <v>7310</v>
      </c>
      <c r="L925">
        <v>600</v>
      </c>
      <c r="M925">
        <f>Customers_Table[[#This Row],[Quantity Ordered]]*Customers_Table[[#This Row],[Sales Price (Per unit)]]</f>
        <v>1200</v>
      </c>
      <c r="N925" t="s">
        <v>3102</v>
      </c>
    </row>
    <row r="926" spans="1:14" x14ac:dyDescent="0.2">
      <c r="A926" t="s">
        <v>1070</v>
      </c>
      <c r="B926" t="s">
        <v>966</v>
      </c>
      <c r="C926">
        <v>2156</v>
      </c>
      <c r="D926" t="s">
        <v>92</v>
      </c>
      <c r="E926" s="1">
        <v>45343</v>
      </c>
      <c r="F926" s="6">
        <v>1</v>
      </c>
      <c r="G926" s="1" t="s">
        <v>52</v>
      </c>
      <c r="H926" t="s">
        <v>81</v>
      </c>
      <c r="I926" t="s">
        <v>3103</v>
      </c>
      <c r="J926" t="s">
        <v>1361</v>
      </c>
      <c r="K926">
        <v>870</v>
      </c>
      <c r="L926">
        <v>600</v>
      </c>
      <c r="M926">
        <f>Customers_Table[[#This Row],[Quantity Ordered]]*Customers_Table[[#This Row],[Sales Price (Per unit)]]</f>
        <v>600</v>
      </c>
      <c r="N926" t="s">
        <v>3104</v>
      </c>
    </row>
    <row r="927" spans="1:14" x14ac:dyDescent="0.2">
      <c r="A927" t="s">
        <v>1184</v>
      </c>
      <c r="B927" t="s">
        <v>318</v>
      </c>
      <c r="C927">
        <v>2157</v>
      </c>
      <c r="D927" t="s">
        <v>76</v>
      </c>
      <c r="E927" s="1">
        <v>45488</v>
      </c>
      <c r="F927" s="6">
        <v>1</v>
      </c>
      <c r="G927" t="s">
        <v>32</v>
      </c>
      <c r="H927" t="s">
        <v>53</v>
      </c>
      <c r="I927" t="s">
        <v>3105</v>
      </c>
      <c r="J927" t="s">
        <v>1268</v>
      </c>
      <c r="K927">
        <v>4870</v>
      </c>
      <c r="L927">
        <v>1200</v>
      </c>
      <c r="M927">
        <f>Customers_Table[[#This Row],[Quantity Ordered]]*Customers_Table[[#This Row],[Sales Price (Per unit)]]</f>
        <v>1200</v>
      </c>
      <c r="N927" t="s">
        <v>3106</v>
      </c>
    </row>
    <row r="928" spans="1:14" x14ac:dyDescent="0.2">
      <c r="A928" t="s">
        <v>203</v>
      </c>
      <c r="B928" t="s">
        <v>1185</v>
      </c>
      <c r="C928">
        <v>2158</v>
      </c>
      <c r="D928" t="s">
        <v>76</v>
      </c>
      <c r="E928" s="1">
        <v>45620</v>
      </c>
      <c r="F928" s="6">
        <v>3</v>
      </c>
      <c r="G928" s="1" t="s">
        <v>38</v>
      </c>
      <c r="H928" t="s">
        <v>81</v>
      </c>
      <c r="I928" t="s">
        <v>3107</v>
      </c>
      <c r="J928" t="s">
        <v>1361</v>
      </c>
      <c r="K928">
        <v>870</v>
      </c>
      <c r="L928">
        <v>1200</v>
      </c>
      <c r="M928">
        <f>Customers_Table[[#This Row],[Quantity Ordered]]*Customers_Table[[#This Row],[Sales Price (Per unit)]]</f>
        <v>3600</v>
      </c>
      <c r="N928" t="s">
        <v>3108</v>
      </c>
    </row>
    <row r="929" spans="1:14" x14ac:dyDescent="0.2">
      <c r="A929" t="s">
        <v>746</v>
      </c>
      <c r="B929" t="s">
        <v>107</v>
      </c>
      <c r="C929">
        <v>2159</v>
      </c>
      <c r="D929" t="s">
        <v>37</v>
      </c>
      <c r="E929" s="1">
        <v>45529</v>
      </c>
      <c r="F929" s="6">
        <v>1</v>
      </c>
      <c r="G929" t="s">
        <v>32</v>
      </c>
      <c r="H929" t="s">
        <v>53</v>
      </c>
      <c r="I929" t="s">
        <v>3109</v>
      </c>
      <c r="J929" t="s">
        <v>1268</v>
      </c>
      <c r="K929">
        <v>4870</v>
      </c>
      <c r="L929">
        <v>800</v>
      </c>
      <c r="M929">
        <f>Customers_Table[[#This Row],[Quantity Ordered]]*Customers_Table[[#This Row],[Sales Price (Per unit)]]</f>
        <v>800</v>
      </c>
      <c r="N929" t="s">
        <v>3110</v>
      </c>
    </row>
    <row r="930" spans="1:14" x14ac:dyDescent="0.2">
      <c r="A930" t="s">
        <v>1043</v>
      </c>
      <c r="B930" t="s">
        <v>1186</v>
      </c>
      <c r="C930">
        <v>2160</v>
      </c>
      <c r="D930" t="s">
        <v>76</v>
      </c>
      <c r="E930" s="1">
        <v>45350</v>
      </c>
      <c r="F930" s="6">
        <v>3</v>
      </c>
      <c r="G930" t="s">
        <v>32</v>
      </c>
      <c r="H930" t="s">
        <v>33</v>
      </c>
      <c r="I930" t="s">
        <v>3111</v>
      </c>
      <c r="J930" t="s">
        <v>1259</v>
      </c>
      <c r="K930">
        <v>6160</v>
      </c>
      <c r="L930">
        <v>1200</v>
      </c>
      <c r="M930">
        <f>Customers_Table[[#This Row],[Quantity Ordered]]*Customers_Table[[#This Row],[Sales Price (Per unit)]]</f>
        <v>3600</v>
      </c>
      <c r="N930" t="s">
        <v>3112</v>
      </c>
    </row>
    <row r="931" spans="1:14" x14ac:dyDescent="0.2">
      <c r="A931" t="s">
        <v>229</v>
      </c>
      <c r="B931" t="s">
        <v>494</v>
      </c>
      <c r="C931">
        <v>2161</v>
      </c>
      <c r="D931" t="s">
        <v>76</v>
      </c>
      <c r="E931" s="1">
        <v>45358</v>
      </c>
      <c r="F931" s="6">
        <v>2</v>
      </c>
      <c r="G931" t="s">
        <v>32</v>
      </c>
      <c r="H931" t="s">
        <v>43</v>
      </c>
      <c r="I931" t="s">
        <v>3113</v>
      </c>
      <c r="J931" t="s">
        <v>1244</v>
      </c>
      <c r="K931">
        <v>2300</v>
      </c>
      <c r="L931">
        <v>1200</v>
      </c>
      <c r="M931">
        <f>Customers_Table[[#This Row],[Quantity Ordered]]*Customers_Table[[#This Row],[Sales Price (Per unit)]]</f>
        <v>2400</v>
      </c>
      <c r="N931" t="s">
        <v>3114</v>
      </c>
    </row>
    <row r="932" spans="1:14" x14ac:dyDescent="0.2">
      <c r="A932" t="s">
        <v>1187</v>
      </c>
      <c r="B932" t="s">
        <v>750</v>
      </c>
      <c r="C932">
        <v>2162</v>
      </c>
      <c r="D932" t="s">
        <v>51</v>
      </c>
      <c r="E932" s="1">
        <v>45551</v>
      </c>
      <c r="F932" s="6">
        <v>1</v>
      </c>
      <c r="G932" s="1" t="s">
        <v>52</v>
      </c>
      <c r="H932" t="s">
        <v>53</v>
      </c>
      <c r="I932" t="s">
        <v>3115</v>
      </c>
      <c r="J932" t="s">
        <v>1268</v>
      </c>
      <c r="K932">
        <v>4870</v>
      </c>
      <c r="L932">
        <v>250</v>
      </c>
      <c r="M932">
        <f>Customers_Table[[#This Row],[Quantity Ordered]]*Customers_Table[[#This Row],[Sales Price (Per unit)]]</f>
        <v>250</v>
      </c>
      <c r="N932" t="s">
        <v>3116</v>
      </c>
    </row>
    <row r="933" spans="1:14" x14ac:dyDescent="0.2">
      <c r="A933" t="s">
        <v>864</v>
      </c>
      <c r="B933" t="s">
        <v>646</v>
      </c>
      <c r="C933">
        <v>2163</v>
      </c>
      <c r="D933" t="s">
        <v>37</v>
      </c>
      <c r="E933" s="1">
        <v>45297</v>
      </c>
      <c r="F933" s="6">
        <v>3</v>
      </c>
      <c r="G933" s="1" t="s">
        <v>52</v>
      </c>
      <c r="H933" t="s">
        <v>39</v>
      </c>
      <c r="I933" t="s">
        <v>3117</v>
      </c>
      <c r="J933" t="s">
        <v>1241</v>
      </c>
      <c r="K933">
        <v>2600</v>
      </c>
      <c r="L933">
        <v>800</v>
      </c>
      <c r="M933">
        <f>Customers_Table[[#This Row],[Quantity Ordered]]*Customers_Table[[#This Row],[Sales Price (Per unit)]]</f>
        <v>2400</v>
      </c>
      <c r="N933" t="s">
        <v>3118</v>
      </c>
    </row>
    <row r="934" spans="1:14" x14ac:dyDescent="0.2">
      <c r="A934" t="s">
        <v>1188</v>
      </c>
      <c r="B934" t="s">
        <v>599</v>
      </c>
      <c r="C934">
        <v>2164</v>
      </c>
      <c r="D934" t="s">
        <v>76</v>
      </c>
      <c r="E934" s="1">
        <v>45625</v>
      </c>
      <c r="F934" s="6">
        <v>2</v>
      </c>
      <c r="G934" s="1" t="s">
        <v>38</v>
      </c>
      <c r="H934" t="s">
        <v>33</v>
      </c>
      <c r="I934" t="s">
        <v>3119</v>
      </c>
      <c r="J934" t="s">
        <v>1259</v>
      </c>
      <c r="K934">
        <v>6160</v>
      </c>
      <c r="L934">
        <v>1200</v>
      </c>
      <c r="M934">
        <f>Customers_Table[[#This Row],[Quantity Ordered]]*Customers_Table[[#This Row],[Sales Price (Per unit)]]</f>
        <v>2400</v>
      </c>
      <c r="N934" t="s">
        <v>3120</v>
      </c>
    </row>
    <row r="935" spans="1:14" x14ac:dyDescent="0.2">
      <c r="A935" t="s">
        <v>1189</v>
      </c>
      <c r="B935" t="s">
        <v>368</v>
      </c>
      <c r="C935">
        <v>2165</v>
      </c>
      <c r="D935" t="s">
        <v>31</v>
      </c>
      <c r="E935" s="1">
        <v>45474</v>
      </c>
      <c r="F935" s="6">
        <v>2</v>
      </c>
      <c r="G935" t="s">
        <v>71</v>
      </c>
      <c r="H935" t="s">
        <v>57</v>
      </c>
      <c r="I935" t="s">
        <v>3121</v>
      </c>
      <c r="J935" t="s">
        <v>1095</v>
      </c>
      <c r="K935">
        <v>5000</v>
      </c>
      <c r="L935">
        <v>250</v>
      </c>
      <c r="M935">
        <f>Customers_Table[[#This Row],[Quantity Ordered]]*Customers_Table[[#This Row],[Sales Price (Per unit)]]</f>
        <v>500</v>
      </c>
      <c r="N935" t="s">
        <v>3122</v>
      </c>
    </row>
    <row r="936" spans="1:14" x14ac:dyDescent="0.2">
      <c r="A936" t="s">
        <v>751</v>
      </c>
      <c r="B936" t="s">
        <v>1190</v>
      </c>
      <c r="C936">
        <v>2166</v>
      </c>
      <c r="D936" t="s">
        <v>92</v>
      </c>
      <c r="E936" s="1">
        <v>45365</v>
      </c>
      <c r="F936" s="6">
        <v>2</v>
      </c>
      <c r="G936" s="1" t="s">
        <v>52</v>
      </c>
      <c r="H936" t="s">
        <v>57</v>
      </c>
      <c r="I936" t="s">
        <v>3123</v>
      </c>
      <c r="J936" t="s">
        <v>1253</v>
      </c>
      <c r="K936">
        <v>5290</v>
      </c>
      <c r="L936">
        <v>600</v>
      </c>
      <c r="M936">
        <f>Customers_Table[[#This Row],[Quantity Ordered]]*Customers_Table[[#This Row],[Sales Price (Per unit)]]</f>
        <v>1200</v>
      </c>
      <c r="N936" t="s">
        <v>3124</v>
      </c>
    </row>
    <row r="937" spans="1:14" x14ac:dyDescent="0.2">
      <c r="A937" t="s">
        <v>161</v>
      </c>
      <c r="B937" t="s">
        <v>1191</v>
      </c>
      <c r="C937">
        <v>2167</v>
      </c>
      <c r="D937" t="s">
        <v>92</v>
      </c>
      <c r="E937" s="1">
        <v>45463</v>
      </c>
      <c r="F937" s="6">
        <v>3</v>
      </c>
      <c r="G937" s="1" t="s">
        <v>52</v>
      </c>
      <c r="H937" t="s">
        <v>81</v>
      </c>
      <c r="I937" t="s">
        <v>3125</v>
      </c>
      <c r="J937" t="s">
        <v>1280</v>
      </c>
      <c r="K937">
        <v>800</v>
      </c>
      <c r="L937">
        <v>600</v>
      </c>
      <c r="M937">
        <f>Customers_Table[[#This Row],[Quantity Ordered]]*Customers_Table[[#This Row],[Sales Price (Per unit)]]</f>
        <v>1800</v>
      </c>
      <c r="N937" t="s">
        <v>3126</v>
      </c>
    </row>
    <row r="938" spans="1:14" x14ac:dyDescent="0.2">
      <c r="A938" t="s">
        <v>734</v>
      </c>
      <c r="B938" t="s">
        <v>1192</v>
      </c>
      <c r="C938">
        <v>2168</v>
      </c>
      <c r="D938" t="s">
        <v>42</v>
      </c>
      <c r="E938" s="1">
        <v>45592</v>
      </c>
      <c r="F938" s="6">
        <v>1</v>
      </c>
      <c r="G938" t="s">
        <v>71</v>
      </c>
      <c r="H938" t="s">
        <v>43</v>
      </c>
      <c r="I938" t="s">
        <v>3127</v>
      </c>
      <c r="J938" t="s">
        <v>1244</v>
      </c>
      <c r="K938">
        <v>2300</v>
      </c>
      <c r="L938">
        <v>300</v>
      </c>
      <c r="M938">
        <f>Customers_Table[[#This Row],[Quantity Ordered]]*Customers_Table[[#This Row],[Sales Price (Per unit)]]</f>
        <v>300</v>
      </c>
      <c r="N938" t="s">
        <v>3128</v>
      </c>
    </row>
    <row r="939" spans="1:14" x14ac:dyDescent="0.2">
      <c r="A939" t="s">
        <v>1193</v>
      </c>
      <c r="B939" t="s">
        <v>582</v>
      </c>
      <c r="C939">
        <v>2169</v>
      </c>
      <c r="D939" t="s">
        <v>51</v>
      </c>
      <c r="E939" s="1">
        <v>45642</v>
      </c>
      <c r="F939" s="6">
        <v>2</v>
      </c>
      <c r="G939" t="s">
        <v>32</v>
      </c>
      <c r="H939" t="s">
        <v>43</v>
      </c>
      <c r="I939" t="s">
        <v>3129</v>
      </c>
      <c r="J939" t="s">
        <v>1244</v>
      </c>
      <c r="K939">
        <v>2300</v>
      </c>
      <c r="L939">
        <v>250</v>
      </c>
      <c r="M939">
        <f>Customers_Table[[#This Row],[Quantity Ordered]]*Customers_Table[[#This Row],[Sales Price (Per unit)]]</f>
        <v>500</v>
      </c>
      <c r="N939" t="s">
        <v>3130</v>
      </c>
    </row>
    <row r="940" spans="1:14" x14ac:dyDescent="0.2">
      <c r="A940" t="s">
        <v>1186</v>
      </c>
      <c r="B940" t="s">
        <v>786</v>
      </c>
      <c r="C940">
        <v>2170</v>
      </c>
      <c r="D940" t="s">
        <v>92</v>
      </c>
      <c r="E940" s="1">
        <v>45353</v>
      </c>
      <c r="F940" s="6">
        <v>2</v>
      </c>
      <c r="G940" t="s">
        <v>32</v>
      </c>
      <c r="H940" t="s">
        <v>39</v>
      </c>
      <c r="I940" t="s">
        <v>3131</v>
      </c>
      <c r="J940" t="s">
        <v>1241</v>
      </c>
      <c r="K940">
        <v>2600</v>
      </c>
      <c r="L940">
        <v>600</v>
      </c>
      <c r="M940">
        <f>Customers_Table[[#This Row],[Quantity Ordered]]*Customers_Table[[#This Row],[Sales Price (Per unit)]]</f>
        <v>1200</v>
      </c>
      <c r="N940" t="s">
        <v>3132</v>
      </c>
    </row>
    <row r="941" spans="1:14" x14ac:dyDescent="0.2">
      <c r="A941" t="s">
        <v>1194</v>
      </c>
      <c r="B941" t="s">
        <v>1195</v>
      </c>
      <c r="C941">
        <v>2171</v>
      </c>
      <c r="D941" t="s">
        <v>76</v>
      </c>
      <c r="E941" s="1">
        <v>45358</v>
      </c>
      <c r="F941" s="6">
        <v>1</v>
      </c>
      <c r="G941" s="1" t="s">
        <v>52</v>
      </c>
      <c r="H941" t="s">
        <v>33</v>
      </c>
      <c r="I941" t="s">
        <v>3133</v>
      </c>
      <c r="J941" t="s">
        <v>1302</v>
      </c>
      <c r="K941">
        <v>6000</v>
      </c>
      <c r="L941">
        <v>1200</v>
      </c>
      <c r="M941">
        <f>Customers_Table[[#This Row],[Quantity Ordered]]*Customers_Table[[#This Row],[Sales Price (Per unit)]]</f>
        <v>1200</v>
      </c>
      <c r="N941" t="s">
        <v>3134</v>
      </c>
    </row>
    <row r="942" spans="1:14" x14ac:dyDescent="0.2">
      <c r="A942" t="s">
        <v>982</v>
      </c>
      <c r="B942" t="s">
        <v>236</v>
      </c>
      <c r="C942">
        <v>2172</v>
      </c>
      <c r="D942" t="s">
        <v>42</v>
      </c>
      <c r="E942" s="1">
        <v>45343</v>
      </c>
      <c r="F942" s="6">
        <v>2</v>
      </c>
      <c r="G942" s="1" t="s">
        <v>52</v>
      </c>
      <c r="H942" t="s">
        <v>53</v>
      </c>
      <c r="I942" t="s">
        <v>3135</v>
      </c>
      <c r="J942" t="s">
        <v>1268</v>
      </c>
      <c r="K942">
        <v>4870</v>
      </c>
      <c r="L942">
        <v>300</v>
      </c>
      <c r="M942">
        <f>Customers_Table[[#This Row],[Quantity Ordered]]*Customers_Table[[#This Row],[Sales Price (Per unit)]]</f>
        <v>600</v>
      </c>
      <c r="N942" t="s">
        <v>3136</v>
      </c>
    </row>
    <row r="943" spans="1:14" x14ac:dyDescent="0.2">
      <c r="A943" t="s">
        <v>1064</v>
      </c>
      <c r="B943" t="s">
        <v>616</v>
      </c>
      <c r="C943">
        <v>2173</v>
      </c>
      <c r="D943" t="s">
        <v>51</v>
      </c>
      <c r="E943" s="1">
        <v>45657</v>
      </c>
      <c r="F943" s="6">
        <v>3</v>
      </c>
      <c r="G943" t="s">
        <v>32</v>
      </c>
      <c r="H943" t="s">
        <v>47</v>
      </c>
      <c r="I943" t="s">
        <v>3137</v>
      </c>
      <c r="J943" t="s">
        <v>1275</v>
      </c>
      <c r="K943">
        <v>3000</v>
      </c>
      <c r="L943">
        <v>250</v>
      </c>
      <c r="M943">
        <f>Customers_Table[[#This Row],[Quantity Ordered]]*Customers_Table[[#This Row],[Sales Price (Per unit)]]</f>
        <v>750</v>
      </c>
      <c r="N943" t="s">
        <v>3138</v>
      </c>
    </row>
    <row r="944" spans="1:14" x14ac:dyDescent="0.2">
      <c r="A944" t="s">
        <v>712</v>
      </c>
      <c r="B944" t="s">
        <v>922</v>
      </c>
      <c r="C944">
        <v>2174</v>
      </c>
      <c r="D944" t="s">
        <v>92</v>
      </c>
      <c r="E944" s="1">
        <v>45643</v>
      </c>
      <c r="F944" s="6">
        <v>2</v>
      </c>
      <c r="G944" t="s">
        <v>71</v>
      </c>
      <c r="H944" t="s">
        <v>53</v>
      </c>
      <c r="I944" t="s">
        <v>3139</v>
      </c>
      <c r="J944" t="s">
        <v>1268</v>
      </c>
      <c r="K944">
        <v>4870</v>
      </c>
      <c r="L944">
        <v>600</v>
      </c>
      <c r="M944">
        <f>Customers_Table[[#This Row],[Quantity Ordered]]*Customers_Table[[#This Row],[Sales Price (Per unit)]]</f>
        <v>1200</v>
      </c>
      <c r="N944" t="s">
        <v>3140</v>
      </c>
    </row>
    <row r="945" spans="1:14" x14ac:dyDescent="0.2">
      <c r="A945" t="s">
        <v>29</v>
      </c>
      <c r="B945" t="s">
        <v>1196</v>
      </c>
      <c r="C945">
        <v>2175</v>
      </c>
      <c r="D945" t="s">
        <v>76</v>
      </c>
      <c r="E945" s="1">
        <v>45395</v>
      </c>
      <c r="F945" s="6">
        <v>1</v>
      </c>
      <c r="G945" s="1" t="s">
        <v>38</v>
      </c>
      <c r="H945" t="s">
        <v>43</v>
      </c>
      <c r="I945" t="s">
        <v>3141</v>
      </c>
      <c r="J945" t="s">
        <v>865</v>
      </c>
      <c r="K945">
        <v>2000</v>
      </c>
      <c r="L945">
        <v>1200</v>
      </c>
      <c r="M945">
        <f>Customers_Table[[#This Row],[Quantity Ordered]]*Customers_Table[[#This Row],[Sales Price (Per unit)]]</f>
        <v>1200</v>
      </c>
      <c r="N945" t="s">
        <v>3142</v>
      </c>
    </row>
    <row r="946" spans="1:14" x14ac:dyDescent="0.2">
      <c r="A946" t="s">
        <v>233</v>
      </c>
      <c r="B946" t="s">
        <v>1045</v>
      </c>
      <c r="C946">
        <v>2176</v>
      </c>
      <c r="D946" t="s">
        <v>92</v>
      </c>
      <c r="E946" s="1">
        <v>45572</v>
      </c>
      <c r="F946" s="6">
        <v>3</v>
      </c>
      <c r="G946" t="s">
        <v>32</v>
      </c>
      <c r="H946" t="s">
        <v>81</v>
      </c>
      <c r="I946" t="s">
        <v>3143</v>
      </c>
      <c r="J946" t="s">
        <v>1280</v>
      </c>
      <c r="K946">
        <v>800</v>
      </c>
      <c r="L946">
        <v>600</v>
      </c>
      <c r="M946">
        <f>Customers_Table[[#This Row],[Quantity Ordered]]*Customers_Table[[#This Row],[Sales Price (Per unit)]]</f>
        <v>1800</v>
      </c>
      <c r="N946" t="s">
        <v>3144</v>
      </c>
    </row>
    <row r="947" spans="1:14" x14ac:dyDescent="0.2">
      <c r="A947" t="s">
        <v>198</v>
      </c>
      <c r="B947" t="s">
        <v>1048</v>
      </c>
      <c r="C947">
        <v>2177</v>
      </c>
      <c r="D947" t="s">
        <v>42</v>
      </c>
      <c r="E947" s="1">
        <v>45447</v>
      </c>
      <c r="F947" s="6">
        <v>1</v>
      </c>
      <c r="G947" s="1" t="s">
        <v>52</v>
      </c>
      <c r="H947" t="s">
        <v>57</v>
      </c>
      <c r="I947" t="s">
        <v>3145</v>
      </c>
      <c r="J947" t="s">
        <v>1350</v>
      </c>
      <c r="K947">
        <v>5600</v>
      </c>
      <c r="L947">
        <v>300</v>
      </c>
      <c r="M947">
        <f>Customers_Table[[#This Row],[Quantity Ordered]]*Customers_Table[[#This Row],[Sales Price (Per unit)]]</f>
        <v>300</v>
      </c>
      <c r="N947" t="s">
        <v>3146</v>
      </c>
    </row>
    <row r="948" spans="1:14" x14ac:dyDescent="0.2">
      <c r="A948" t="s">
        <v>1197</v>
      </c>
      <c r="B948" t="s">
        <v>262</v>
      </c>
      <c r="C948">
        <v>2178</v>
      </c>
      <c r="D948" t="s">
        <v>76</v>
      </c>
      <c r="E948" s="1">
        <v>45652</v>
      </c>
      <c r="F948" s="6">
        <v>2</v>
      </c>
      <c r="G948" t="s">
        <v>32</v>
      </c>
      <c r="H948" t="s">
        <v>53</v>
      </c>
      <c r="I948" t="s">
        <v>3147</v>
      </c>
      <c r="J948" t="s">
        <v>1268</v>
      </c>
      <c r="K948">
        <v>4870</v>
      </c>
      <c r="L948">
        <v>1200</v>
      </c>
      <c r="M948">
        <f>Customers_Table[[#This Row],[Quantity Ordered]]*Customers_Table[[#This Row],[Sales Price (Per unit)]]</f>
        <v>2400</v>
      </c>
      <c r="N948" t="s">
        <v>3148</v>
      </c>
    </row>
    <row r="949" spans="1:14" x14ac:dyDescent="0.2">
      <c r="A949" t="s">
        <v>74</v>
      </c>
      <c r="B949" t="s">
        <v>1198</v>
      </c>
      <c r="C949">
        <v>2179</v>
      </c>
      <c r="D949" t="s">
        <v>76</v>
      </c>
      <c r="E949" s="1">
        <v>45583</v>
      </c>
      <c r="F949" s="6">
        <v>2</v>
      </c>
      <c r="G949" s="1" t="s">
        <v>52</v>
      </c>
      <c r="H949" t="s">
        <v>57</v>
      </c>
      <c r="I949" t="s">
        <v>3149</v>
      </c>
      <c r="J949" t="s">
        <v>1350</v>
      </c>
      <c r="K949">
        <v>5600</v>
      </c>
      <c r="L949">
        <v>1200</v>
      </c>
      <c r="M949">
        <f>Customers_Table[[#This Row],[Quantity Ordered]]*Customers_Table[[#This Row],[Sales Price (Per unit)]]</f>
        <v>2400</v>
      </c>
      <c r="N949" t="s">
        <v>3150</v>
      </c>
    </row>
    <row r="950" spans="1:14" x14ac:dyDescent="0.2">
      <c r="A950" t="s">
        <v>65</v>
      </c>
      <c r="B950" t="s">
        <v>806</v>
      </c>
      <c r="C950">
        <v>2180</v>
      </c>
      <c r="D950" t="s">
        <v>92</v>
      </c>
      <c r="E950" s="1">
        <v>45528</v>
      </c>
      <c r="F950" s="6">
        <v>1</v>
      </c>
      <c r="G950" t="s">
        <v>32</v>
      </c>
      <c r="H950" t="s">
        <v>53</v>
      </c>
      <c r="I950" t="s">
        <v>3151</v>
      </c>
      <c r="J950" t="s">
        <v>1268</v>
      </c>
      <c r="K950">
        <v>4870</v>
      </c>
      <c r="L950">
        <v>600</v>
      </c>
      <c r="M950">
        <f>Customers_Table[[#This Row],[Quantity Ordered]]*Customers_Table[[#This Row],[Sales Price (Per unit)]]</f>
        <v>600</v>
      </c>
      <c r="N950" t="s">
        <v>3152</v>
      </c>
    </row>
    <row r="951" spans="1:14" x14ac:dyDescent="0.2">
      <c r="A951" t="s">
        <v>1199</v>
      </c>
      <c r="B951" t="s">
        <v>1200</v>
      </c>
      <c r="C951">
        <v>2181</v>
      </c>
      <c r="D951" t="s">
        <v>76</v>
      </c>
      <c r="E951" s="1">
        <v>45461</v>
      </c>
      <c r="F951" s="6">
        <v>1</v>
      </c>
      <c r="G951" s="1" t="s">
        <v>38</v>
      </c>
      <c r="H951" t="s">
        <v>43</v>
      </c>
      <c r="I951" t="s">
        <v>3153</v>
      </c>
      <c r="J951" t="s">
        <v>1244</v>
      </c>
      <c r="K951">
        <v>2300</v>
      </c>
      <c r="L951">
        <v>1200</v>
      </c>
      <c r="M951">
        <f>Customers_Table[[#This Row],[Quantity Ordered]]*Customers_Table[[#This Row],[Sales Price (Per unit)]]</f>
        <v>1200</v>
      </c>
      <c r="N951" t="s">
        <v>3154</v>
      </c>
    </row>
    <row r="952" spans="1:14" x14ac:dyDescent="0.2">
      <c r="A952" t="s">
        <v>878</v>
      </c>
      <c r="B952" t="s">
        <v>745</v>
      </c>
      <c r="C952">
        <v>2182</v>
      </c>
      <c r="D952" t="s">
        <v>31</v>
      </c>
      <c r="E952" s="1">
        <v>45465</v>
      </c>
      <c r="F952" s="6">
        <v>2</v>
      </c>
      <c r="G952" s="1" t="s">
        <v>52</v>
      </c>
      <c r="H952" t="s">
        <v>43</v>
      </c>
      <c r="I952" t="s">
        <v>3155</v>
      </c>
      <c r="J952" t="s">
        <v>1299</v>
      </c>
      <c r="K952">
        <v>2500</v>
      </c>
      <c r="L952">
        <v>250</v>
      </c>
      <c r="M952">
        <f>Customers_Table[[#This Row],[Quantity Ordered]]*Customers_Table[[#This Row],[Sales Price (Per unit)]]</f>
        <v>500</v>
      </c>
      <c r="N952" t="s">
        <v>3156</v>
      </c>
    </row>
    <row r="953" spans="1:14" x14ac:dyDescent="0.2">
      <c r="A953" t="s">
        <v>1201</v>
      </c>
      <c r="B953" t="s">
        <v>1202</v>
      </c>
      <c r="C953">
        <v>2183</v>
      </c>
      <c r="D953" t="s">
        <v>31</v>
      </c>
      <c r="E953" s="1">
        <v>45503</v>
      </c>
      <c r="F953" s="6">
        <v>1</v>
      </c>
      <c r="G953" t="s">
        <v>71</v>
      </c>
      <c r="H953" t="s">
        <v>43</v>
      </c>
      <c r="I953" t="s">
        <v>3157</v>
      </c>
      <c r="J953" t="s">
        <v>1244</v>
      </c>
      <c r="K953">
        <v>2300</v>
      </c>
      <c r="L953">
        <v>250</v>
      </c>
      <c r="M953">
        <f>Customers_Table[[#This Row],[Quantity Ordered]]*Customers_Table[[#This Row],[Sales Price (Per unit)]]</f>
        <v>250</v>
      </c>
      <c r="N953" t="s">
        <v>3158</v>
      </c>
    </row>
    <row r="954" spans="1:14" x14ac:dyDescent="0.2">
      <c r="A954" t="s">
        <v>225</v>
      </c>
      <c r="B954" t="s">
        <v>140</v>
      </c>
      <c r="C954">
        <v>2184</v>
      </c>
      <c r="D954" t="s">
        <v>76</v>
      </c>
      <c r="E954" s="1">
        <v>45376</v>
      </c>
      <c r="F954" s="6">
        <v>1</v>
      </c>
      <c r="G954" s="1" t="s">
        <v>52</v>
      </c>
      <c r="H954" t="s">
        <v>53</v>
      </c>
      <c r="I954" t="s">
        <v>3159</v>
      </c>
      <c r="J954" t="s">
        <v>1250</v>
      </c>
      <c r="K954">
        <v>4217</v>
      </c>
      <c r="L954">
        <v>1200</v>
      </c>
      <c r="M954">
        <f>Customers_Table[[#This Row],[Quantity Ordered]]*Customers_Table[[#This Row],[Sales Price (Per unit)]]</f>
        <v>1200</v>
      </c>
      <c r="N954" t="s">
        <v>3160</v>
      </c>
    </row>
    <row r="955" spans="1:14" x14ac:dyDescent="0.2">
      <c r="A955" t="s">
        <v>876</v>
      </c>
      <c r="B955" t="s">
        <v>1086</v>
      </c>
      <c r="C955">
        <v>2185</v>
      </c>
      <c r="D955" t="s">
        <v>51</v>
      </c>
      <c r="E955" s="1">
        <v>45340</v>
      </c>
      <c r="F955" s="6">
        <v>3</v>
      </c>
      <c r="G955" s="1" t="s">
        <v>52</v>
      </c>
      <c r="H955" t="s">
        <v>57</v>
      </c>
      <c r="I955" t="s">
        <v>3161</v>
      </c>
      <c r="J955" t="s">
        <v>1095</v>
      </c>
      <c r="K955">
        <v>5000</v>
      </c>
      <c r="L955">
        <v>250</v>
      </c>
      <c r="M955">
        <f>Customers_Table[[#This Row],[Quantity Ordered]]*Customers_Table[[#This Row],[Sales Price (Per unit)]]</f>
        <v>750</v>
      </c>
      <c r="N955" t="s">
        <v>3162</v>
      </c>
    </row>
    <row r="956" spans="1:14" x14ac:dyDescent="0.2">
      <c r="A956" t="s">
        <v>1203</v>
      </c>
      <c r="B956" t="s">
        <v>806</v>
      </c>
      <c r="C956">
        <v>2186</v>
      </c>
      <c r="D956" t="s">
        <v>76</v>
      </c>
      <c r="E956" s="1">
        <v>45605</v>
      </c>
      <c r="F956" s="6">
        <v>2</v>
      </c>
      <c r="G956" t="s">
        <v>71</v>
      </c>
      <c r="H956" t="s">
        <v>64</v>
      </c>
      <c r="I956" t="s">
        <v>3163</v>
      </c>
      <c r="J956" t="s">
        <v>1400</v>
      </c>
      <c r="K956">
        <v>7310</v>
      </c>
      <c r="L956">
        <v>1200</v>
      </c>
      <c r="M956">
        <f>Customers_Table[[#This Row],[Quantity Ordered]]*Customers_Table[[#This Row],[Sales Price (Per unit)]]</f>
        <v>2400</v>
      </c>
      <c r="N956" t="s">
        <v>3164</v>
      </c>
    </row>
    <row r="957" spans="1:14" x14ac:dyDescent="0.2">
      <c r="A957" t="s">
        <v>889</v>
      </c>
      <c r="B957" t="s">
        <v>672</v>
      </c>
      <c r="C957">
        <v>2187</v>
      </c>
      <c r="D957" t="s">
        <v>76</v>
      </c>
      <c r="E957" s="1">
        <v>45505</v>
      </c>
      <c r="F957" s="6">
        <v>1</v>
      </c>
      <c r="G957" t="s">
        <v>32</v>
      </c>
      <c r="H957" t="s">
        <v>64</v>
      </c>
      <c r="I957" t="s">
        <v>3165</v>
      </c>
      <c r="J957" t="s">
        <v>1400</v>
      </c>
      <c r="K957">
        <v>7310</v>
      </c>
      <c r="L957">
        <v>1200</v>
      </c>
      <c r="M957">
        <f>Customers_Table[[#This Row],[Quantity Ordered]]*Customers_Table[[#This Row],[Sales Price (Per unit)]]</f>
        <v>1200</v>
      </c>
      <c r="N957" t="s">
        <v>3166</v>
      </c>
    </row>
    <row r="958" spans="1:14" x14ac:dyDescent="0.2">
      <c r="A958" t="s">
        <v>776</v>
      </c>
      <c r="B958" t="s">
        <v>312</v>
      </c>
      <c r="C958">
        <v>2188</v>
      </c>
      <c r="D958" t="s">
        <v>92</v>
      </c>
      <c r="E958" s="1">
        <v>45387</v>
      </c>
      <c r="F958" s="6">
        <v>3</v>
      </c>
      <c r="G958" t="s">
        <v>71</v>
      </c>
      <c r="H958" t="s">
        <v>47</v>
      </c>
      <c r="I958" t="s">
        <v>3167</v>
      </c>
      <c r="J958" t="s">
        <v>1275</v>
      </c>
      <c r="K958">
        <v>3000</v>
      </c>
      <c r="L958">
        <v>600</v>
      </c>
      <c r="M958">
        <f>Customers_Table[[#This Row],[Quantity Ordered]]*Customers_Table[[#This Row],[Sales Price (Per unit)]]</f>
        <v>1800</v>
      </c>
      <c r="N958" t="s">
        <v>3168</v>
      </c>
    </row>
    <row r="959" spans="1:14" x14ac:dyDescent="0.2">
      <c r="A959" t="s">
        <v>401</v>
      </c>
      <c r="B959" t="s">
        <v>1204</v>
      </c>
      <c r="C959">
        <v>2189</v>
      </c>
      <c r="D959" t="s">
        <v>76</v>
      </c>
      <c r="E959" s="1">
        <v>45352</v>
      </c>
      <c r="F959" s="6">
        <v>1</v>
      </c>
      <c r="G959" s="1" t="s">
        <v>52</v>
      </c>
      <c r="H959" t="s">
        <v>57</v>
      </c>
      <c r="I959" t="s">
        <v>3169</v>
      </c>
      <c r="J959" t="s">
        <v>1095</v>
      </c>
      <c r="K959">
        <v>5000</v>
      </c>
      <c r="L959">
        <v>1200</v>
      </c>
      <c r="M959">
        <f>Customers_Table[[#This Row],[Quantity Ordered]]*Customers_Table[[#This Row],[Sales Price (Per unit)]]</f>
        <v>1200</v>
      </c>
      <c r="N959" t="s">
        <v>3170</v>
      </c>
    </row>
    <row r="960" spans="1:14" x14ac:dyDescent="0.2">
      <c r="A960" t="s">
        <v>1205</v>
      </c>
      <c r="B960" t="s">
        <v>707</v>
      </c>
      <c r="C960">
        <v>2190</v>
      </c>
      <c r="D960" t="s">
        <v>37</v>
      </c>
      <c r="E960" s="1">
        <v>45476</v>
      </c>
      <c r="F960" s="6">
        <v>3</v>
      </c>
      <c r="G960" t="s">
        <v>32</v>
      </c>
      <c r="H960" t="s">
        <v>81</v>
      </c>
      <c r="I960" t="s">
        <v>3171</v>
      </c>
      <c r="J960" t="s">
        <v>1361</v>
      </c>
      <c r="K960">
        <v>870</v>
      </c>
      <c r="L960">
        <v>800</v>
      </c>
      <c r="M960">
        <f>Customers_Table[[#This Row],[Quantity Ordered]]*Customers_Table[[#This Row],[Sales Price (Per unit)]]</f>
        <v>2400</v>
      </c>
      <c r="N960" t="s">
        <v>3172</v>
      </c>
    </row>
    <row r="961" spans="1:14" x14ac:dyDescent="0.2">
      <c r="A961" t="s">
        <v>1206</v>
      </c>
      <c r="B961" t="s">
        <v>158</v>
      </c>
      <c r="C961">
        <v>2191</v>
      </c>
      <c r="D961" t="s">
        <v>31</v>
      </c>
      <c r="E961" s="1">
        <v>45396</v>
      </c>
      <c r="F961" s="6">
        <v>1</v>
      </c>
      <c r="G961" t="s">
        <v>32</v>
      </c>
      <c r="H961" t="s">
        <v>43</v>
      </c>
      <c r="I961" t="s">
        <v>3173</v>
      </c>
      <c r="J961" t="s">
        <v>1244</v>
      </c>
      <c r="K961">
        <v>2300</v>
      </c>
      <c r="L961">
        <v>250</v>
      </c>
      <c r="M961">
        <f>Customers_Table[[#This Row],[Quantity Ordered]]*Customers_Table[[#This Row],[Sales Price (Per unit)]]</f>
        <v>250</v>
      </c>
      <c r="N961" t="s">
        <v>3174</v>
      </c>
    </row>
    <row r="962" spans="1:14" x14ac:dyDescent="0.2">
      <c r="A962" t="s">
        <v>241</v>
      </c>
      <c r="B962" t="s">
        <v>266</v>
      </c>
      <c r="C962">
        <v>2192</v>
      </c>
      <c r="D962" t="s">
        <v>92</v>
      </c>
      <c r="E962" s="1">
        <v>45596</v>
      </c>
      <c r="F962" s="6">
        <v>2</v>
      </c>
      <c r="G962" s="1" t="s">
        <v>52</v>
      </c>
      <c r="H962" t="s">
        <v>53</v>
      </c>
      <c r="I962" t="s">
        <v>3175</v>
      </c>
      <c r="J962" t="s">
        <v>1305</v>
      </c>
      <c r="K962">
        <v>4000</v>
      </c>
      <c r="L962">
        <v>600</v>
      </c>
      <c r="M962">
        <f>Customers_Table[[#This Row],[Quantity Ordered]]*Customers_Table[[#This Row],[Sales Price (Per unit)]]</f>
        <v>1200</v>
      </c>
      <c r="N962" t="s">
        <v>3176</v>
      </c>
    </row>
    <row r="963" spans="1:14" x14ac:dyDescent="0.2">
      <c r="A963" t="s">
        <v>744</v>
      </c>
      <c r="B963" t="s">
        <v>1006</v>
      </c>
      <c r="C963">
        <v>2193</v>
      </c>
      <c r="D963" t="s">
        <v>76</v>
      </c>
      <c r="E963" s="1">
        <v>45605</v>
      </c>
      <c r="F963" s="6">
        <v>2</v>
      </c>
      <c r="G963" s="1" t="s">
        <v>52</v>
      </c>
      <c r="H963" t="s">
        <v>81</v>
      </c>
      <c r="I963" t="s">
        <v>3177</v>
      </c>
      <c r="J963" t="s">
        <v>1361</v>
      </c>
      <c r="K963">
        <v>870</v>
      </c>
      <c r="L963">
        <v>1200</v>
      </c>
      <c r="M963">
        <f>Customers_Table[[#This Row],[Quantity Ordered]]*Customers_Table[[#This Row],[Sales Price (Per unit)]]</f>
        <v>2400</v>
      </c>
      <c r="N963" t="s">
        <v>3178</v>
      </c>
    </row>
    <row r="964" spans="1:14" x14ac:dyDescent="0.2">
      <c r="A964" t="s">
        <v>897</v>
      </c>
      <c r="B964" t="s">
        <v>177</v>
      </c>
      <c r="C964">
        <v>2194</v>
      </c>
      <c r="D964" t="s">
        <v>42</v>
      </c>
      <c r="E964" s="1">
        <v>45444</v>
      </c>
      <c r="F964" s="6">
        <v>1</v>
      </c>
      <c r="G964" t="s">
        <v>32</v>
      </c>
      <c r="H964" t="s">
        <v>57</v>
      </c>
      <c r="I964" t="s">
        <v>3179</v>
      </c>
      <c r="J964" t="s">
        <v>1350</v>
      </c>
      <c r="K964">
        <v>5600</v>
      </c>
      <c r="L964">
        <v>300</v>
      </c>
      <c r="M964">
        <f>Customers_Table[[#This Row],[Quantity Ordered]]*Customers_Table[[#This Row],[Sales Price (Per unit)]]</f>
        <v>300</v>
      </c>
      <c r="N964" t="s">
        <v>3180</v>
      </c>
    </row>
    <row r="965" spans="1:14" x14ac:dyDescent="0.2">
      <c r="A965" t="s">
        <v>1111</v>
      </c>
      <c r="B965" t="s">
        <v>185</v>
      </c>
      <c r="C965">
        <v>2195</v>
      </c>
      <c r="D965" t="s">
        <v>92</v>
      </c>
      <c r="E965" s="1">
        <v>45581</v>
      </c>
      <c r="F965" s="6">
        <v>2</v>
      </c>
      <c r="G965" s="1" t="s">
        <v>52</v>
      </c>
      <c r="H965" t="s">
        <v>33</v>
      </c>
      <c r="I965" t="s">
        <v>3181</v>
      </c>
      <c r="J965" t="s">
        <v>1238</v>
      </c>
      <c r="K965">
        <v>6725</v>
      </c>
      <c r="L965">
        <v>600</v>
      </c>
      <c r="M965">
        <f>Customers_Table[[#This Row],[Quantity Ordered]]*Customers_Table[[#This Row],[Sales Price (Per unit)]]</f>
        <v>1200</v>
      </c>
      <c r="N965" t="s">
        <v>3182</v>
      </c>
    </row>
    <row r="966" spans="1:14" x14ac:dyDescent="0.2">
      <c r="A966" t="s">
        <v>1207</v>
      </c>
      <c r="B966" t="s">
        <v>323</v>
      </c>
      <c r="C966">
        <v>2196</v>
      </c>
      <c r="D966" t="s">
        <v>51</v>
      </c>
      <c r="E966" s="1">
        <v>45427</v>
      </c>
      <c r="F966" s="6">
        <v>3</v>
      </c>
      <c r="G966" s="1" t="s">
        <v>52</v>
      </c>
      <c r="H966" t="s">
        <v>47</v>
      </c>
      <c r="I966" t="s">
        <v>3183</v>
      </c>
      <c r="J966" t="s">
        <v>1256</v>
      </c>
      <c r="K966">
        <v>3220</v>
      </c>
      <c r="L966">
        <v>250</v>
      </c>
      <c r="M966">
        <f>Customers_Table[[#This Row],[Quantity Ordered]]*Customers_Table[[#This Row],[Sales Price (Per unit)]]</f>
        <v>750</v>
      </c>
      <c r="N966" t="s">
        <v>3184</v>
      </c>
    </row>
    <row r="967" spans="1:14" x14ac:dyDescent="0.2">
      <c r="A967" t="s">
        <v>1208</v>
      </c>
      <c r="B967" t="s">
        <v>1099</v>
      </c>
      <c r="C967">
        <v>2197</v>
      </c>
      <c r="D967" t="s">
        <v>42</v>
      </c>
      <c r="E967" s="1">
        <v>45622</v>
      </c>
      <c r="F967" s="6">
        <v>2</v>
      </c>
      <c r="G967" s="1" t="s">
        <v>52</v>
      </c>
      <c r="H967" t="s">
        <v>53</v>
      </c>
      <c r="I967" t="s">
        <v>3185</v>
      </c>
      <c r="J967" t="s">
        <v>1305</v>
      </c>
      <c r="K967">
        <v>4000</v>
      </c>
      <c r="L967">
        <v>300</v>
      </c>
      <c r="M967">
        <f>Customers_Table[[#This Row],[Quantity Ordered]]*Customers_Table[[#This Row],[Sales Price (Per unit)]]</f>
        <v>600</v>
      </c>
      <c r="N967" t="s">
        <v>3186</v>
      </c>
    </row>
    <row r="968" spans="1:14" x14ac:dyDescent="0.2">
      <c r="A968" t="s">
        <v>690</v>
      </c>
      <c r="B968" t="s">
        <v>787</v>
      </c>
      <c r="C968">
        <v>2198</v>
      </c>
      <c r="D968" t="s">
        <v>92</v>
      </c>
      <c r="E968" s="1">
        <v>45390</v>
      </c>
      <c r="F968" s="6">
        <v>2</v>
      </c>
      <c r="G968" s="1" t="s">
        <v>52</v>
      </c>
      <c r="H968" t="s">
        <v>81</v>
      </c>
      <c r="I968" t="s">
        <v>3187</v>
      </c>
      <c r="J968" t="s">
        <v>1361</v>
      </c>
      <c r="K968">
        <v>870</v>
      </c>
      <c r="L968">
        <v>600</v>
      </c>
      <c r="M968">
        <f>Customers_Table[[#This Row],[Quantity Ordered]]*Customers_Table[[#This Row],[Sales Price (Per unit)]]</f>
        <v>1200</v>
      </c>
      <c r="N968" t="s">
        <v>3188</v>
      </c>
    </row>
    <row r="969" spans="1:14" x14ac:dyDescent="0.2">
      <c r="A969" t="s">
        <v>170</v>
      </c>
      <c r="B969" t="s">
        <v>1209</v>
      </c>
      <c r="C969">
        <v>2199</v>
      </c>
      <c r="D969" t="s">
        <v>31</v>
      </c>
      <c r="E969" s="1">
        <v>45591</v>
      </c>
      <c r="F969" s="6">
        <v>3</v>
      </c>
      <c r="G969" s="1" t="s">
        <v>52</v>
      </c>
      <c r="H969" t="s">
        <v>57</v>
      </c>
      <c r="I969" t="s">
        <v>3189</v>
      </c>
      <c r="J969" t="s">
        <v>1253</v>
      </c>
      <c r="K969">
        <v>5290</v>
      </c>
      <c r="L969">
        <v>250</v>
      </c>
      <c r="M969">
        <f>Customers_Table[[#This Row],[Quantity Ordered]]*Customers_Table[[#This Row],[Sales Price (Per unit)]]</f>
        <v>750</v>
      </c>
      <c r="N969" t="s">
        <v>3190</v>
      </c>
    </row>
    <row r="970" spans="1:14" x14ac:dyDescent="0.2">
      <c r="A970" t="s">
        <v>1210</v>
      </c>
      <c r="B970" t="s">
        <v>569</v>
      </c>
      <c r="C970">
        <v>2200</v>
      </c>
      <c r="D970" t="s">
        <v>51</v>
      </c>
      <c r="E970" s="1">
        <v>45640</v>
      </c>
      <c r="F970" s="6">
        <v>2</v>
      </c>
      <c r="G970" s="1" t="s">
        <v>52</v>
      </c>
      <c r="H970" t="s">
        <v>39</v>
      </c>
      <c r="I970" t="s">
        <v>3191</v>
      </c>
      <c r="J970" t="s">
        <v>1241</v>
      </c>
      <c r="K970">
        <v>2600</v>
      </c>
      <c r="L970">
        <v>250</v>
      </c>
      <c r="M970">
        <f>Customers_Table[[#This Row],[Quantity Ordered]]*Customers_Table[[#This Row],[Sales Price (Per unit)]]</f>
        <v>500</v>
      </c>
      <c r="N970" t="s">
        <v>3192</v>
      </c>
    </row>
    <row r="971" spans="1:14" x14ac:dyDescent="0.2">
      <c r="A971" t="s">
        <v>658</v>
      </c>
      <c r="B971" t="s">
        <v>1211</v>
      </c>
      <c r="C971">
        <v>2201</v>
      </c>
      <c r="D971" t="s">
        <v>31</v>
      </c>
      <c r="E971" s="1">
        <v>45541</v>
      </c>
      <c r="F971" s="6">
        <v>3</v>
      </c>
      <c r="G971" t="s">
        <v>32</v>
      </c>
      <c r="H971" t="s">
        <v>53</v>
      </c>
      <c r="I971" t="s">
        <v>3193</v>
      </c>
      <c r="J971" t="s">
        <v>1305</v>
      </c>
      <c r="K971">
        <v>4000</v>
      </c>
      <c r="L971">
        <v>250</v>
      </c>
      <c r="M971">
        <f>Customers_Table[[#This Row],[Quantity Ordered]]*Customers_Table[[#This Row],[Sales Price (Per unit)]]</f>
        <v>750</v>
      </c>
      <c r="N971" t="s">
        <v>3194</v>
      </c>
    </row>
    <row r="972" spans="1:14" x14ac:dyDescent="0.2">
      <c r="A972" t="s">
        <v>850</v>
      </c>
      <c r="B972" t="s">
        <v>875</v>
      </c>
      <c r="C972">
        <v>2202</v>
      </c>
      <c r="D972" t="s">
        <v>76</v>
      </c>
      <c r="E972" s="1">
        <v>45295</v>
      </c>
      <c r="F972" s="6">
        <v>2</v>
      </c>
      <c r="G972" t="s">
        <v>32</v>
      </c>
      <c r="H972" t="s">
        <v>64</v>
      </c>
      <c r="I972" t="s">
        <v>3195</v>
      </c>
      <c r="J972" t="s">
        <v>1262</v>
      </c>
      <c r="K972">
        <v>7250</v>
      </c>
      <c r="L972">
        <v>1200</v>
      </c>
      <c r="M972">
        <f>Customers_Table[[#This Row],[Quantity Ordered]]*Customers_Table[[#This Row],[Sales Price (Per unit)]]</f>
        <v>2400</v>
      </c>
      <c r="N972" t="s">
        <v>3196</v>
      </c>
    </row>
    <row r="973" spans="1:14" x14ac:dyDescent="0.2">
      <c r="A973" t="s">
        <v>1212</v>
      </c>
      <c r="B973" t="s">
        <v>703</v>
      </c>
      <c r="C973">
        <v>2203</v>
      </c>
      <c r="D973" t="s">
        <v>92</v>
      </c>
      <c r="E973" s="1">
        <v>45441</v>
      </c>
      <c r="F973" s="6">
        <v>3</v>
      </c>
      <c r="G973" s="1" t="s">
        <v>52</v>
      </c>
      <c r="H973" t="s">
        <v>43</v>
      </c>
      <c r="I973" t="s">
        <v>3197</v>
      </c>
      <c r="J973" t="s">
        <v>1299</v>
      </c>
      <c r="K973">
        <v>2500</v>
      </c>
      <c r="L973">
        <v>600</v>
      </c>
      <c r="M973">
        <f>Customers_Table[[#This Row],[Quantity Ordered]]*Customers_Table[[#This Row],[Sales Price (Per unit)]]</f>
        <v>1800</v>
      </c>
      <c r="N973" t="s">
        <v>3198</v>
      </c>
    </row>
    <row r="974" spans="1:14" x14ac:dyDescent="0.2">
      <c r="A974" t="s">
        <v>1213</v>
      </c>
      <c r="B974" t="s">
        <v>263</v>
      </c>
      <c r="C974">
        <v>2204</v>
      </c>
      <c r="D974" t="s">
        <v>92</v>
      </c>
      <c r="E974" s="1">
        <v>45322</v>
      </c>
      <c r="F974" s="6">
        <v>1</v>
      </c>
      <c r="G974" t="s">
        <v>71</v>
      </c>
      <c r="H974" t="s">
        <v>43</v>
      </c>
      <c r="I974" t="s">
        <v>3199</v>
      </c>
      <c r="J974" t="s">
        <v>865</v>
      </c>
      <c r="K974">
        <v>2000</v>
      </c>
      <c r="L974">
        <v>600</v>
      </c>
      <c r="M974">
        <f>Customers_Table[[#This Row],[Quantity Ordered]]*Customers_Table[[#This Row],[Sales Price (Per unit)]]</f>
        <v>600</v>
      </c>
      <c r="N974" t="s">
        <v>3200</v>
      </c>
    </row>
    <row r="975" spans="1:14" x14ac:dyDescent="0.2">
      <c r="A975" t="s">
        <v>1214</v>
      </c>
      <c r="B975" t="s">
        <v>1215</v>
      </c>
      <c r="C975">
        <v>2205</v>
      </c>
      <c r="D975" t="s">
        <v>51</v>
      </c>
      <c r="E975" s="1">
        <v>45432</v>
      </c>
      <c r="F975" s="6">
        <v>2</v>
      </c>
      <c r="G975" s="1" t="s">
        <v>38</v>
      </c>
      <c r="H975" t="s">
        <v>47</v>
      </c>
      <c r="I975" t="s">
        <v>3201</v>
      </c>
      <c r="J975" t="s">
        <v>1256</v>
      </c>
      <c r="K975">
        <v>3220</v>
      </c>
      <c r="L975">
        <v>250</v>
      </c>
      <c r="M975">
        <f>Customers_Table[[#This Row],[Quantity Ordered]]*Customers_Table[[#This Row],[Sales Price (Per unit)]]</f>
        <v>500</v>
      </c>
      <c r="N975" t="s">
        <v>3202</v>
      </c>
    </row>
    <row r="976" spans="1:14" x14ac:dyDescent="0.2">
      <c r="A976" t="s">
        <v>970</v>
      </c>
      <c r="B976" t="s">
        <v>447</v>
      </c>
      <c r="C976">
        <v>2206</v>
      </c>
      <c r="D976" t="s">
        <v>76</v>
      </c>
      <c r="E976" s="1">
        <v>45486</v>
      </c>
      <c r="F976" s="6">
        <v>2</v>
      </c>
      <c r="G976" t="s">
        <v>32</v>
      </c>
      <c r="H976" t="s">
        <v>57</v>
      </c>
      <c r="I976" t="s">
        <v>3203</v>
      </c>
      <c r="J976" t="s">
        <v>1350</v>
      </c>
      <c r="K976">
        <v>5600</v>
      </c>
      <c r="L976">
        <v>1200</v>
      </c>
      <c r="M976">
        <f>Customers_Table[[#This Row],[Quantity Ordered]]*Customers_Table[[#This Row],[Sales Price (Per unit)]]</f>
        <v>2400</v>
      </c>
      <c r="N976" t="s">
        <v>3204</v>
      </c>
    </row>
    <row r="977" spans="1:14" x14ac:dyDescent="0.2">
      <c r="A977" t="s">
        <v>211</v>
      </c>
      <c r="B977" t="s">
        <v>531</v>
      </c>
      <c r="C977">
        <v>2207</v>
      </c>
      <c r="D977" t="s">
        <v>76</v>
      </c>
      <c r="E977" s="1">
        <v>45492</v>
      </c>
      <c r="F977" s="6">
        <v>1</v>
      </c>
      <c r="G977" s="1" t="s">
        <v>52</v>
      </c>
      <c r="H977" t="s">
        <v>33</v>
      </c>
      <c r="I977" t="s">
        <v>3205</v>
      </c>
      <c r="J977" t="s">
        <v>1238</v>
      </c>
      <c r="K977">
        <v>6725</v>
      </c>
      <c r="L977">
        <v>1200</v>
      </c>
      <c r="M977">
        <f>Customers_Table[[#This Row],[Quantity Ordered]]*Customers_Table[[#This Row],[Sales Price (Per unit)]]</f>
        <v>1200</v>
      </c>
      <c r="N977" t="s">
        <v>3206</v>
      </c>
    </row>
    <row r="978" spans="1:14" x14ac:dyDescent="0.2">
      <c r="A978" t="s">
        <v>1148</v>
      </c>
      <c r="B978" t="s">
        <v>1216</v>
      </c>
      <c r="C978">
        <v>2208</v>
      </c>
      <c r="D978" t="s">
        <v>42</v>
      </c>
      <c r="E978" s="1">
        <v>45444</v>
      </c>
      <c r="F978" s="6">
        <v>3</v>
      </c>
      <c r="G978" t="s">
        <v>32</v>
      </c>
      <c r="H978" t="s">
        <v>81</v>
      </c>
      <c r="I978" t="s">
        <v>3207</v>
      </c>
      <c r="J978" t="s">
        <v>1280</v>
      </c>
      <c r="K978">
        <v>800</v>
      </c>
      <c r="L978">
        <v>300</v>
      </c>
      <c r="M978">
        <f>Customers_Table[[#This Row],[Quantity Ordered]]*Customers_Table[[#This Row],[Sales Price (Per unit)]]</f>
        <v>900</v>
      </c>
      <c r="N978" t="s">
        <v>3208</v>
      </c>
    </row>
    <row r="979" spans="1:14" x14ac:dyDescent="0.2">
      <c r="A979" t="s">
        <v>467</v>
      </c>
      <c r="B979" t="s">
        <v>1217</v>
      </c>
      <c r="C979">
        <v>2209</v>
      </c>
      <c r="D979" t="s">
        <v>51</v>
      </c>
      <c r="E979" s="1">
        <v>45305</v>
      </c>
      <c r="F979" s="6">
        <v>3</v>
      </c>
      <c r="G979" t="s">
        <v>32</v>
      </c>
      <c r="H979" t="s">
        <v>43</v>
      </c>
      <c r="I979" t="s">
        <v>3209</v>
      </c>
      <c r="J979" t="s">
        <v>865</v>
      </c>
      <c r="K979">
        <v>2000</v>
      </c>
      <c r="L979">
        <v>250</v>
      </c>
      <c r="M979">
        <f>Customers_Table[[#This Row],[Quantity Ordered]]*Customers_Table[[#This Row],[Sales Price (Per unit)]]</f>
        <v>750</v>
      </c>
      <c r="N979" t="s">
        <v>3210</v>
      </c>
    </row>
    <row r="980" spans="1:14" x14ac:dyDescent="0.2">
      <c r="A980" t="s">
        <v>225</v>
      </c>
      <c r="B980" t="s">
        <v>883</v>
      </c>
      <c r="C980">
        <v>2210</v>
      </c>
      <c r="D980" t="s">
        <v>76</v>
      </c>
      <c r="E980" s="1">
        <v>45392</v>
      </c>
      <c r="F980" s="6">
        <v>3</v>
      </c>
      <c r="G980" t="s">
        <v>32</v>
      </c>
      <c r="H980" t="s">
        <v>57</v>
      </c>
      <c r="I980" t="s">
        <v>3211</v>
      </c>
      <c r="J980" t="s">
        <v>1253</v>
      </c>
      <c r="K980">
        <v>5290</v>
      </c>
      <c r="L980">
        <v>1200</v>
      </c>
      <c r="M980">
        <f>Customers_Table[[#This Row],[Quantity Ordered]]*Customers_Table[[#This Row],[Sales Price (Per unit)]]</f>
        <v>3600</v>
      </c>
      <c r="N980" t="s">
        <v>3212</v>
      </c>
    </row>
    <row r="981" spans="1:14" x14ac:dyDescent="0.2">
      <c r="A981" t="s">
        <v>292</v>
      </c>
      <c r="B981" t="s">
        <v>120</v>
      </c>
      <c r="C981">
        <v>2211</v>
      </c>
      <c r="D981" t="s">
        <v>92</v>
      </c>
      <c r="E981" s="1">
        <v>45561</v>
      </c>
      <c r="F981" s="6">
        <v>1</v>
      </c>
      <c r="G981" s="1" t="s">
        <v>52</v>
      </c>
      <c r="H981" t="s">
        <v>64</v>
      </c>
      <c r="I981" t="s">
        <v>3213</v>
      </c>
      <c r="J981" t="s">
        <v>1265</v>
      </c>
      <c r="K981">
        <v>7000</v>
      </c>
      <c r="L981">
        <v>600</v>
      </c>
      <c r="M981">
        <f>Customers_Table[[#This Row],[Quantity Ordered]]*Customers_Table[[#This Row],[Sales Price (Per unit)]]</f>
        <v>600</v>
      </c>
      <c r="N981" t="s">
        <v>3214</v>
      </c>
    </row>
    <row r="982" spans="1:14" x14ac:dyDescent="0.2">
      <c r="A982" t="s">
        <v>686</v>
      </c>
      <c r="B982" t="s">
        <v>1009</v>
      </c>
      <c r="C982">
        <v>2212</v>
      </c>
      <c r="D982" t="s">
        <v>37</v>
      </c>
      <c r="E982" s="1">
        <v>45484</v>
      </c>
      <c r="F982" s="6">
        <v>2</v>
      </c>
      <c r="G982" s="1" t="s">
        <v>52</v>
      </c>
      <c r="H982" t="s">
        <v>64</v>
      </c>
      <c r="I982" t="s">
        <v>3215</v>
      </c>
      <c r="J982" t="s">
        <v>1400</v>
      </c>
      <c r="K982">
        <v>7310</v>
      </c>
      <c r="L982">
        <v>800</v>
      </c>
      <c r="M982">
        <f>Customers_Table[[#This Row],[Quantity Ordered]]*Customers_Table[[#This Row],[Sales Price (Per unit)]]</f>
        <v>1600</v>
      </c>
      <c r="N982" t="s">
        <v>3216</v>
      </c>
    </row>
    <row r="983" spans="1:14" x14ac:dyDescent="0.2">
      <c r="A983" t="s">
        <v>1218</v>
      </c>
      <c r="B983" t="s">
        <v>433</v>
      </c>
      <c r="C983">
        <v>2213</v>
      </c>
      <c r="D983" t="s">
        <v>76</v>
      </c>
      <c r="E983" s="1">
        <v>45307</v>
      </c>
      <c r="F983" s="6">
        <v>2</v>
      </c>
      <c r="G983" t="s">
        <v>71</v>
      </c>
      <c r="H983" t="s">
        <v>81</v>
      </c>
      <c r="I983" t="s">
        <v>3217</v>
      </c>
      <c r="J983" t="s">
        <v>1280</v>
      </c>
      <c r="K983">
        <v>800</v>
      </c>
      <c r="L983">
        <v>1200</v>
      </c>
      <c r="M983">
        <f>Customers_Table[[#This Row],[Quantity Ordered]]*Customers_Table[[#This Row],[Sales Price (Per unit)]]</f>
        <v>2400</v>
      </c>
      <c r="N983" t="s">
        <v>3218</v>
      </c>
    </row>
    <row r="984" spans="1:14" x14ac:dyDescent="0.2">
      <c r="A984" t="s">
        <v>658</v>
      </c>
      <c r="B984" t="s">
        <v>348</v>
      </c>
      <c r="C984">
        <v>2214</v>
      </c>
      <c r="D984" t="s">
        <v>37</v>
      </c>
      <c r="E984" s="1">
        <v>45353</v>
      </c>
      <c r="F984" s="6">
        <v>1</v>
      </c>
      <c r="G984" s="1" t="s">
        <v>52</v>
      </c>
      <c r="H984" t="s">
        <v>57</v>
      </c>
      <c r="I984" t="s">
        <v>3219</v>
      </c>
      <c r="J984" t="s">
        <v>1350</v>
      </c>
      <c r="K984">
        <v>5600</v>
      </c>
      <c r="L984">
        <v>800</v>
      </c>
      <c r="M984">
        <f>Customers_Table[[#This Row],[Quantity Ordered]]*Customers_Table[[#This Row],[Sales Price (Per unit)]]</f>
        <v>800</v>
      </c>
      <c r="N984" t="s">
        <v>3220</v>
      </c>
    </row>
    <row r="985" spans="1:14" x14ac:dyDescent="0.2">
      <c r="A985" t="s">
        <v>979</v>
      </c>
      <c r="B985" t="s">
        <v>1219</v>
      </c>
      <c r="C985">
        <v>2215</v>
      </c>
      <c r="D985" t="s">
        <v>31</v>
      </c>
      <c r="E985" s="1">
        <v>45351</v>
      </c>
      <c r="F985" s="6">
        <v>2</v>
      </c>
      <c r="G985" s="1" t="s">
        <v>52</v>
      </c>
      <c r="H985" t="s">
        <v>47</v>
      </c>
      <c r="I985" t="s">
        <v>3221</v>
      </c>
      <c r="J985" t="s">
        <v>1275</v>
      </c>
      <c r="K985">
        <v>3000</v>
      </c>
      <c r="L985">
        <v>250</v>
      </c>
      <c r="M985">
        <f>Customers_Table[[#This Row],[Quantity Ordered]]*Customers_Table[[#This Row],[Sales Price (Per unit)]]</f>
        <v>500</v>
      </c>
      <c r="N985" t="s">
        <v>3222</v>
      </c>
    </row>
    <row r="986" spans="1:14" x14ac:dyDescent="0.2">
      <c r="A986" t="s">
        <v>760</v>
      </c>
      <c r="B986" t="s">
        <v>1220</v>
      </c>
      <c r="C986">
        <v>2216</v>
      </c>
      <c r="D986" t="s">
        <v>42</v>
      </c>
      <c r="E986" s="1">
        <v>45645</v>
      </c>
      <c r="F986" s="6">
        <v>3</v>
      </c>
      <c r="G986" s="1" t="s">
        <v>52</v>
      </c>
      <c r="H986" t="s">
        <v>33</v>
      </c>
      <c r="I986" t="s">
        <v>3223</v>
      </c>
      <c r="J986" t="s">
        <v>1259</v>
      </c>
      <c r="K986">
        <v>6160</v>
      </c>
      <c r="L986">
        <v>300</v>
      </c>
      <c r="M986">
        <f>Customers_Table[[#This Row],[Quantity Ordered]]*Customers_Table[[#This Row],[Sales Price (Per unit)]]</f>
        <v>900</v>
      </c>
      <c r="N986" t="s">
        <v>3224</v>
      </c>
    </row>
    <row r="987" spans="1:14" x14ac:dyDescent="0.2">
      <c r="A987" t="s">
        <v>60</v>
      </c>
      <c r="B987" t="s">
        <v>831</v>
      </c>
      <c r="C987">
        <v>2217</v>
      </c>
      <c r="D987" t="s">
        <v>76</v>
      </c>
      <c r="E987" s="1">
        <v>45646</v>
      </c>
      <c r="F987" s="6">
        <v>2</v>
      </c>
      <c r="G987" s="1" t="s">
        <v>52</v>
      </c>
      <c r="H987" t="s">
        <v>39</v>
      </c>
      <c r="I987" t="s">
        <v>3225</v>
      </c>
      <c r="J987" t="s">
        <v>1241</v>
      </c>
      <c r="K987">
        <v>2600</v>
      </c>
      <c r="L987">
        <v>1200</v>
      </c>
      <c r="M987">
        <f>Customers_Table[[#This Row],[Quantity Ordered]]*Customers_Table[[#This Row],[Sales Price (Per unit)]]</f>
        <v>2400</v>
      </c>
      <c r="N987" t="s">
        <v>3226</v>
      </c>
    </row>
    <row r="988" spans="1:14" x14ac:dyDescent="0.2">
      <c r="A988" t="s">
        <v>801</v>
      </c>
      <c r="B988" t="s">
        <v>684</v>
      </c>
      <c r="C988">
        <v>2218</v>
      </c>
      <c r="D988" t="s">
        <v>76</v>
      </c>
      <c r="E988" s="1">
        <v>45551</v>
      </c>
      <c r="F988" s="6">
        <v>1</v>
      </c>
      <c r="G988" t="s">
        <v>32</v>
      </c>
      <c r="H988" t="s">
        <v>39</v>
      </c>
      <c r="I988" t="s">
        <v>3227</v>
      </c>
      <c r="J988" t="s">
        <v>1241</v>
      </c>
      <c r="K988">
        <v>2600</v>
      </c>
      <c r="L988">
        <v>1200</v>
      </c>
      <c r="M988">
        <f>Customers_Table[[#This Row],[Quantity Ordered]]*Customers_Table[[#This Row],[Sales Price (Per unit)]]</f>
        <v>1200</v>
      </c>
      <c r="N988" t="s">
        <v>3228</v>
      </c>
    </row>
    <row r="989" spans="1:14" x14ac:dyDescent="0.2">
      <c r="A989" t="s">
        <v>1221</v>
      </c>
      <c r="B989" t="s">
        <v>1222</v>
      </c>
      <c r="C989">
        <v>2219</v>
      </c>
      <c r="D989" t="s">
        <v>76</v>
      </c>
      <c r="E989" s="1">
        <v>45476</v>
      </c>
      <c r="F989" s="6">
        <v>3</v>
      </c>
      <c r="G989" s="1" t="s">
        <v>52</v>
      </c>
      <c r="H989" t="s">
        <v>47</v>
      </c>
      <c r="I989" t="s">
        <v>3229</v>
      </c>
      <c r="J989" t="s">
        <v>1275</v>
      </c>
      <c r="K989">
        <v>3000</v>
      </c>
      <c r="L989">
        <v>1200</v>
      </c>
      <c r="M989">
        <f>Customers_Table[[#This Row],[Quantity Ordered]]*Customers_Table[[#This Row],[Sales Price (Per unit)]]</f>
        <v>3600</v>
      </c>
      <c r="N989" t="s">
        <v>3230</v>
      </c>
    </row>
    <row r="990" spans="1:14" x14ac:dyDescent="0.2">
      <c r="A990" t="s">
        <v>1223</v>
      </c>
      <c r="B990" t="s">
        <v>1224</v>
      </c>
      <c r="C990">
        <v>2220</v>
      </c>
      <c r="D990" t="s">
        <v>42</v>
      </c>
      <c r="E990" s="1">
        <v>45499</v>
      </c>
      <c r="F990" s="6">
        <v>3</v>
      </c>
      <c r="G990" s="1" t="s">
        <v>52</v>
      </c>
      <c r="H990" t="s">
        <v>81</v>
      </c>
      <c r="I990" t="s">
        <v>3231</v>
      </c>
      <c r="J990" t="s">
        <v>1280</v>
      </c>
      <c r="K990">
        <v>800</v>
      </c>
      <c r="L990">
        <v>300</v>
      </c>
      <c r="M990">
        <f>Customers_Table[[#This Row],[Quantity Ordered]]*Customers_Table[[#This Row],[Sales Price (Per unit)]]</f>
        <v>900</v>
      </c>
      <c r="N990" t="s">
        <v>3232</v>
      </c>
    </row>
    <row r="991" spans="1:14" x14ac:dyDescent="0.2">
      <c r="A991" t="s">
        <v>1225</v>
      </c>
      <c r="B991" t="s">
        <v>1010</v>
      </c>
      <c r="C991">
        <v>2221</v>
      </c>
      <c r="D991" t="s">
        <v>76</v>
      </c>
      <c r="E991" s="1">
        <v>45589</v>
      </c>
      <c r="F991" s="6">
        <v>3</v>
      </c>
      <c r="G991" s="1" t="s">
        <v>52</v>
      </c>
      <c r="H991" t="s">
        <v>53</v>
      </c>
      <c r="I991" t="s">
        <v>3233</v>
      </c>
      <c r="J991" t="s">
        <v>1305</v>
      </c>
      <c r="K991">
        <v>4000</v>
      </c>
      <c r="L991">
        <v>1200</v>
      </c>
      <c r="M991">
        <f>Customers_Table[[#This Row],[Quantity Ordered]]*Customers_Table[[#This Row],[Sales Price (Per unit)]]</f>
        <v>3600</v>
      </c>
      <c r="N991" t="s">
        <v>3234</v>
      </c>
    </row>
    <row r="992" spans="1:14" x14ac:dyDescent="0.2">
      <c r="A992" t="s">
        <v>899</v>
      </c>
      <c r="B992" t="s">
        <v>963</v>
      </c>
      <c r="C992">
        <v>2222</v>
      </c>
      <c r="D992" t="s">
        <v>76</v>
      </c>
      <c r="E992" s="1">
        <v>45404</v>
      </c>
      <c r="F992" s="6">
        <v>3</v>
      </c>
      <c r="G992" t="s">
        <v>32</v>
      </c>
      <c r="H992" t="s">
        <v>33</v>
      </c>
      <c r="I992" t="s">
        <v>3235</v>
      </c>
      <c r="J992" t="s">
        <v>1259</v>
      </c>
      <c r="K992">
        <v>6160</v>
      </c>
      <c r="L992">
        <v>1200</v>
      </c>
      <c r="M992">
        <f>Customers_Table[[#This Row],[Quantity Ordered]]*Customers_Table[[#This Row],[Sales Price (Per unit)]]</f>
        <v>3600</v>
      </c>
      <c r="N992" t="s">
        <v>3236</v>
      </c>
    </row>
    <row r="993" spans="1:14" x14ac:dyDescent="0.2">
      <c r="A993" t="s">
        <v>1226</v>
      </c>
      <c r="B993" t="s">
        <v>172</v>
      </c>
      <c r="C993">
        <v>2223</v>
      </c>
      <c r="D993" t="s">
        <v>42</v>
      </c>
      <c r="E993" s="1">
        <v>45518</v>
      </c>
      <c r="F993" s="6">
        <v>2</v>
      </c>
      <c r="G993" s="1" t="s">
        <v>52</v>
      </c>
      <c r="H993" t="s">
        <v>81</v>
      </c>
      <c r="I993" t="s">
        <v>3237</v>
      </c>
      <c r="J993" t="s">
        <v>1280</v>
      </c>
      <c r="K993">
        <v>800</v>
      </c>
      <c r="L993">
        <v>300</v>
      </c>
      <c r="M993">
        <f>Customers_Table[[#This Row],[Quantity Ordered]]*Customers_Table[[#This Row],[Sales Price (Per unit)]]</f>
        <v>600</v>
      </c>
      <c r="N993" t="s">
        <v>3238</v>
      </c>
    </row>
    <row r="994" spans="1:14" x14ac:dyDescent="0.2">
      <c r="A994" t="s">
        <v>848</v>
      </c>
      <c r="B994" t="s">
        <v>811</v>
      </c>
      <c r="C994">
        <v>2224</v>
      </c>
      <c r="D994" t="s">
        <v>51</v>
      </c>
      <c r="E994" s="1">
        <v>45437</v>
      </c>
      <c r="F994" s="6">
        <v>2</v>
      </c>
      <c r="G994" t="s">
        <v>32</v>
      </c>
      <c r="H994" t="s">
        <v>64</v>
      </c>
      <c r="I994" t="s">
        <v>3239</v>
      </c>
      <c r="J994" t="s">
        <v>1400</v>
      </c>
      <c r="K994">
        <v>7310</v>
      </c>
      <c r="L994">
        <v>250</v>
      </c>
      <c r="M994">
        <f>Customers_Table[[#This Row],[Quantity Ordered]]*Customers_Table[[#This Row],[Sales Price (Per unit)]]</f>
        <v>500</v>
      </c>
      <c r="N994" t="s">
        <v>3240</v>
      </c>
    </row>
    <row r="995" spans="1:14" x14ac:dyDescent="0.2">
      <c r="A995" t="s">
        <v>799</v>
      </c>
      <c r="B995" t="s">
        <v>998</v>
      </c>
      <c r="C995">
        <v>2225</v>
      </c>
      <c r="D995" t="s">
        <v>92</v>
      </c>
      <c r="E995" s="1">
        <v>45395</v>
      </c>
      <c r="F995" s="6">
        <v>1</v>
      </c>
      <c r="G995" t="s">
        <v>32</v>
      </c>
      <c r="H995" t="s">
        <v>33</v>
      </c>
      <c r="I995" t="s">
        <v>3241</v>
      </c>
      <c r="J995" t="s">
        <v>1238</v>
      </c>
      <c r="K995">
        <v>6725</v>
      </c>
      <c r="L995">
        <v>600</v>
      </c>
      <c r="M995">
        <f>Customers_Table[[#This Row],[Quantity Ordered]]*Customers_Table[[#This Row],[Sales Price (Per unit)]]</f>
        <v>600</v>
      </c>
      <c r="N995" t="s">
        <v>3242</v>
      </c>
    </row>
    <row r="996" spans="1:14" x14ac:dyDescent="0.2">
      <c r="A996" t="s">
        <v>1227</v>
      </c>
      <c r="B996" t="s">
        <v>1215</v>
      </c>
      <c r="C996">
        <v>2226</v>
      </c>
      <c r="D996" t="s">
        <v>92</v>
      </c>
      <c r="E996" s="1">
        <v>45319</v>
      </c>
      <c r="F996" s="6">
        <v>1</v>
      </c>
      <c r="G996" t="s">
        <v>32</v>
      </c>
      <c r="H996" t="s">
        <v>43</v>
      </c>
      <c r="I996" t="s">
        <v>3243</v>
      </c>
      <c r="J996" t="s">
        <v>1299</v>
      </c>
      <c r="K996">
        <v>2500</v>
      </c>
      <c r="L996">
        <v>600</v>
      </c>
      <c r="M996">
        <f>Customers_Table[[#This Row],[Quantity Ordered]]*Customers_Table[[#This Row],[Sales Price (Per unit)]]</f>
        <v>600</v>
      </c>
      <c r="N996" t="s">
        <v>3244</v>
      </c>
    </row>
    <row r="997" spans="1:14" x14ac:dyDescent="0.2">
      <c r="A997" t="s">
        <v>465</v>
      </c>
      <c r="B997" t="s">
        <v>1228</v>
      </c>
      <c r="C997">
        <v>2227</v>
      </c>
      <c r="D997" t="s">
        <v>76</v>
      </c>
      <c r="E997" s="1">
        <v>45640</v>
      </c>
      <c r="F997" s="6">
        <v>3</v>
      </c>
      <c r="G997" s="1" t="s">
        <v>52</v>
      </c>
      <c r="H997" t="s">
        <v>53</v>
      </c>
      <c r="I997" t="s">
        <v>3245</v>
      </c>
      <c r="J997" t="s">
        <v>1268</v>
      </c>
      <c r="K997">
        <v>4870</v>
      </c>
      <c r="L997">
        <v>1200</v>
      </c>
      <c r="M997">
        <f>Customers_Table[[#This Row],[Quantity Ordered]]*Customers_Table[[#This Row],[Sales Price (Per unit)]]</f>
        <v>3600</v>
      </c>
      <c r="N997" t="s">
        <v>3246</v>
      </c>
    </row>
    <row r="998" spans="1:14" x14ac:dyDescent="0.2">
      <c r="A998" t="s">
        <v>1229</v>
      </c>
      <c r="B998" t="s">
        <v>1152</v>
      </c>
      <c r="C998">
        <v>2228</v>
      </c>
      <c r="D998" t="s">
        <v>92</v>
      </c>
      <c r="E998" s="1">
        <v>45386</v>
      </c>
      <c r="F998" s="6">
        <v>1</v>
      </c>
      <c r="G998" t="s">
        <v>71</v>
      </c>
      <c r="H998" t="s">
        <v>47</v>
      </c>
      <c r="I998" t="s">
        <v>3247</v>
      </c>
      <c r="J998" t="s">
        <v>1275</v>
      </c>
      <c r="K998">
        <v>3000</v>
      </c>
      <c r="L998">
        <v>600</v>
      </c>
      <c r="M998">
        <f>Customers_Table[[#This Row],[Quantity Ordered]]*Customers_Table[[#This Row],[Sales Price (Per unit)]]</f>
        <v>600</v>
      </c>
      <c r="N998" t="s">
        <v>3248</v>
      </c>
    </row>
    <row r="999" spans="1:14" x14ac:dyDescent="0.2">
      <c r="A999" t="s">
        <v>1230</v>
      </c>
      <c r="B999" t="s">
        <v>551</v>
      </c>
      <c r="C999">
        <v>2229</v>
      </c>
      <c r="D999" t="s">
        <v>76</v>
      </c>
      <c r="E999" s="1">
        <v>45467</v>
      </c>
      <c r="F999" s="6">
        <v>3</v>
      </c>
      <c r="G999" s="1" t="s">
        <v>52</v>
      </c>
      <c r="H999" t="s">
        <v>33</v>
      </c>
      <c r="I999" t="s">
        <v>3249</v>
      </c>
      <c r="J999" t="s">
        <v>1238</v>
      </c>
      <c r="K999">
        <v>6725</v>
      </c>
      <c r="L999">
        <v>1200</v>
      </c>
      <c r="M999">
        <f>Customers_Table[[#This Row],[Quantity Ordered]]*Customers_Table[[#This Row],[Sales Price (Per unit)]]</f>
        <v>3600</v>
      </c>
      <c r="N999" t="s">
        <v>3250</v>
      </c>
    </row>
    <row r="1000" spans="1:14" x14ac:dyDescent="0.2">
      <c r="A1000" t="s">
        <v>1171</v>
      </c>
      <c r="B1000" t="s">
        <v>372</v>
      </c>
      <c r="C1000">
        <v>2230</v>
      </c>
      <c r="D1000" t="s">
        <v>76</v>
      </c>
      <c r="E1000" s="1">
        <v>45423</v>
      </c>
      <c r="F1000" s="6">
        <v>2</v>
      </c>
      <c r="G1000" s="1" t="s">
        <v>52</v>
      </c>
      <c r="H1000" t="s">
        <v>57</v>
      </c>
      <c r="I1000" t="s">
        <v>3251</v>
      </c>
      <c r="J1000" t="s">
        <v>1253</v>
      </c>
      <c r="K1000">
        <v>5290</v>
      </c>
      <c r="L1000">
        <v>1200</v>
      </c>
      <c r="M1000">
        <f>Customers_Table[[#This Row],[Quantity Ordered]]*Customers_Table[[#This Row],[Sales Price (Per unit)]]</f>
        <v>2400</v>
      </c>
      <c r="N1000" t="s">
        <v>3252</v>
      </c>
    </row>
    <row r="1001" spans="1:14" x14ac:dyDescent="0.2">
      <c r="A1001" t="s">
        <v>1231</v>
      </c>
      <c r="B1001" t="s">
        <v>1023</v>
      </c>
      <c r="C1001">
        <v>2231</v>
      </c>
      <c r="D1001" t="s">
        <v>51</v>
      </c>
      <c r="E1001" s="1">
        <v>45300</v>
      </c>
      <c r="F1001" s="6">
        <v>1</v>
      </c>
      <c r="G1001" t="s">
        <v>32</v>
      </c>
      <c r="H1001" t="s">
        <v>57</v>
      </c>
      <c r="I1001" t="s">
        <v>3253</v>
      </c>
      <c r="J1001" t="s">
        <v>1253</v>
      </c>
      <c r="K1001">
        <v>5290</v>
      </c>
      <c r="L1001">
        <v>250</v>
      </c>
      <c r="M1001">
        <f>Customers_Table[[#This Row],[Quantity Ordered]]*Customers_Table[[#This Row],[Sales Price (Per unit)]]</f>
        <v>250</v>
      </c>
      <c r="N1001" t="s">
        <v>3254</v>
      </c>
    </row>
    <row r="1002" spans="1:14" x14ac:dyDescent="0.2">
      <c r="E1002" s="8"/>
      <c r="F1002" s="6"/>
      <c r="L1002">
        <f>SUM(Customers_Table[Sales Price (Per unit)])</f>
        <v>633500</v>
      </c>
      <c r="M1002">
        <f>SUM(Customers_Table[[Sale Price ]])</f>
        <v>1304750</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1A03-C173-DB4B-8AA6-8E85784EAAF7}">
  <dimension ref="A1:AA1005"/>
  <sheetViews>
    <sheetView tabSelected="1" zoomScale="193" zoomScaleNormal="193" workbookViewId="0">
      <selection activeCell="B13" sqref="B13"/>
    </sheetView>
  </sheetViews>
  <sheetFormatPr baseColWidth="10" defaultRowHeight="15" x14ac:dyDescent="0.2"/>
  <cols>
    <col min="1" max="1" width="10.1640625" bestFit="1" customWidth="1"/>
    <col min="2" max="2" width="19.5" bestFit="1" customWidth="1"/>
    <col min="3" max="3" width="18" bestFit="1" customWidth="1"/>
    <col min="4" max="4" width="19.83203125" bestFit="1" customWidth="1"/>
    <col min="5" max="5" width="13.1640625" bestFit="1" customWidth="1"/>
    <col min="6" max="6" width="20.5" bestFit="1" customWidth="1"/>
    <col min="7" max="7" width="12.1640625" bestFit="1" customWidth="1"/>
    <col min="8" max="8" width="17.33203125" bestFit="1" customWidth="1"/>
    <col min="9" max="9" width="13.1640625" bestFit="1" customWidth="1"/>
    <col min="10" max="10" width="7.6640625" bestFit="1" customWidth="1"/>
    <col min="11" max="11" width="9.83203125" bestFit="1" customWidth="1"/>
    <col min="12" max="12" width="23.1640625" bestFit="1" customWidth="1"/>
    <col min="13" max="13" width="11.5" bestFit="1" customWidth="1"/>
    <col min="14" max="14" width="19.1640625" bestFit="1" customWidth="1"/>
    <col min="15" max="15" width="12.5" bestFit="1" customWidth="1"/>
    <col min="16" max="16" width="14.6640625" bestFit="1" customWidth="1"/>
    <col min="17" max="17" width="20.5" bestFit="1" customWidth="1"/>
    <col min="18" max="18" width="13.6640625" bestFit="1" customWidth="1"/>
    <col min="19" max="19" width="19" bestFit="1" customWidth="1"/>
    <col min="20" max="20" width="14.6640625" customWidth="1"/>
    <col min="21" max="21" width="9.1640625" bestFit="1" customWidth="1"/>
    <col min="22" max="22" width="18.33203125" bestFit="1" customWidth="1"/>
    <col min="23" max="23" width="13.1640625" bestFit="1" customWidth="1"/>
    <col min="24" max="24" width="12.6640625" bestFit="1" customWidth="1"/>
    <col min="25" max="25" width="19.5" bestFit="1" customWidth="1"/>
    <col min="26" max="26" width="13" bestFit="1" customWidth="1"/>
    <col min="27" max="27" width="14" bestFit="1" customWidth="1"/>
    <col min="28" max="28" width="20.5" bestFit="1" customWidth="1"/>
    <col min="29" max="29" width="13.6640625" bestFit="1" customWidth="1"/>
    <col min="30" max="30" width="19" bestFit="1" customWidth="1"/>
    <col min="31" max="31" width="14.6640625" bestFit="1" customWidth="1"/>
    <col min="32" max="32" width="9.1640625" bestFit="1" customWidth="1"/>
    <col min="33" max="33" width="18.33203125" bestFit="1" customWidth="1"/>
    <col min="34" max="34" width="13.1640625" bestFit="1" customWidth="1"/>
    <col min="35" max="35" width="12.6640625" bestFit="1" customWidth="1"/>
    <col min="36" max="36" width="19.5" bestFit="1" customWidth="1"/>
    <col min="37" max="37" width="13" bestFit="1" customWidth="1"/>
    <col min="38" max="38" width="14" bestFit="1" customWidth="1"/>
  </cols>
  <sheetData>
    <row r="1" spans="1:27" x14ac:dyDescent="0.2">
      <c r="A1" t="s">
        <v>15</v>
      </c>
      <c r="B1" t="s">
        <v>16</v>
      </c>
      <c r="C1" t="s">
        <v>3275</v>
      </c>
      <c r="D1" t="s">
        <v>17</v>
      </c>
      <c r="E1" t="s">
        <v>18</v>
      </c>
      <c r="F1" t="s">
        <v>19</v>
      </c>
      <c r="G1" t="s">
        <v>20</v>
      </c>
      <c r="H1" t="s">
        <v>21</v>
      </c>
      <c r="I1" t="s">
        <v>22</v>
      </c>
      <c r="J1" t="s">
        <v>23</v>
      </c>
      <c r="K1" t="s">
        <v>24</v>
      </c>
      <c r="L1" t="s">
        <v>25</v>
      </c>
      <c r="M1" t="s">
        <v>26</v>
      </c>
      <c r="N1" t="s">
        <v>27</v>
      </c>
      <c r="O1" t="s">
        <v>28</v>
      </c>
      <c r="P1" t="s">
        <v>3268</v>
      </c>
      <c r="Q1" t="s">
        <v>3269</v>
      </c>
      <c r="R1" t="s">
        <v>3270</v>
      </c>
      <c r="S1" t="s">
        <v>3271</v>
      </c>
      <c r="T1" t="s">
        <v>3272</v>
      </c>
      <c r="U1" t="s">
        <v>3273</v>
      </c>
      <c r="V1" t="s">
        <v>1232</v>
      </c>
      <c r="W1" t="s">
        <v>1233</v>
      </c>
      <c r="X1" t="s">
        <v>1234</v>
      </c>
      <c r="Y1" t="s">
        <v>1235</v>
      </c>
      <c r="Z1" t="s">
        <v>3274</v>
      </c>
      <c r="AA1" t="s">
        <v>1236</v>
      </c>
    </row>
    <row r="2" spans="1:27" x14ac:dyDescent="0.2">
      <c r="A2">
        <v>3001</v>
      </c>
      <c r="B2" t="s">
        <v>29</v>
      </c>
      <c r="C2" s="11" t="str">
        <f>_xlfn.CONCAT(Merge[[#This Row],[Customer First Name]]," ",Merge[[#This Row],[Customer Last Name]])</f>
        <v>Lewis Hughes</v>
      </c>
      <c r="D2" t="s">
        <v>30</v>
      </c>
      <c r="E2">
        <v>1234</v>
      </c>
      <c r="F2" t="s">
        <v>31</v>
      </c>
      <c r="G2" s="1">
        <v>45418</v>
      </c>
      <c r="H2">
        <v>3</v>
      </c>
      <c r="I2" t="s">
        <v>32</v>
      </c>
      <c r="J2" t="s">
        <v>33</v>
      </c>
      <c r="K2">
        <v>0.1</v>
      </c>
      <c r="L2">
        <v>56.400000000000006</v>
      </c>
      <c r="M2">
        <v>564</v>
      </c>
      <c r="N2">
        <v>507.6</v>
      </c>
      <c r="O2" t="s">
        <v>34</v>
      </c>
      <c r="P2">
        <v>1234</v>
      </c>
      <c r="Q2" t="s">
        <v>31</v>
      </c>
      <c r="R2" s="1">
        <v>45418</v>
      </c>
      <c r="S2">
        <v>1</v>
      </c>
      <c r="T2" t="s">
        <v>32</v>
      </c>
      <c r="U2" t="s">
        <v>33</v>
      </c>
      <c r="V2" t="s">
        <v>1237</v>
      </c>
      <c r="W2" t="s">
        <v>1238</v>
      </c>
      <c r="X2">
        <v>6725</v>
      </c>
      <c r="Y2">
        <v>250</v>
      </c>
      <c r="Z2">
        <v>250</v>
      </c>
      <c r="AA2" t="s">
        <v>1239</v>
      </c>
    </row>
    <row r="3" spans="1:27" x14ac:dyDescent="0.2">
      <c r="A3">
        <v>3002</v>
      </c>
      <c r="B3" t="s">
        <v>35</v>
      </c>
      <c r="C3" t="str">
        <f>_xlfn.CONCAT(Merge[[#This Row],[Customer First Name]]," ",Merge[[#This Row],[Customer Last Name]])</f>
        <v>Ali Gomez</v>
      </c>
      <c r="D3" t="s">
        <v>36</v>
      </c>
      <c r="E3">
        <v>1235</v>
      </c>
      <c r="F3" t="s">
        <v>37</v>
      </c>
      <c r="G3" s="1">
        <v>45491</v>
      </c>
      <c r="H3">
        <v>3</v>
      </c>
      <c r="I3" t="s">
        <v>38</v>
      </c>
      <c r="J3" t="s">
        <v>39</v>
      </c>
      <c r="K3">
        <v>0.3</v>
      </c>
      <c r="L3">
        <v>233.1</v>
      </c>
      <c r="M3">
        <v>777</v>
      </c>
      <c r="N3">
        <v>543.9</v>
      </c>
      <c r="O3" t="s">
        <v>34</v>
      </c>
      <c r="P3">
        <v>1235</v>
      </c>
      <c r="Q3" t="s">
        <v>37</v>
      </c>
      <c r="R3" s="1">
        <v>45491</v>
      </c>
      <c r="S3">
        <v>3</v>
      </c>
      <c r="T3" t="s">
        <v>38</v>
      </c>
      <c r="U3" t="s">
        <v>39</v>
      </c>
      <c r="V3" t="s">
        <v>1240</v>
      </c>
      <c r="W3" t="s">
        <v>1241</v>
      </c>
      <c r="X3">
        <v>2600</v>
      </c>
      <c r="Y3">
        <v>800</v>
      </c>
      <c r="Z3">
        <v>2400</v>
      </c>
      <c r="AA3" t="s">
        <v>1242</v>
      </c>
    </row>
    <row r="4" spans="1:27" x14ac:dyDescent="0.2">
      <c r="A4">
        <v>3003</v>
      </c>
      <c r="B4" t="s">
        <v>40</v>
      </c>
      <c r="C4" t="str">
        <f>_xlfn.CONCAT(Merge[[#This Row],[Customer First Name]]," ",Merge[[#This Row],[Customer Last Name]])</f>
        <v>Mila Beck</v>
      </c>
      <c r="D4" t="s">
        <v>41</v>
      </c>
      <c r="E4">
        <v>1236</v>
      </c>
      <c r="F4" t="s">
        <v>42</v>
      </c>
      <c r="G4" s="1">
        <v>45487</v>
      </c>
      <c r="H4">
        <v>1</v>
      </c>
      <c r="I4" t="s">
        <v>32</v>
      </c>
      <c r="J4" t="s">
        <v>43</v>
      </c>
      <c r="K4">
        <v>0.25</v>
      </c>
      <c r="L4">
        <v>457.25</v>
      </c>
      <c r="M4">
        <v>1829</v>
      </c>
      <c r="N4">
        <v>1371.75</v>
      </c>
      <c r="O4" t="s">
        <v>44</v>
      </c>
      <c r="P4">
        <v>1236</v>
      </c>
      <c r="Q4" t="s">
        <v>42</v>
      </c>
      <c r="R4" s="1">
        <v>45487</v>
      </c>
      <c r="S4">
        <v>2</v>
      </c>
      <c r="T4" t="s">
        <v>32</v>
      </c>
      <c r="U4" t="s">
        <v>43</v>
      </c>
      <c r="V4" t="s">
        <v>1243</v>
      </c>
      <c r="W4" t="s">
        <v>1244</v>
      </c>
      <c r="X4">
        <v>2300</v>
      </c>
      <c r="Y4">
        <v>300</v>
      </c>
      <c r="Z4">
        <v>600</v>
      </c>
      <c r="AA4" t="s">
        <v>1245</v>
      </c>
    </row>
    <row r="5" spans="1:27" x14ac:dyDescent="0.2">
      <c r="A5">
        <v>3004</v>
      </c>
      <c r="B5" t="s">
        <v>45</v>
      </c>
      <c r="C5" t="str">
        <f>_xlfn.CONCAT(Merge[[#This Row],[Customer First Name]]," ",Merge[[#This Row],[Customer Last Name]])</f>
        <v>Ryleigh Juarez</v>
      </c>
      <c r="D5" t="s">
        <v>46</v>
      </c>
      <c r="E5">
        <v>1237</v>
      </c>
      <c r="F5" t="s">
        <v>42</v>
      </c>
      <c r="G5" s="1">
        <v>45469</v>
      </c>
      <c r="H5">
        <v>2</v>
      </c>
      <c r="I5" t="s">
        <v>32</v>
      </c>
      <c r="J5" t="s">
        <v>47</v>
      </c>
      <c r="K5">
        <v>0.25</v>
      </c>
      <c r="L5">
        <v>56.75</v>
      </c>
      <c r="M5">
        <v>227</v>
      </c>
      <c r="N5">
        <v>170.25</v>
      </c>
      <c r="O5" t="s">
        <v>48</v>
      </c>
      <c r="P5">
        <v>1237</v>
      </c>
      <c r="Q5" t="s">
        <v>42</v>
      </c>
      <c r="R5" s="1">
        <v>45469</v>
      </c>
      <c r="S5">
        <v>3</v>
      </c>
      <c r="T5" t="s">
        <v>32</v>
      </c>
      <c r="U5" t="s">
        <v>47</v>
      </c>
      <c r="V5" t="s">
        <v>1246</v>
      </c>
      <c r="W5" t="s">
        <v>1247</v>
      </c>
      <c r="X5">
        <v>3350</v>
      </c>
      <c r="Y5">
        <v>300</v>
      </c>
      <c r="Z5">
        <v>900</v>
      </c>
      <c r="AA5" t="s">
        <v>1248</v>
      </c>
    </row>
    <row r="6" spans="1:27" x14ac:dyDescent="0.2">
      <c r="A6">
        <v>3005</v>
      </c>
      <c r="B6" t="s">
        <v>49</v>
      </c>
      <c r="C6" t="str">
        <f>_xlfn.CONCAT(Merge[[#This Row],[Customer First Name]]," ",Merge[[#This Row],[Customer Last Name]])</f>
        <v>Leonidas Preston</v>
      </c>
      <c r="D6" t="s">
        <v>50</v>
      </c>
      <c r="E6">
        <v>1238</v>
      </c>
      <c r="F6" t="s">
        <v>51</v>
      </c>
      <c r="G6" s="1">
        <v>45624</v>
      </c>
      <c r="H6">
        <v>1</v>
      </c>
      <c r="I6" t="s">
        <v>52</v>
      </c>
      <c r="J6" t="s">
        <v>53</v>
      </c>
      <c r="K6">
        <v>0.2</v>
      </c>
      <c r="L6">
        <v>271</v>
      </c>
      <c r="M6">
        <v>1355</v>
      </c>
      <c r="N6">
        <v>1084</v>
      </c>
      <c r="O6" t="s">
        <v>54</v>
      </c>
      <c r="P6">
        <v>1238</v>
      </c>
      <c r="Q6" t="s">
        <v>51</v>
      </c>
      <c r="R6" s="1">
        <v>45624</v>
      </c>
      <c r="S6">
        <v>2</v>
      </c>
      <c r="T6" t="s">
        <v>52</v>
      </c>
      <c r="U6" t="s">
        <v>53</v>
      </c>
      <c r="V6" t="s">
        <v>1249</v>
      </c>
      <c r="W6" t="s">
        <v>1250</v>
      </c>
      <c r="X6">
        <v>4217</v>
      </c>
      <c r="Y6">
        <v>250</v>
      </c>
      <c r="Z6">
        <v>500</v>
      </c>
      <c r="AA6" t="s">
        <v>1251</v>
      </c>
    </row>
    <row r="7" spans="1:27" x14ac:dyDescent="0.2">
      <c r="A7">
        <v>3006</v>
      </c>
      <c r="B7" t="s">
        <v>55</v>
      </c>
      <c r="C7" t="str">
        <f>_xlfn.CONCAT(Merge[[#This Row],[Customer First Name]]," ",Merge[[#This Row],[Customer Last Name]])</f>
        <v>Hayden Jacobs</v>
      </c>
      <c r="D7" t="s">
        <v>56</v>
      </c>
      <c r="E7">
        <v>1239</v>
      </c>
      <c r="F7" t="s">
        <v>37</v>
      </c>
      <c r="G7" s="1">
        <v>45449</v>
      </c>
      <c r="H7">
        <v>1</v>
      </c>
      <c r="I7" t="s">
        <v>52</v>
      </c>
      <c r="J7" t="s">
        <v>57</v>
      </c>
      <c r="K7">
        <v>0.3</v>
      </c>
      <c r="L7">
        <v>335.4</v>
      </c>
      <c r="M7">
        <v>1118</v>
      </c>
      <c r="N7">
        <v>782.6</v>
      </c>
      <c r="O7" t="s">
        <v>48</v>
      </c>
      <c r="P7">
        <v>1239</v>
      </c>
      <c r="Q7" t="s">
        <v>37</v>
      </c>
      <c r="R7" s="1">
        <v>45449</v>
      </c>
      <c r="S7">
        <v>1</v>
      </c>
      <c r="T7" t="s">
        <v>52</v>
      </c>
      <c r="U7" t="s">
        <v>57</v>
      </c>
      <c r="V7" t="s">
        <v>1252</v>
      </c>
      <c r="W7" t="s">
        <v>1253</v>
      </c>
      <c r="X7">
        <v>5290</v>
      </c>
      <c r="Y7">
        <v>800</v>
      </c>
      <c r="Z7">
        <v>800</v>
      </c>
      <c r="AA7" t="s">
        <v>1254</v>
      </c>
    </row>
    <row r="8" spans="1:27" x14ac:dyDescent="0.2">
      <c r="A8">
        <v>3007</v>
      </c>
      <c r="B8" t="s">
        <v>58</v>
      </c>
      <c r="C8" t="str">
        <f>_xlfn.CONCAT(Merge[[#This Row],[Customer First Name]]," ",Merge[[#This Row],[Customer Last Name]])</f>
        <v>Brooke Knox</v>
      </c>
      <c r="D8" t="s">
        <v>59</v>
      </c>
      <c r="E8">
        <v>1240</v>
      </c>
      <c r="F8" t="s">
        <v>51</v>
      </c>
      <c r="G8" s="1">
        <v>45369</v>
      </c>
      <c r="H8">
        <v>2</v>
      </c>
      <c r="I8" t="s">
        <v>52</v>
      </c>
      <c r="J8" t="s">
        <v>47</v>
      </c>
      <c r="K8">
        <v>0.2</v>
      </c>
      <c r="L8">
        <v>223</v>
      </c>
      <c r="M8">
        <v>1115</v>
      </c>
      <c r="N8">
        <v>892</v>
      </c>
      <c r="O8" t="s">
        <v>34</v>
      </c>
      <c r="P8">
        <v>1240</v>
      </c>
      <c r="Q8" t="s">
        <v>51</v>
      </c>
      <c r="R8" s="1">
        <v>45369</v>
      </c>
      <c r="S8">
        <v>1</v>
      </c>
      <c r="T8" t="s">
        <v>52</v>
      </c>
      <c r="U8" t="s">
        <v>47</v>
      </c>
      <c r="V8" t="s">
        <v>1255</v>
      </c>
      <c r="W8" t="s">
        <v>1256</v>
      </c>
      <c r="X8">
        <v>3220</v>
      </c>
      <c r="Y8">
        <v>250</v>
      </c>
      <c r="Z8">
        <v>250</v>
      </c>
      <c r="AA8" t="s">
        <v>1257</v>
      </c>
    </row>
    <row r="9" spans="1:27" x14ac:dyDescent="0.2">
      <c r="A9">
        <v>3008</v>
      </c>
      <c r="B9" t="s">
        <v>60</v>
      </c>
      <c r="C9" t="str">
        <f>_xlfn.CONCAT(Merge[[#This Row],[Customer First Name]]," ",Merge[[#This Row],[Customer Last Name]])</f>
        <v>Diana Rice</v>
      </c>
      <c r="D9" t="s">
        <v>61</v>
      </c>
      <c r="E9">
        <v>1241</v>
      </c>
      <c r="F9" t="s">
        <v>37</v>
      </c>
      <c r="G9" s="1">
        <v>45591</v>
      </c>
      <c r="H9">
        <v>2</v>
      </c>
      <c r="I9" t="s">
        <v>32</v>
      </c>
      <c r="J9" t="s">
        <v>33</v>
      </c>
      <c r="K9">
        <v>0.3</v>
      </c>
      <c r="L9">
        <v>357.9</v>
      </c>
      <c r="M9">
        <v>1193</v>
      </c>
      <c r="N9">
        <v>835.1</v>
      </c>
      <c r="O9" t="s">
        <v>54</v>
      </c>
      <c r="P9">
        <v>1241</v>
      </c>
      <c r="Q9" t="s">
        <v>37</v>
      </c>
      <c r="R9" s="1">
        <v>45591</v>
      </c>
      <c r="S9">
        <v>2</v>
      </c>
      <c r="T9" t="s">
        <v>32</v>
      </c>
      <c r="U9" t="s">
        <v>33</v>
      </c>
      <c r="V9" t="s">
        <v>1258</v>
      </c>
      <c r="W9" t="s">
        <v>1259</v>
      </c>
      <c r="X9">
        <v>6160</v>
      </c>
      <c r="Y9">
        <v>800</v>
      </c>
      <c r="Z9">
        <v>1600</v>
      </c>
      <c r="AA9" t="s">
        <v>1260</v>
      </c>
    </row>
    <row r="10" spans="1:27" x14ac:dyDescent="0.2">
      <c r="A10">
        <v>3009</v>
      </c>
      <c r="B10" t="s">
        <v>62</v>
      </c>
      <c r="C10" t="str">
        <f>_xlfn.CONCAT(Merge[[#This Row],[Customer First Name]]," ",Merge[[#This Row],[Customer Last Name]])</f>
        <v>Rosalie Valencia</v>
      </c>
      <c r="D10" t="s">
        <v>63</v>
      </c>
      <c r="E10">
        <v>1242</v>
      </c>
      <c r="F10" t="s">
        <v>42</v>
      </c>
      <c r="G10" s="1">
        <v>45330</v>
      </c>
      <c r="H10">
        <v>2</v>
      </c>
      <c r="I10" t="s">
        <v>52</v>
      </c>
      <c r="J10" t="s">
        <v>64</v>
      </c>
      <c r="K10">
        <v>0.25</v>
      </c>
      <c r="L10">
        <v>353.25</v>
      </c>
      <c r="M10">
        <v>1413</v>
      </c>
      <c r="N10">
        <v>1059.75</v>
      </c>
      <c r="O10" t="s">
        <v>48</v>
      </c>
      <c r="P10">
        <v>1242</v>
      </c>
      <c r="Q10" t="s">
        <v>42</v>
      </c>
      <c r="R10" s="1">
        <v>45330</v>
      </c>
      <c r="S10">
        <v>3</v>
      </c>
      <c r="T10" t="s">
        <v>52</v>
      </c>
      <c r="U10" t="s">
        <v>64</v>
      </c>
      <c r="V10" t="s">
        <v>1261</v>
      </c>
      <c r="W10" t="s">
        <v>1262</v>
      </c>
      <c r="X10">
        <v>7250</v>
      </c>
      <c r="Y10">
        <v>300</v>
      </c>
      <c r="Z10">
        <v>900</v>
      </c>
      <c r="AA10" t="s">
        <v>1263</v>
      </c>
    </row>
    <row r="11" spans="1:27" x14ac:dyDescent="0.2">
      <c r="A11">
        <v>3010</v>
      </c>
      <c r="B11" t="s">
        <v>65</v>
      </c>
      <c r="C11" t="str">
        <f>_xlfn.CONCAT(Merge[[#This Row],[Customer First Name]]," ",Merge[[#This Row],[Customer Last Name]])</f>
        <v>Andre Pierce</v>
      </c>
      <c r="D11" t="s">
        <v>66</v>
      </c>
      <c r="E11">
        <v>1243</v>
      </c>
      <c r="F11" t="s">
        <v>37</v>
      </c>
      <c r="G11" s="1">
        <v>45635</v>
      </c>
      <c r="H11">
        <v>2</v>
      </c>
      <c r="I11" t="s">
        <v>52</v>
      </c>
      <c r="J11" t="s">
        <v>64</v>
      </c>
      <c r="K11">
        <v>0.3</v>
      </c>
      <c r="L11">
        <v>319.8</v>
      </c>
      <c r="M11">
        <v>1066</v>
      </c>
      <c r="N11">
        <v>746.2</v>
      </c>
      <c r="O11" t="s">
        <v>44</v>
      </c>
      <c r="P11">
        <v>1243</v>
      </c>
      <c r="Q11" t="s">
        <v>37</v>
      </c>
      <c r="R11" s="1">
        <v>45635</v>
      </c>
      <c r="S11">
        <v>2</v>
      </c>
      <c r="T11" t="s">
        <v>52</v>
      </c>
      <c r="U11" t="s">
        <v>64</v>
      </c>
      <c r="V11" t="s">
        <v>1264</v>
      </c>
      <c r="W11" t="s">
        <v>1265</v>
      </c>
      <c r="X11">
        <v>7000</v>
      </c>
      <c r="Y11">
        <v>800</v>
      </c>
      <c r="Z11">
        <v>1600</v>
      </c>
      <c r="AA11" t="s">
        <v>1266</v>
      </c>
    </row>
    <row r="12" spans="1:27" x14ac:dyDescent="0.2">
      <c r="A12">
        <v>3011</v>
      </c>
      <c r="B12" t="s">
        <v>67</v>
      </c>
      <c r="C12" t="str">
        <f>_xlfn.CONCAT(Merge[[#This Row],[Customer First Name]]," ",Merge[[#This Row],[Customer Last Name]])</f>
        <v>Walter Olson</v>
      </c>
      <c r="D12" t="s">
        <v>68</v>
      </c>
      <c r="E12">
        <v>1244</v>
      </c>
      <c r="F12" t="s">
        <v>31</v>
      </c>
      <c r="G12" s="1">
        <v>45414</v>
      </c>
      <c r="H12">
        <v>1</v>
      </c>
      <c r="I12" t="s">
        <v>32</v>
      </c>
      <c r="J12" t="s">
        <v>53</v>
      </c>
      <c r="K12">
        <v>0.1</v>
      </c>
      <c r="L12">
        <v>95.300000000000011</v>
      </c>
      <c r="M12">
        <v>953</v>
      </c>
      <c r="N12">
        <v>857.7</v>
      </c>
      <c r="O12" t="s">
        <v>54</v>
      </c>
      <c r="P12">
        <v>1244</v>
      </c>
      <c r="Q12" t="s">
        <v>31</v>
      </c>
      <c r="R12" s="1">
        <v>45414</v>
      </c>
      <c r="S12">
        <v>1</v>
      </c>
      <c r="T12" t="s">
        <v>32</v>
      </c>
      <c r="U12" t="s">
        <v>53</v>
      </c>
      <c r="V12" t="s">
        <v>1267</v>
      </c>
      <c r="W12" t="s">
        <v>1268</v>
      </c>
      <c r="X12">
        <v>4870</v>
      </c>
      <c r="Y12">
        <v>250</v>
      </c>
      <c r="Z12">
        <v>250</v>
      </c>
      <c r="AA12" t="s">
        <v>1269</v>
      </c>
    </row>
    <row r="13" spans="1:27" x14ac:dyDescent="0.2">
      <c r="A13">
        <v>3012</v>
      </c>
      <c r="B13" t="s">
        <v>69</v>
      </c>
      <c r="C13" t="str">
        <f>_xlfn.CONCAT(Merge[[#This Row],[Customer First Name]]," ",Merge[[#This Row],[Customer Last Name]])</f>
        <v>Nayeli Malone</v>
      </c>
      <c r="D13" t="s">
        <v>70</v>
      </c>
      <c r="E13">
        <v>1245</v>
      </c>
      <c r="F13" t="s">
        <v>42</v>
      </c>
      <c r="G13" s="1">
        <v>45316</v>
      </c>
      <c r="H13">
        <v>3</v>
      </c>
      <c r="I13" t="s">
        <v>71</v>
      </c>
      <c r="J13" t="s">
        <v>57</v>
      </c>
      <c r="K13">
        <v>0.25</v>
      </c>
      <c r="L13">
        <v>406.75</v>
      </c>
      <c r="M13">
        <v>1627</v>
      </c>
      <c r="N13">
        <v>1220.25</v>
      </c>
      <c r="O13" t="s">
        <v>44</v>
      </c>
      <c r="P13">
        <v>1245</v>
      </c>
      <c r="Q13" t="s">
        <v>42</v>
      </c>
      <c r="R13" s="1">
        <v>45316</v>
      </c>
      <c r="S13">
        <v>1</v>
      </c>
      <c r="T13" t="s">
        <v>71</v>
      </c>
      <c r="U13" t="s">
        <v>57</v>
      </c>
      <c r="V13" t="s">
        <v>1270</v>
      </c>
      <c r="W13" t="s">
        <v>1095</v>
      </c>
      <c r="X13">
        <v>5000</v>
      </c>
      <c r="Y13">
        <v>300</v>
      </c>
      <c r="Z13">
        <v>300</v>
      </c>
      <c r="AA13" t="s">
        <v>1271</v>
      </c>
    </row>
    <row r="14" spans="1:27" x14ac:dyDescent="0.2">
      <c r="A14">
        <v>3013</v>
      </c>
      <c r="B14" t="s">
        <v>72</v>
      </c>
      <c r="C14" t="str">
        <f>_xlfn.CONCAT(Merge[[#This Row],[Customer First Name]]," ",Merge[[#This Row],[Customer Last Name]])</f>
        <v>Thea Holt</v>
      </c>
      <c r="D14" t="s">
        <v>73</v>
      </c>
      <c r="E14">
        <v>1246</v>
      </c>
      <c r="F14" t="s">
        <v>42</v>
      </c>
      <c r="G14" s="1">
        <v>45486</v>
      </c>
      <c r="H14">
        <v>3</v>
      </c>
      <c r="I14" t="s">
        <v>52</v>
      </c>
      <c r="J14" t="s">
        <v>57</v>
      </c>
      <c r="K14">
        <v>0.25</v>
      </c>
      <c r="L14">
        <v>143.25</v>
      </c>
      <c r="M14">
        <v>573</v>
      </c>
      <c r="N14">
        <v>429.75</v>
      </c>
      <c r="O14" t="s">
        <v>44</v>
      </c>
      <c r="P14">
        <v>1246</v>
      </c>
      <c r="Q14" t="s">
        <v>42</v>
      </c>
      <c r="R14" s="1">
        <v>45486</v>
      </c>
      <c r="S14">
        <v>1</v>
      </c>
      <c r="T14" t="s">
        <v>52</v>
      </c>
      <c r="U14" t="s">
        <v>57</v>
      </c>
      <c r="V14" t="s">
        <v>1272</v>
      </c>
      <c r="W14" t="s">
        <v>1095</v>
      </c>
      <c r="X14">
        <v>5000</v>
      </c>
      <c r="Y14">
        <v>300</v>
      </c>
      <c r="Z14">
        <v>300</v>
      </c>
      <c r="AA14" t="s">
        <v>1273</v>
      </c>
    </row>
    <row r="15" spans="1:27" x14ac:dyDescent="0.2">
      <c r="A15">
        <v>3014</v>
      </c>
      <c r="B15" t="s">
        <v>74</v>
      </c>
      <c r="C15" t="str">
        <f>_xlfn.CONCAT(Merge[[#This Row],[Customer First Name]]," ",Merge[[#This Row],[Customer Last Name]])</f>
        <v>Devin Briggs</v>
      </c>
      <c r="D15" t="s">
        <v>75</v>
      </c>
      <c r="E15">
        <v>1247</v>
      </c>
      <c r="F15" t="s">
        <v>76</v>
      </c>
      <c r="G15" s="1">
        <v>45317</v>
      </c>
      <c r="H15">
        <v>2</v>
      </c>
      <c r="I15" t="s">
        <v>32</v>
      </c>
      <c r="J15" t="s">
        <v>47</v>
      </c>
      <c r="K15">
        <v>0.25</v>
      </c>
      <c r="L15">
        <v>67</v>
      </c>
      <c r="M15">
        <v>268</v>
      </c>
      <c r="N15">
        <v>201</v>
      </c>
      <c r="O15" t="s">
        <v>34</v>
      </c>
      <c r="P15">
        <v>1247</v>
      </c>
      <c r="Q15" t="s">
        <v>76</v>
      </c>
      <c r="R15" s="1">
        <v>45317</v>
      </c>
      <c r="S15">
        <v>3</v>
      </c>
      <c r="T15" t="s">
        <v>32</v>
      </c>
      <c r="U15" t="s">
        <v>47</v>
      </c>
      <c r="V15" t="s">
        <v>1274</v>
      </c>
      <c r="W15" t="s">
        <v>1275</v>
      </c>
      <c r="X15">
        <v>3000</v>
      </c>
      <c r="Y15">
        <v>1200</v>
      </c>
      <c r="Z15">
        <v>3600</v>
      </c>
      <c r="AA15" t="s">
        <v>1276</v>
      </c>
    </row>
    <row r="16" spans="1:27" x14ac:dyDescent="0.2">
      <c r="A16">
        <v>3015</v>
      </c>
      <c r="B16" t="s">
        <v>77</v>
      </c>
      <c r="C16" t="str">
        <f>_xlfn.CONCAT(Merge[[#This Row],[Customer First Name]]," ",Merge[[#This Row],[Customer Last Name]])</f>
        <v>Destiny Woodard</v>
      </c>
      <c r="D16" t="s">
        <v>78</v>
      </c>
      <c r="E16">
        <v>1248</v>
      </c>
      <c r="F16" t="s">
        <v>31</v>
      </c>
      <c r="G16" s="1">
        <v>45473</v>
      </c>
      <c r="H16">
        <v>1</v>
      </c>
      <c r="I16" t="s">
        <v>52</v>
      </c>
      <c r="J16" t="s">
        <v>43</v>
      </c>
      <c r="K16">
        <v>0.1</v>
      </c>
      <c r="L16">
        <v>36.9</v>
      </c>
      <c r="M16">
        <v>369</v>
      </c>
      <c r="N16">
        <v>332.1</v>
      </c>
      <c r="O16" t="s">
        <v>48</v>
      </c>
      <c r="P16">
        <v>1248</v>
      </c>
      <c r="Q16" t="s">
        <v>31</v>
      </c>
      <c r="R16" s="1">
        <v>45473</v>
      </c>
      <c r="S16">
        <v>2</v>
      </c>
      <c r="T16" t="s">
        <v>52</v>
      </c>
      <c r="U16" t="s">
        <v>43</v>
      </c>
      <c r="V16" t="s">
        <v>1277</v>
      </c>
      <c r="W16" t="s">
        <v>1244</v>
      </c>
      <c r="X16">
        <v>2300</v>
      </c>
      <c r="Y16">
        <v>250</v>
      </c>
      <c r="Z16">
        <v>500</v>
      </c>
      <c r="AA16" t="s">
        <v>1278</v>
      </c>
    </row>
    <row r="17" spans="1:27" x14ac:dyDescent="0.2">
      <c r="A17">
        <v>3016</v>
      </c>
      <c r="B17" t="s">
        <v>79</v>
      </c>
      <c r="C17" t="str">
        <f>_xlfn.CONCAT(Merge[[#This Row],[Customer First Name]]," ",Merge[[#This Row],[Customer Last Name]])</f>
        <v>Rylee Fuentes</v>
      </c>
      <c r="D17" t="s">
        <v>80</v>
      </c>
      <c r="E17">
        <v>1249</v>
      </c>
      <c r="F17" t="s">
        <v>51</v>
      </c>
      <c r="G17" s="1">
        <v>45517</v>
      </c>
      <c r="H17">
        <v>1</v>
      </c>
      <c r="I17" t="s">
        <v>32</v>
      </c>
      <c r="J17" t="s">
        <v>81</v>
      </c>
      <c r="K17">
        <v>0.2</v>
      </c>
      <c r="L17">
        <v>51.6</v>
      </c>
      <c r="M17">
        <v>258</v>
      </c>
      <c r="N17">
        <v>206.4</v>
      </c>
      <c r="O17" t="s">
        <v>34</v>
      </c>
      <c r="P17">
        <v>1249</v>
      </c>
      <c r="Q17" t="s">
        <v>51</v>
      </c>
      <c r="R17" s="1">
        <v>45517</v>
      </c>
      <c r="S17">
        <v>3</v>
      </c>
      <c r="T17" t="s">
        <v>32</v>
      </c>
      <c r="U17" t="s">
        <v>81</v>
      </c>
      <c r="V17" t="s">
        <v>1279</v>
      </c>
      <c r="W17" t="s">
        <v>1280</v>
      </c>
      <c r="X17">
        <v>800</v>
      </c>
      <c r="Y17">
        <v>250</v>
      </c>
      <c r="Z17">
        <v>750</v>
      </c>
      <c r="AA17" t="s">
        <v>1281</v>
      </c>
    </row>
    <row r="18" spans="1:27" x14ac:dyDescent="0.2">
      <c r="A18">
        <v>3017</v>
      </c>
      <c r="B18" t="s">
        <v>82</v>
      </c>
      <c r="C18" t="str">
        <f>_xlfn.CONCAT(Merge[[#This Row],[Customer First Name]]," ",Merge[[#This Row],[Customer Last Name]])</f>
        <v>Luka Shaffer</v>
      </c>
      <c r="D18" t="s">
        <v>83</v>
      </c>
      <c r="E18">
        <v>1250</v>
      </c>
      <c r="F18" t="s">
        <v>31</v>
      </c>
      <c r="G18" s="1">
        <v>45645</v>
      </c>
      <c r="H18">
        <v>2</v>
      </c>
      <c r="I18" t="s">
        <v>32</v>
      </c>
      <c r="J18" t="s">
        <v>43</v>
      </c>
      <c r="K18">
        <v>0.1</v>
      </c>
      <c r="L18">
        <v>56.400000000000006</v>
      </c>
      <c r="M18">
        <v>564</v>
      </c>
      <c r="N18">
        <v>507.6</v>
      </c>
      <c r="O18" t="s">
        <v>48</v>
      </c>
      <c r="P18">
        <v>1250</v>
      </c>
      <c r="Q18" t="s">
        <v>31</v>
      </c>
      <c r="R18" s="1">
        <v>45645</v>
      </c>
      <c r="S18">
        <v>1</v>
      </c>
      <c r="T18" t="s">
        <v>32</v>
      </c>
      <c r="U18" t="s">
        <v>43</v>
      </c>
      <c r="V18" t="s">
        <v>1282</v>
      </c>
      <c r="W18" t="s">
        <v>1244</v>
      </c>
      <c r="X18">
        <v>2300</v>
      </c>
      <c r="Y18">
        <v>250</v>
      </c>
      <c r="Z18">
        <v>250</v>
      </c>
      <c r="AA18" t="s">
        <v>1283</v>
      </c>
    </row>
    <row r="19" spans="1:27" x14ac:dyDescent="0.2">
      <c r="A19">
        <v>3018</v>
      </c>
      <c r="B19" t="s">
        <v>84</v>
      </c>
      <c r="C19" t="str">
        <f>_xlfn.CONCAT(Merge[[#This Row],[Customer First Name]]," ",Merge[[#This Row],[Customer Last Name]])</f>
        <v>Colt Berry</v>
      </c>
      <c r="D19" t="s">
        <v>85</v>
      </c>
      <c r="E19">
        <v>1251</v>
      </c>
      <c r="F19" t="s">
        <v>51</v>
      </c>
      <c r="G19" s="1">
        <v>45524</v>
      </c>
      <c r="H19">
        <v>2</v>
      </c>
      <c r="I19" t="s">
        <v>38</v>
      </c>
      <c r="J19" t="s">
        <v>64</v>
      </c>
      <c r="K19">
        <v>0.2</v>
      </c>
      <c r="L19">
        <v>326</v>
      </c>
      <c r="M19">
        <v>1630</v>
      </c>
      <c r="N19">
        <v>1304</v>
      </c>
      <c r="O19" t="s">
        <v>44</v>
      </c>
      <c r="P19">
        <v>1251</v>
      </c>
      <c r="Q19" t="s">
        <v>51</v>
      </c>
      <c r="R19" s="1">
        <v>45524</v>
      </c>
      <c r="S19">
        <v>2</v>
      </c>
      <c r="T19" t="s">
        <v>38</v>
      </c>
      <c r="U19" t="s">
        <v>64</v>
      </c>
      <c r="V19" t="s">
        <v>1284</v>
      </c>
      <c r="W19" t="s">
        <v>1265</v>
      </c>
      <c r="X19">
        <v>7000</v>
      </c>
      <c r="Y19">
        <v>250</v>
      </c>
      <c r="Z19">
        <v>500</v>
      </c>
      <c r="AA19" t="s">
        <v>1285</v>
      </c>
    </row>
    <row r="20" spans="1:27" x14ac:dyDescent="0.2">
      <c r="A20">
        <v>3019</v>
      </c>
      <c r="B20" t="s">
        <v>86</v>
      </c>
      <c r="C20" t="str">
        <f>_xlfn.CONCAT(Merge[[#This Row],[Customer First Name]]," ",Merge[[#This Row],[Customer Last Name]])</f>
        <v>Madelynn Klein</v>
      </c>
      <c r="D20" t="s">
        <v>87</v>
      </c>
      <c r="E20">
        <v>1252</v>
      </c>
      <c r="F20" t="s">
        <v>76</v>
      </c>
      <c r="G20" s="1">
        <v>45455</v>
      </c>
      <c r="H20">
        <v>2</v>
      </c>
      <c r="I20" t="s">
        <v>52</v>
      </c>
      <c r="J20" t="s">
        <v>39</v>
      </c>
      <c r="K20">
        <v>0.25</v>
      </c>
      <c r="L20">
        <v>79.5</v>
      </c>
      <c r="M20">
        <v>318</v>
      </c>
      <c r="N20">
        <v>238.5</v>
      </c>
      <c r="O20" t="s">
        <v>54</v>
      </c>
      <c r="P20">
        <v>1252</v>
      </c>
      <c r="Q20" t="s">
        <v>76</v>
      </c>
      <c r="R20" s="1">
        <v>45455</v>
      </c>
      <c r="S20">
        <v>3</v>
      </c>
      <c r="T20" t="s">
        <v>52</v>
      </c>
      <c r="U20" t="s">
        <v>39</v>
      </c>
      <c r="V20" t="s">
        <v>1286</v>
      </c>
      <c r="W20" t="s">
        <v>1241</v>
      </c>
      <c r="X20">
        <v>2600</v>
      </c>
      <c r="Y20">
        <v>1200</v>
      </c>
      <c r="Z20">
        <v>3600</v>
      </c>
      <c r="AA20" t="s">
        <v>1287</v>
      </c>
    </row>
    <row r="21" spans="1:27" x14ac:dyDescent="0.2">
      <c r="A21">
        <v>3020</v>
      </c>
      <c r="B21" t="s">
        <v>88</v>
      </c>
      <c r="C21" t="str">
        <f>_xlfn.CONCAT(Merge[[#This Row],[Customer First Name]]," ",Merge[[#This Row],[Customer Last Name]])</f>
        <v>Edward Landry</v>
      </c>
      <c r="D21" t="s">
        <v>89</v>
      </c>
      <c r="E21">
        <v>1253</v>
      </c>
      <c r="F21" t="s">
        <v>37</v>
      </c>
      <c r="G21" s="1">
        <v>45308</v>
      </c>
      <c r="H21">
        <v>3</v>
      </c>
      <c r="I21" t="s">
        <v>32</v>
      </c>
      <c r="J21" t="s">
        <v>57</v>
      </c>
      <c r="K21">
        <v>0.3</v>
      </c>
      <c r="L21">
        <v>38.699999999999996</v>
      </c>
      <c r="M21">
        <v>129</v>
      </c>
      <c r="N21">
        <v>90.300000000000011</v>
      </c>
      <c r="O21" t="s">
        <v>48</v>
      </c>
      <c r="P21">
        <v>1253</v>
      </c>
      <c r="Q21" t="s">
        <v>37</v>
      </c>
      <c r="R21" s="1">
        <v>45308</v>
      </c>
      <c r="S21">
        <v>3</v>
      </c>
      <c r="T21" t="s">
        <v>32</v>
      </c>
      <c r="U21" t="s">
        <v>57</v>
      </c>
      <c r="V21" t="s">
        <v>1288</v>
      </c>
      <c r="W21" t="s">
        <v>1095</v>
      </c>
      <c r="X21">
        <v>5000</v>
      </c>
      <c r="Y21">
        <v>800</v>
      </c>
      <c r="Z21">
        <v>2400</v>
      </c>
      <c r="AA21" t="s">
        <v>1289</v>
      </c>
    </row>
    <row r="22" spans="1:27" x14ac:dyDescent="0.2">
      <c r="A22">
        <v>3021</v>
      </c>
      <c r="B22" t="s">
        <v>90</v>
      </c>
      <c r="C22" t="str">
        <f>_xlfn.CONCAT(Merge[[#This Row],[Customer First Name]]," ",Merge[[#This Row],[Customer Last Name]])</f>
        <v>Cash Weaver</v>
      </c>
      <c r="D22" t="s">
        <v>91</v>
      </c>
      <c r="E22">
        <v>1254</v>
      </c>
      <c r="F22" t="s">
        <v>92</v>
      </c>
      <c r="G22" s="1">
        <v>45615</v>
      </c>
      <c r="H22">
        <v>2</v>
      </c>
      <c r="I22" t="s">
        <v>52</v>
      </c>
      <c r="J22" t="s">
        <v>39</v>
      </c>
      <c r="K22">
        <v>0.3</v>
      </c>
      <c r="L22">
        <v>291.89999999999998</v>
      </c>
      <c r="M22">
        <v>973</v>
      </c>
      <c r="N22">
        <v>681.1</v>
      </c>
      <c r="O22" t="s">
        <v>48</v>
      </c>
      <c r="P22">
        <v>1254</v>
      </c>
      <c r="Q22" t="s">
        <v>92</v>
      </c>
      <c r="R22" s="1">
        <v>45615</v>
      </c>
      <c r="S22">
        <v>3</v>
      </c>
      <c r="T22" t="s">
        <v>52</v>
      </c>
      <c r="U22" t="s">
        <v>39</v>
      </c>
      <c r="V22" t="s">
        <v>1290</v>
      </c>
      <c r="W22" t="s">
        <v>1241</v>
      </c>
      <c r="X22">
        <v>2600</v>
      </c>
      <c r="Y22">
        <v>600</v>
      </c>
      <c r="Z22">
        <v>1800</v>
      </c>
      <c r="AA22" t="s">
        <v>1291</v>
      </c>
    </row>
    <row r="23" spans="1:27" x14ac:dyDescent="0.2">
      <c r="A23">
        <v>3022</v>
      </c>
      <c r="B23" t="s">
        <v>93</v>
      </c>
      <c r="C23" t="str">
        <f>_xlfn.CONCAT(Merge[[#This Row],[Customer First Name]]," ",Merge[[#This Row],[Customer Last Name]])</f>
        <v>Ronin Solomon</v>
      </c>
      <c r="D23" t="s">
        <v>94</v>
      </c>
      <c r="E23">
        <v>1255</v>
      </c>
      <c r="F23" t="s">
        <v>37</v>
      </c>
      <c r="G23" s="1">
        <v>45458</v>
      </c>
      <c r="H23">
        <v>2</v>
      </c>
      <c r="I23" t="s">
        <v>52</v>
      </c>
      <c r="J23" t="s">
        <v>39</v>
      </c>
      <c r="K23">
        <v>0.3</v>
      </c>
      <c r="L23">
        <v>464.7</v>
      </c>
      <c r="M23">
        <v>1549</v>
      </c>
      <c r="N23">
        <v>1084.3</v>
      </c>
      <c r="O23" t="s">
        <v>44</v>
      </c>
      <c r="P23">
        <v>1255</v>
      </c>
      <c r="Q23" t="s">
        <v>37</v>
      </c>
      <c r="R23" s="1">
        <v>45458</v>
      </c>
      <c r="S23">
        <v>2</v>
      </c>
      <c r="T23" t="s">
        <v>52</v>
      </c>
      <c r="U23" t="s">
        <v>39</v>
      </c>
      <c r="V23" t="s">
        <v>1292</v>
      </c>
      <c r="W23" t="s">
        <v>1241</v>
      </c>
      <c r="X23">
        <v>2600</v>
      </c>
      <c r="Y23">
        <v>800</v>
      </c>
      <c r="Z23">
        <v>1600</v>
      </c>
      <c r="AA23" t="s">
        <v>1293</v>
      </c>
    </row>
    <row r="24" spans="1:27" x14ac:dyDescent="0.2">
      <c r="A24">
        <v>3023</v>
      </c>
      <c r="B24" t="s">
        <v>95</v>
      </c>
      <c r="C24" t="str">
        <f>_xlfn.CONCAT(Merge[[#This Row],[Customer First Name]]," ",Merge[[#This Row],[Customer Last Name]])</f>
        <v>Frank Benjamin</v>
      </c>
      <c r="D24" t="s">
        <v>96</v>
      </c>
      <c r="E24">
        <v>1256</v>
      </c>
      <c r="F24" t="s">
        <v>76</v>
      </c>
      <c r="G24" s="1">
        <v>45400</v>
      </c>
      <c r="H24">
        <v>3</v>
      </c>
      <c r="I24" t="s">
        <v>52</v>
      </c>
      <c r="J24" t="s">
        <v>33</v>
      </c>
      <c r="K24">
        <v>0.25</v>
      </c>
      <c r="L24">
        <v>154.25</v>
      </c>
      <c r="M24">
        <v>617</v>
      </c>
      <c r="N24">
        <v>462.75</v>
      </c>
      <c r="O24" t="s">
        <v>54</v>
      </c>
      <c r="P24">
        <v>1256</v>
      </c>
      <c r="Q24" t="s">
        <v>76</v>
      </c>
      <c r="R24" s="1">
        <v>45400</v>
      </c>
      <c r="S24">
        <v>1</v>
      </c>
      <c r="T24" t="s">
        <v>52</v>
      </c>
      <c r="U24" t="s">
        <v>33</v>
      </c>
      <c r="V24" t="s">
        <v>1294</v>
      </c>
      <c r="W24" t="s">
        <v>1238</v>
      </c>
      <c r="X24">
        <v>6725</v>
      </c>
      <c r="Y24">
        <v>1200</v>
      </c>
      <c r="Z24">
        <v>1200</v>
      </c>
      <c r="AA24" t="s">
        <v>1295</v>
      </c>
    </row>
    <row r="25" spans="1:27" x14ac:dyDescent="0.2">
      <c r="A25">
        <v>3024</v>
      </c>
      <c r="B25" t="s">
        <v>97</v>
      </c>
      <c r="C25" t="str">
        <f>_xlfn.CONCAT(Merge[[#This Row],[Customer First Name]]," ",Merge[[#This Row],[Customer Last Name]])</f>
        <v>Olive Herrera</v>
      </c>
      <c r="D25" t="s">
        <v>98</v>
      </c>
      <c r="E25">
        <v>1257</v>
      </c>
      <c r="F25" t="s">
        <v>31</v>
      </c>
      <c r="G25" s="1">
        <v>45319</v>
      </c>
      <c r="H25">
        <v>2</v>
      </c>
      <c r="I25" t="s">
        <v>71</v>
      </c>
      <c r="J25" t="s">
        <v>39</v>
      </c>
      <c r="K25">
        <v>0.1</v>
      </c>
      <c r="L25">
        <v>66.600000000000009</v>
      </c>
      <c r="M25">
        <v>666</v>
      </c>
      <c r="N25">
        <v>599.4</v>
      </c>
      <c r="O25" t="s">
        <v>48</v>
      </c>
      <c r="P25">
        <v>1257</v>
      </c>
      <c r="Q25" t="s">
        <v>31</v>
      </c>
      <c r="R25" s="1">
        <v>45319</v>
      </c>
      <c r="S25">
        <v>3</v>
      </c>
      <c r="T25" t="s">
        <v>71</v>
      </c>
      <c r="U25" t="s">
        <v>39</v>
      </c>
      <c r="V25" t="s">
        <v>1296</v>
      </c>
      <c r="W25" t="s">
        <v>1241</v>
      </c>
      <c r="X25">
        <v>2600</v>
      </c>
      <c r="Y25">
        <v>250</v>
      </c>
      <c r="Z25">
        <v>750</v>
      </c>
      <c r="AA25" t="s">
        <v>1297</v>
      </c>
    </row>
    <row r="26" spans="1:27" x14ac:dyDescent="0.2">
      <c r="A26">
        <v>3025</v>
      </c>
      <c r="B26" t="s">
        <v>99</v>
      </c>
      <c r="C26" t="str">
        <f>_xlfn.CONCAT(Merge[[#This Row],[Customer First Name]]," ",Merge[[#This Row],[Customer Last Name]])</f>
        <v>Noa Bryan</v>
      </c>
      <c r="D26" t="s">
        <v>100</v>
      </c>
      <c r="E26">
        <v>1258</v>
      </c>
      <c r="F26" t="s">
        <v>31</v>
      </c>
      <c r="G26" s="1">
        <v>45558</v>
      </c>
      <c r="H26">
        <v>2</v>
      </c>
      <c r="I26" t="s">
        <v>38</v>
      </c>
      <c r="J26" t="s">
        <v>43</v>
      </c>
      <c r="K26">
        <v>0.1</v>
      </c>
      <c r="L26">
        <v>72.7</v>
      </c>
      <c r="M26">
        <v>727</v>
      </c>
      <c r="N26">
        <v>654.29999999999995</v>
      </c>
      <c r="O26" t="s">
        <v>48</v>
      </c>
      <c r="P26">
        <v>1258</v>
      </c>
      <c r="Q26" t="s">
        <v>31</v>
      </c>
      <c r="R26" s="1">
        <v>45558</v>
      </c>
      <c r="S26">
        <v>1</v>
      </c>
      <c r="T26" t="s">
        <v>38</v>
      </c>
      <c r="U26" t="s">
        <v>43</v>
      </c>
      <c r="V26" t="s">
        <v>1298</v>
      </c>
      <c r="W26" t="s">
        <v>1299</v>
      </c>
      <c r="X26">
        <v>2500</v>
      </c>
      <c r="Y26">
        <v>250</v>
      </c>
      <c r="Z26">
        <v>250</v>
      </c>
      <c r="AA26" t="s">
        <v>1300</v>
      </c>
    </row>
    <row r="27" spans="1:27" x14ac:dyDescent="0.2">
      <c r="A27">
        <v>3026</v>
      </c>
      <c r="B27" t="s">
        <v>101</v>
      </c>
      <c r="C27" t="str">
        <f>_xlfn.CONCAT(Merge[[#This Row],[Customer First Name]]," ",Merge[[#This Row],[Customer Last Name]])</f>
        <v>Collin Cook</v>
      </c>
      <c r="D27" t="s">
        <v>102</v>
      </c>
      <c r="E27">
        <v>1259</v>
      </c>
      <c r="F27" t="s">
        <v>51</v>
      </c>
      <c r="G27" s="1">
        <v>45516</v>
      </c>
      <c r="H27">
        <v>2</v>
      </c>
      <c r="I27" t="s">
        <v>71</v>
      </c>
      <c r="J27" t="s">
        <v>33</v>
      </c>
      <c r="K27">
        <v>0.2</v>
      </c>
      <c r="L27">
        <v>237.8</v>
      </c>
      <c r="M27">
        <v>1189</v>
      </c>
      <c r="N27">
        <v>951.2</v>
      </c>
      <c r="O27" t="s">
        <v>34</v>
      </c>
      <c r="P27">
        <v>1259</v>
      </c>
      <c r="Q27" t="s">
        <v>51</v>
      </c>
      <c r="R27" s="1">
        <v>45516</v>
      </c>
      <c r="S27">
        <v>2</v>
      </c>
      <c r="T27" t="s">
        <v>71</v>
      </c>
      <c r="U27" t="s">
        <v>33</v>
      </c>
      <c r="V27" t="s">
        <v>1301</v>
      </c>
      <c r="W27" t="s">
        <v>1302</v>
      </c>
      <c r="X27">
        <v>6000</v>
      </c>
      <c r="Y27">
        <v>250</v>
      </c>
      <c r="Z27">
        <v>500</v>
      </c>
      <c r="AA27" t="s">
        <v>1303</v>
      </c>
    </row>
    <row r="28" spans="1:27" x14ac:dyDescent="0.2">
      <c r="A28">
        <v>3027</v>
      </c>
      <c r="B28" t="s">
        <v>103</v>
      </c>
      <c r="C28" t="str">
        <f>_xlfn.CONCAT(Merge[[#This Row],[Customer First Name]]," ",Merge[[#This Row],[Customer Last Name]])</f>
        <v>Kane Thompson</v>
      </c>
      <c r="D28" t="s">
        <v>104</v>
      </c>
      <c r="E28">
        <v>1260</v>
      </c>
      <c r="F28" t="s">
        <v>76</v>
      </c>
      <c r="G28" s="1">
        <v>45301</v>
      </c>
      <c r="H28">
        <v>2</v>
      </c>
      <c r="I28" t="s">
        <v>32</v>
      </c>
      <c r="J28" t="s">
        <v>53</v>
      </c>
      <c r="K28">
        <v>0.25</v>
      </c>
      <c r="L28">
        <v>385</v>
      </c>
      <c r="M28">
        <v>1540</v>
      </c>
      <c r="N28">
        <v>1155</v>
      </c>
      <c r="O28" t="s">
        <v>54</v>
      </c>
      <c r="P28">
        <v>1260</v>
      </c>
      <c r="Q28" t="s">
        <v>76</v>
      </c>
      <c r="R28" s="1">
        <v>45301</v>
      </c>
      <c r="S28">
        <v>3</v>
      </c>
      <c r="T28" t="s">
        <v>32</v>
      </c>
      <c r="U28" t="s">
        <v>53</v>
      </c>
      <c r="V28" t="s">
        <v>1304</v>
      </c>
      <c r="W28" t="s">
        <v>1305</v>
      </c>
      <c r="X28">
        <v>4000</v>
      </c>
      <c r="Y28">
        <v>1200</v>
      </c>
      <c r="Z28">
        <v>3600</v>
      </c>
      <c r="AA28" t="s">
        <v>1306</v>
      </c>
    </row>
    <row r="29" spans="1:27" x14ac:dyDescent="0.2">
      <c r="A29">
        <v>3028</v>
      </c>
      <c r="B29" t="s">
        <v>104</v>
      </c>
      <c r="C29" t="str">
        <f>_xlfn.CONCAT(Merge[[#This Row],[Customer First Name]]," ",Merge[[#This Row],[Customer Last Name]])</f>
        <v>James Kane</v>
      </c>
      <c r="D29" t="s">
        <v>105</v>
      </c>
      <c r="E29">
        <v>1261</v>
      </c>
      <c r="F29" t="s">
        <v>76</v>
      </c>
      <c r="G29" s="1">
        <v>45348</v>
      </c>
      <c r="H29">
        <v>2</v>
      </c>
      <c r="I29" t="s">
        <v>52</v>
      </c>
      <c r="J29" t="s">
        <v>81</v>
      </c>
      <c r="K29">
        <v>0.25</v>
      </c>
      <c r="L29">
        <v>323.25</v>
      </c>
      <c r="M29">
        <v>1293</v>
      </c>
      <c r="N29">
        <v>969.75</v>
      </c>
      <c r="O29" t="s">
        <v>34</v>
      </c>
      <c r="P29">
        <v>1261</v>
      </c>
      <c r="Q29" t="s">
        <v>76</v>
      </c>
      <c r="R29" s="1">
        <v>45348</v>
      </c>
      <c r="S29">
        <v>1</v>
      </c>
      <c r="T29" t="s">
        <v>52</v>
      </c>
      <c r="U29" t="s">
        <v>81</v>
      </c>
      <c r="V29" t="s">
        <v>1307</v>
      </c>
      <c r="W29" t="s">
        <v>1280</v>
      </c>
      <c r="X29">
        <v>800</v>
      </c>
      <c r="Y29">
        <v>1200</v>
      </c>
      <c r="Z29">
        <v>1200</v>
      </c>
      <c r="AA29" t="s">
        <v>1308</v>
      </c>
    </row>
    <row r="30" spans="1:27" x14ac:dyDescent="0.2">
      <c r="A30">
        <v>3029</v>
      </c>
      <c r="B30" t="s">
        <v>106</v>
      </c>
      <c r="C30" t="str">
        <f>_xlfn.CONCAT(Merge[[#This Row],[Customer First Name]]," ",Merge[[#This Row],[Customer Last Name]])</f>
        <v>Sawyer Arias</v>
      </c>
      <c r="D30" t="s">
        <v>107</v>
      </c>
      <c r="E30">
        <v>1262</v>
      </c>
      <c r="F30" t="s">
        <v>76</v>
      </c>
      <c r="G30" s="1">
        <v>45529</v>
      </c>
      <c r="H30">
        <v>3</v>
      </c>
      <c r="I30" t="s">
        <v>52</v>
      </c>
      <c r="J30" t="s">
        <v>43</v>
      </c>
      <c r="K30">
        <v>0.25</v>
      </c>
      <c r="L30">
        <v>90.75</v>
      </c>
      <c r="M30">
        <v>363</v>
      </c>
      <c r="N30">
        <v>272.25</v>
      </c>
      <c r="O30" t="s">
        <v>34</v>
      </c>
      <c r="P30">
        <v>1262</v>
      </c>
      <c r="Q30" t="s">
        <v>76</v>
      </c>
      <c r="R30" s="1">
        <v>45529</v>
      </c>
      <c r="S30">
        <v>2</v>
      </c>
      <c r="T30" t="s">
        <v>52</v>
      </c>
      <c r="U30" t="s">
        <v>43</v>
      </c>
      <c r="V30" t="s">
        <v>1309</v>
      </c>
      <c r="W30" t="s">
        <v>865</v>
      </c>
      <c r="X30">
        <v>2000</v>
      </c>
      <c r="Y30">
        <v>1200</v>
      </c>
      <c r="Z30">
        <v>2400</v>
      </c>
      <c r="AA30" t="s">
        <v>1310</v>
      </c>
    </row>
    <row r="31" spans="1:27" x14ac:dyDescent="0.2">
      <c r="A31">
        <v>3030</v>
      </c>
      <c r="B31" t="s">
        <v>108</v>
      </c>
      <c r="C31" t="str">
        <f>_xlfn.CONCAT(Merge[[#This Row],[Customer First Name]]," ",Merge[[#This Row],[Customer Last Name]])</f>
        <v>Isabelle Vincent</v>
      </c>
      <c r="D31" t="s">
        <v>109</v>
      </c>
      <c r="E31">
        <v>1263</v>
      </c>
      <c r="F31" t="s">
        <v>76</v>
      </c>
      <c r="G31" s="1">
        <v>45360</v>
      </c>
      <c r="H31">
        <v>2</v>
      </c>
      <c r="I31" t="s">
        <v>32</v>
      </c>
      <c r="J31" t="s">
        <v>43</v>
      </c>
      <c r="K31">
        <v>0.25</v>
      </c>
      <c r="L31">
        <v>100.75</v>
      </c>
      <c r="M31">
        <v>403</v>
      </c>
      <c r="N31">
        <v>302.25</v>
      </c>
      <c r="O31" t="s">
        <v>34</v>
      </c>
      <c r="P31">
        <v>1263</v>
      </c>
      <c r="Q31" t="s">
        <v>76</v>
      </c>
      <c r="R31" s="1">
        <v>45360</v>
      </c>
      <c r="S31">
        <v>3</v>
      </c>
      <c r="T31" t="s">
        <v>32</v>
      </c>
      <c r="U31" t="s">
        <v>43</v>
      </c>
      <c r="V31" t="s">
        <v>1311</v>
      </c>
      <c r="W31" t="s">
        <v>1299</v>
      </c>
      <c r="X31">
        <v>2500</v>
      </c>
      <c r="Y31">
        <v>1200</v>
      </c>
      <c r="Z31">
        <v>3600</v>
      </c>
      <c r="AA31" t="s">
        <v>1312</v>
      </c>
    </row>
    <row r="32" spans="1:27" x14ac:dyDescent="0.2">
      <c r="A32">
        <v>3031</v>
      </c>
      <c r="B32" t="s">
        <v>110</v>
      </c>
      <c r="C32" t="str">
        <f>_xlfn.CONCAT(Merge[[#This Row],[Customer First Name]]," ",Merge[[#This Row],[Customer Last Name]])</f>
        <v>Raya Quintana</v>
      </c>
      <c r="D32" t="s">
        <v>111</v>
      </c>
      <c r="E32">
        <v>1264</v>
      </c>
      <c r="F32" t="s">
        <v>37</v>
      </c>
      <c r="G32" s="1">
        <v>45646</v>
      </c>
      <c r="H32">
        <v>3</v>
      </c>
      <c r="I32" t="s">
        <v>52</v>
      </c>
      <c r="J32" t="s">
        <v>53</v>
      </c>
      <c r="K32">
        <v>0.3</v>
      </c>
      <c r="L32">
        <v>280.5</v>
      </c>
      <c r="M32">
        <v>935</v>
      </c>
      <c r="N32">
        <v>654.5</v>
      </c>
      <c r="O32" t="s">
        <v>54</v>
      </c>
      <c r="P32">
        <v>1264</v>
      </c>
      <c r="Q32" t="s">
        <v>37</v>
      </c>
      <c r="R32" s="1">
        <v>45646</v>
      </c>
      <c r="S32">
        <v>2</v>
      </c>
      <c r="T32" t="s">
        <v>52</v>
      </c>
      <c r="U32" t="s">
        <v>53</v>
      </c>
      <c r="V32" t="s">
        <v>1313</v>
      </c>
      <c r="W32" t="s">
        <v>1250</v>
      </c>
      <c r="X32">
        <v>4217</v>
      </c>
      <c r="Y32">
        <v>800</v>
      </c>
      <c r="Z32">
        <v>1600</v>
      </c>
      <c r="AA32" t="s">
        <v>1314</v>
      </c>
    </row>
    <row r="33" spans="1:27" x14ac:dyDescent="0.2">
      <c r="A33">
        <v>3032</v>
      </c>
      <c r="B33" t="s">
        <v>112</v>
      </c>
      <c r="C33" t="str">
        <f>_xlfn.CONCAT(Merge[[#This Row],[Customer First Name]]," ",Merge[[#This Row],[Customer Last Name]])</f>
        <v>Kaiden Anderson</v>
      </c>
      <c r="D33" t="s">
        <v>113</v>
      </c>
      <c r="E33">
        <v>1265</v>
      </c>
      <c r="F33" t="s">
        <v>42</v>
      </c>
      <c r="G33" s="1">
        <v>45588</v>
      </c>
      <c r="H33">
        <v>1</v>
      </c>
      <c r="I33" t="s">
        <v>52</v>
      </c>
      <c r="J33" t="s">
        <v>64</v>
      </c>
      <c r="K33">
        <v>0.25</v>
      </c>
      <c r="L33">
        <v>116.75</v>
      </c>
      <c r="M33">
        <v>467</v>
      </c>
      <c r="N33">
        <v>350.25</v>
      </c>
      <c r="O33" t="s">
        <v>114</v>
      </c>
      <c r="P33">
        <v>1265</v>
      </c>
      <c r="Q33" t="s">
        <v>42</v>
      </c>
      <c r="R33" s="1">
        <v>45588</v>
      </c>
      <c r="S33">
        <v>1</v>
      </c>
      <c r="T33" t="s">
        <v>52</v>
      </c>
      <c r="U33" t="s">
        <v>64</v>
      </c>
      <c r="V33" t="s">
        <v>1315</v>
      </c>
      <c r="W33" t="s">
        <v>1265</v>
      </c>
      <c r="X33">
        <v>7000</v>
      </c>
      <c r="Y33">
        <v>300</v>
      </c>
      <c r="Z33">
        <v>300</v>
      </c>
      <c r="AA33" t="s">
        <v>1316</v>
      </c>
    </row>
    <row r="34" spans="1:27" x14ac:dyDescent="0.2">
      <c r="A34">
        <v>3033</v>
      </c>
      <c r="B34" t="s">
        <v>115</v>
      </c>
      <c r="C34" t="str">
        <f>_xlfn.CONCAT(Merge[[#This Row],[Customer First Name]]," ",Merge[[#This Row],[Customer Last Name]])</f>
        <v>Shiloh Chan</v>
      </c>
      <c r="D34" t="s">
        <v>116</v>
      </c>
      <c r="E34">
        <v>1266</v>
      </c>
      <c r="F34" t="s">
        <v>42</v>
      </c>
      <c r="G34" s="1">
        <v>45640</v>
      </c>
      <c r="H34">
        <v>1</v>
      </c>
      <c r="I34" t="s">
        <v>38</v>
      </c>
      <c r="J34" t="s">
        <v>47</v>
      </c>
      <c r="K34">
        <v>0.25</v>
      </c>
      <c r="L34">
        <v>19.5</v>
      </c>
      <c r="M34">
        <v>78</v>
      </c>
      <c r="N34">
        <v>58.5</v>
      </c>
      <c r="O34" t="s">
        <v>34</v>
      </c>
      <c r="P34">
        <v>1266</v>
      </c>
      <c r="Q34" t="s">
        <v>42</v>
      </c>
      <c r="R34" s="1">
        <v>45640</v>
      </c>
      <c r="S34">
        <v>2</v>
      </c>
      <c r="T34" t="s">
        <v>38</v>
      </c>
      <c r="U34" t="s">
        <v>47</v>
      </c>
      <c r="V34" t="s">
        <v>1317</v>
      </c>
      <c r="W34" t="s">
        <v>1256</v>
      </c>
      <c r="X34">
        <v>3220</v>
      </c>
      <c r="Y34">
        <v>300</v>
      </c>
      <c r="Z34">
        <v>600</v>
      </c>
      <c r="AA34" t="s">
        <v>1318</v>
      </c>
    </row>
    <row r="35" spans="1:27" x14ac:dyDescent="0.2">
      <c r="A35">
        <v>3034</v>
      </c>
      <c r="B35" t="s">
        <v>117</v>
      </c>
      <c r="C35" t="str">
        <f>_xlfn.CONCAT(Merge[[#This Row],[Customer First Name]]," ",Merge[[#This Row],[Customer Last Name]])</f>
        <v>Layla Foster</v>
      </c>
      <c r="D35" t="s">
        <v>118</v>
      </c>
      <c r="E35">
        <v>1267</v>
      </c>
      <c r="F35" t="s">
        <v>76</v>
      </c>
      <c r="G35" s="1">
        <v>45530</v>
      </c>
      <c r="H35">
        <v>3</v>
      </c>
      <c r="I35" t="s">
        <v>71</v>
      </c>
      <c r="J35" t="s">
        <v>81</v>
      </c>
      <c r="K35">
        <v>0.25</v>
      </c>
      <c r="L35">
        <v>62.75</v>
      </c>
      <c r="M35">
        <v>251</v>
      </c>
      <c r="N35">
        <v>188.25</v>
      </c>
      <c r="O35" t="s">
        <v>48</v>
      </c>
      <c r="P35">
        <v>1267</v>
      </c>
      <c r="Q35" t="s">
        <v>76</v>
      </c>
      <c r="R35" s="1">
        <v>45530</v>
      </c>
      <c r="S35">
        <v>2</v>
      </c>
      <c r="T35" t="s">
        <v>71</v>
      </c>
      <c r="U35" t="s">
        <v>81</v>
      </c>
      <c r="V35" t="s">
        <v>1319</v>
      </c>
      <c r="W35" t="s">
        <v>1280</v>
      </c>
      <c r="X35">
        <v>800</v>
      </c>
      <c r="Y35">
        <v>1200</v>
      </c>
      <c r="Z35">
        <v>2400</v>
      </c>
      <c r="AA35" t="s">
        <v>1320</v>
      </c>
    </row>
    <row r="36" spans="1:27" x14ac:dyDescent="0.2">
      <c r="A36">
        <v>3035</v>
      </c>
      <c r="B36" t="s">
        <v>119</v>
      </c>
      <c r="C36" t="str">
        <f>_xlfn.CONCAT(Merge[[#This Row],[Customer First Name]]," ",Merge[[#This Row],[Customer Last Name]])</f>
        <v>Sarai Giles</v>
      </c>
      <c r="D36" t="s">
        <v>120</v>
      </c>
      <c r="E36">
        <v>1268</v>
      </c>
      <c r="F36" t="s">
        <v>51</v>
      </c>
      <c r="G36" s="1">
        <v>45536</v>
      </c>
      <c r="H36">
        <v>1</v>
      </c>
      <c r="I36" t="s">
        <v>32</v>
      </c>
      <c r="J36" t="s">
        <v>57</v>
      </c>
      <c r="K36">
        <v>0.2</v>
      </c>
      <c r="L36">
        <v>50</v>
      </c>
      <c r="M36">
        <v>250</v>
      </c>
      <c r="N36">
        <v>200</v>
      </c>
      <c r="O36" t="s">
        <v>48</v>
      </c>
      <c r="P36">
        <v>1268</v>
      </c>
      <c r="Q36" t="s">
        <v>51</v>
      </c>
      <c r="R36" s="1">
        <v>45536</v>
      </c>
      <c r="S36">
        <v>2</v>
      </c>
      <c r="T36" t="s">
        <v>32</v>
      </c>
      <c r="U36" t="s">
        <v>57</v>
      </c>
      <c r="V36" t="s">
        <v>1321</v>
      </c>
      <c r="W36" t="s">
        <v>1095</v>
      </c>
      <c r="X36">
        <v>5000</v>
      </c>
      <c r="Y36">
        <v>250</v>
      </c>
      <c r="Z36">
        <v>500</v>
      </c>
      <c r="AA36" t="s">
        <v>1322</v>
      </c>
    </row>
    <row r="37" spans="1:27" x14ac:dyDescent="0.2">
      <c r="A37">
        <v>3036</v>
      </c>
      <c r="B37" t="s">
        <v>121</v>
      </c>
      <c r="C37" t="str">
        <f>_xlfn.CONCAT(Merge[[#This Row],[Customer First Name]]," ",Merge[[#This Row],[Customer Last Name]])</f>
        <v>Kason Morris</v>
      </c>
      <c r="D37" t="s">
        <v>122</v>
      </c>
      <c r="E37">
        <v>1269</v>
      </c>
      <c r="F37" t="s">
        <v>92</v>
      </c>
      <c r="G37" s="1">
        <v>45633</v>
      </c>
      <c r="H37">
        <v>3</v>
      </c>
      <c r="I37" t="s">
        <v>32</v>
      </c>
      <c r="J37" t="s">
        <v>47</v>
      </c>
      <c r="K37">
        <v>0.3</v>
      </c>
      <c r="L37">
        <v>456.3</v>
      </c>
      <c r="M37">
        <v>1521</v>
      </c>
      <c r="N37">
        <v>1064.7</v>
      </c>
      <c r="O37" t="s">
        <v>34</v>
      </c>
      <c r="P37">
        <v>1269</v>
      </c>
      <c r="Q37" t="s">
        <v>92</v>
      </c>
      <c r="R37" s="1">
        <v>45633</v>
      </c>
      <c r="S37">
        <v>1</v>
      </c>
      <c r="T37" t="s">
        <v>32</v>
      </c>
      <c r="U37" t="s">
        <v>47</v>
      </c>
      <c r="V37" t="s">
        <v>1323</v>
      </c>
      <c r="W37" t="s">
        <v>1247</v>
      </c>
      <c r="X37">
        <v>3350</v>
      </c>
      <c r="Y37">
        <v>600</v>
      </c>
      <c r="Z37">
        <v>600</v>
      </c>
      <c r="AA37" t="s">
        <v>1324</v>
      </c>
    </row>
    <row r="38" spans="1:27" x14ac:dyDescent="0.2">
      <c r="A38">
        <v>3037</v>
      </c>
      <c r="B38" t="s">
        <v>123</v>
      </c>
      <c r="C38" t="str">
        <f>_xlfn.CONCAT(Merge[[#This Row],[Customer First Name]]," ",Merge[[#This Row],[Customer Last Name]])</f>
        <v>Aspen Avery</v>
      </c>
      <c r="D38" t="s">
        <v>124</v>
      </c>
      <c r="E38">
        <v>1270</v>
      </c>
      <c r="F38" t="s">
        <v>76</v>
      </c>
      <c r="G38" s="1">
        <v>45297</v>
      </c>
      <c r="H38">
        <v>2</v>
      </c>
      <c r="I38" t="s">
        <v>52</v>
      </c>
      <c r="J38" t="s">
        <v>43</v>
      </c>
      <c r="K38">
        <v>0.25</v>
      </c>
      <c r="L38">
        <v>6.75</v>
      </c>
      <c r="M38">
        <v>27</v>
      </c>
      <c r="N38">
        <v>20.25</v>
      </c>
      <c r="O38" t="s">
        <v>44</v>
      </c>
      <c r="P38">
        <v>1270</v>
      </c>
      <c r="Q38" t="s">
        <v>76</v>
      </c>
      <c r="R38" s="1">
        <v>45297</v>
      </c>
      <c r="S38">
        <v>2</v>
      </c>
      <c r="T38" t="s">
        <v>52</v>
      </c>
      <c r="U38" t="s">
        <v>43</v>
      </c>
      <c r="V38" t="s">
        <v>1325</v>
      </c>
      <c r="W38" t="s">
        <v>1299</v>
      </c>
      <c r="X38">
        <v>2500</v>
      </c>
      <c r="Y38">
        <v>1200</v>
      </c>
      <c r="Z38">
        <v>2400</v>
      </c>
      <c r="AA38" t="s">
        <v>1326</v>
      </c>
    </row>
    <row r="39" spans="1:27" x14ac:dyDescent="0.2">
      <c r="A39">
        <v>3038</v>
      </c>
      <c r="B39" t="s">
        <v>125</v>
      </c>
      <c r="C39" t="str">
        <f>_xlfn.CONCAT(Merge[[#This Row],[Customer First Name]]," ",Merge[[#This Row],[Customer Last Name]])</f>
        <v>Cade Fitzgerald</v>
      </c>
      <c r="D39" t="s">
        <v>126</v>
      </c>
      <c r="E39">
        <v>1271</v>
      </c>
      <c r="F39" t="s">
        <v>51</v>
      </c>
      <c r="G39" s="1">
        <v>45450</v>
      </c>
      <c r="H39">
        <v>1</v>
      </c>
      <c r="I39" t="s">
        <v>71</v>
      </c>
      <c r="J39" t="s">
        <v>33</v>
      </c>
      <c r="K39">
        <v>0.2</v>
      </c>
      <c r="L39">
        <v>287.8</v>
      </c>
      <c r="M39">
        <v>1439</v>
      </c>
      <c r="N39">
        <v>1151.2</v>
      </c>
      <c r="O39" t="s">
        <v>114</v>
      </c>
      <c r="P39">
        <v>1271</v>
      </c>
      <c r="Q39" t="s">
        <v>51</v>
      </c>
      <c r="R39" s="1">
        <v>45450</v>
      </c>
      <c r="S39">
        <v>1</v>
      </c>
      <c r="T39" t="s">
        <v>71</v>
      </c>
      <c r="U39" t="s">
        <v>33</v>
      </c>
      <c r="V39" t="s">
        <v>1327</v>
      </c>
      <c r="W39" t="s">
        <v>1238</v>
      </c>
      <c r="X39">
        <v>6725</v>
      </c>
      <c r="Y39">
        <v>250</v>
      </c>
      <c r="Z39">
        <v>250</v>
      </c>
      <c r="AA39" t="s">
        <v>1328</v>
      </c>
    </row>
    <row r="40" spans="1:27" x14ac:dyDescent="0.2">
      <c r="A40">
        <v>3039</v>
      </c>
      <c r="B40" t="s">
        <v>127</v>
      </c>
      <c r="C40" t="str">
        <f>_xlfn.CONCAT(Merge[[#This Row],[Customer First Name]]," ",Merge[[#This Row],[Customer Last Name]])</f>
        <v>Collins Sharp</v>
      </c>
      <c r="D40" t="s">
        <v>128</v>
      </c>
      <c r="E40">
        <v>1272</v>
      </c>
      <c r="F40" t="s">
        <v>31</v>
      </c>
      <c r="G40" s="1">
        <v>45555</v>
      </c>
      <c r="H40">
        <v>2</v>
      </c>
      <c r="I40" t="s">
        <v>52</v>
      </c>
      <c r="J40" t="s">
        <v>47</v>
      </c>
      <c r="K40">
        <v>0.1</v>
      </c>
      <c r="L40">
        <v>63.800000000000004</v>
      </c>
      <c r="M40">
        <v>638</v>
      </c>
      <c r="N40">
        <v>574.20000000000005</v>
      </c>
      <c r="O40" t="s">
        <v>54</v>
      </c>
      <c r="P40">
        <v>1272</v>
      </c>
      <c r="Q40" t="s">
        <v>31</v>
      </c>
      <c r="R40" s="1">
        <v>45555</v>
      </c>
      <c r="S40">
        <v>3</v>
      </c>
      <c r="T40" t="s">
        <v>52</v>
      </c>
      <c r="U40" t="s">
        <v>47</v>
      </c>
      <c r="V40" t="s">
        <v>1329</v>
      </c>
      <c r="W40" t="s">
        <v>1256</v>
      </c>
      <c r="X40">
        <v>3220</v>
      </c>
      <c r="Y40">
        <v>250</v>
      </c>
      <c r="Z40">
        <v>750</v>
      </c>
      <c r="AA40" t="s">
        <v>1330</v>
      </c>
    </row>
    <row r="41" spans="1:27" x14ac:dyDescent="0.2">
      <c r="A41">
        <v>3040</v>
      </c>
      <c r="B41" t="s">
        <v>129</v>
      </c>
      <c r="C41" t="str">
        <f>_xlfn.CONCAT(Merge[[#This Row],[Customer First Name]]," ",Merge[[#This Row],[Customer Last Name]])</f>
        <v>Jayce Richmond</v>
      </c>
      <c r="D41" t="s">
        <v>130</v>
      </c>
      <c r="E41">
        <v>1273</v>
      </c>
      <c r="F41" t="s">
        <v>37</v>
      </c>
      <c r="G41" s="1">
        <v>45431</v>
      </c>
      <c r="H41">
        <v>2</v>
      </c>
      <c r="I41" t="s">
        <v>52</v>
      </c>
      <c r="J41" t="s">
        <v>47</v>
      </c>
      <c r="K41">
        <v>0.3</v>
      </c>
      <c r="L41">
        <v>299.7</v>
      </c>
      <c r="M41">
        <v>999</v>
      </c>
      <c r="N41">
        <v>699.3</v>
      </c>
      <c r="O41" t="s">
        <v>54</v>
      </c>
      <c r="P41">
        <v>1273</v>
      </c>
      <c r="Q41" t="s">
        <v>37</v>
      </c>
      <c r="R41" s="1">
        <v>45431</v>
      </c>
      <c r="S41">
        <v>3</v>
      </c>
      <c r="T41" t="s">
        <v>52</v>
      </c>
      <c r="U41" t="s">
        <v>47</v>
      </c>
      <c r="V41" t="s">
        <v>1331</v>
      </c>
      <c r="W41" t="s">
        <v>1275</v>
      </c>
      <c r="X41">
        <v>3000</v>
      </c>
      <c r="Y41">
        <v>800</v>
      </c>
      <c r="Z41">
        <v>2400</v>
      </c>
      <c r="AA41" t="s">
        <v>1332</v>
      </c>
    </row>
    <row r="42" spans="1:27" x14ac:dyDescent="0.2">
      <c r="A42">
        <v>3041</v>
      </c>
      <c r="B42" t="s">
        <v>131</v>
      </c>
      <c r="C42" t="str">
        <f>_xlfn.CONCAT(Merge[[#This Row],[Customer First Name]]," ",Merge[[#This Row],[Customer Last Name]])</f>
        <v>Josiah Hinton</v>
      </c>
      <c r="D42" t="s">
        <v>132</v>
      </c>
      <c r="E42">
        <v>1274</v>
      </c>
      <c r="F42" t="s">
        <v>76</v>
      </c>
      <c r="G42" s="1">
        <v>45572</v>
      </c>
      <c r="H42">
        <v>3</v>
      </c>
      <c r="I42" t="s">
        <v>52</v>
      </c>
      <c r="J42" t="s">
        <v>53</v>
      </c>
      <c r="K42">
        <v>0.25</v>
      </c>
      <c r="L42">
        <v>38.25</v>
      </c>
      <c r="M42">
        <v>153</v>
      </c>
      <c r="N42">
        <v>114.75</v>
      </c>
      <c r="O42" t="s">
        <v>48</v>
      </c>
      <c r="P42">
        <v>1274</v>
      </c>
      <c r="Q42" t="s">
        <v>76</v>
      </c>
      <c r="R42" s="1">
        <v>45572</v>
      </c>
      <c r="S42">
        <v>1</v>
      </c>
      <c r="T42" t="s">
        <v>52</v>
      </c>
      <c r="U42" t="s">
        <v>53</v>
      </c>
      <c r="V42" t="s">
        <v>1333</v>
      </c>
      <c r="W42" t="s">
        <v>1250</v>
      </c>
      <c r="X42">
        <v>4217</v>
      </c>
      <c r="Y42">
        <v>1200</v>
      </c>
      <c r="Z42">
        <v>1200</v>
      </c>
      <c r="AA42" t="s">
        <v>1334</v>
      </c>
    </row>
    <row r="43" spans="1:27" x14ac:dyDescent="0.2">
      <c r="A43">
        <v>3042</v>
      </c>
      <c r="B43" t="s">
        <v>133</v>
      </c>
      <c r="C43" t="str">
        <f>_xlfn.CONCAT(Merge[[#This Row],[Customer First Name]]," ",Merge[[#This Row],[Customer Last Name]])</f>
        <v>Helen Morales</v>
      </c>
      <c r="D43" t="s">
        <v>134</v>
      </c>
      <c r="E43">
        <v>1275</v>
      </c>
      <c r="F43" t="s">
        <v>42</v>
      </c>
      <c r="G43" s="1">
        <v>45550</v>
      </c>
      <c r="H43">
        <v>3</v>
      </c>
      <c r="I43" t="s">
        <v>52</v>
      </c>
      <c r="J43" t="s">
        <v>64</v>
      </c>
      <c r="K43">
        <v>0.25</v>
      </c>
      <c r="L43">
        <v>248.75</v>
      </c>
      <c r="M43">
        <v>995</v>
      </c>
      <c r="N43">
        <v>746.25</v>
      </c>
      <c r="O43" t="s">
        <v>48</v>
      </c>
      <c r="P43">
        <v>1275</v>
      </c>
      <c r="Q43" t="s">
        <v>42</v>
      </c>
      <c r="R43" s="1">
        <v>45550</v>
      </c>
      <c r="S43">
        <v>2</v>
      </c>
      <c r="T43" t="s">
        <v>52</v>
      </c>
      <c r="U43" t="s">
        <v>64</v>
      </c>
      <c r="V43" t="s">
        <v>1335</v>
      </c>
      <c r="W43" t="s">
        <v>1262</v>
      </c>
      <c r="X43">
        <v>7250</v>
      </c>
      <c r="Y43">
        <v>300</v>
      </c>
      <c r="Z43">
        <v>600</v>
      </c>
      <c r="AA43" t="s">
        <v>1336</v>
      </c>
    </row>
    <row r="44" spans="1:27" x14ac:dyDescent="0.2">
      <c r="A44">
        <v>3043</v>
      </c>
      <c r="B44" t="s">
        <v>135</v>
      </c>
      <c r="C44" t="str">
        <f>_xlfn.CONCAT(Merge[[#This Row],[Customer First Name]]," ",Merge[[#This Row],[Customer Last Name]])</f>
        <v>Alani Mccormick</v>
      </c>
      <c r="D44" t="s">
        <v>136</v>
      </c>
      <c r="E44">
        <v>1276</v>
      </c>
      <c r="F44" t="s">
        <v>76</v>
      </c>
      <c r="G44" s="1">
        <v>45605</v>
      </c>
      <c r="H44">
        <v>1</v>
      </c>
      <c r="I44" t="s">
        <v>32</v>
      </c>
      <c r="J44" t="s">
        <v>39</v>
      </c>
      <c r="K44">
        <v>0.25</v>
      </c>
      <c r="L44">
        <v>38.25</v>
      </c>
      <c r="M44">
        <v>153</v>
      </c>
      <c r="N44">
        <v>114.75</v>
      </c>
      <c r="O44" t="s">
        <v>54</v>
      </c>
      <c r="P44">
        <v>1276</v>
      </c>
      <c r="Q44" t="s">
        <v>76</v>
      </c>
      <c r="R44" s="1">
        <v>45605</v>
      </c>
      <c r="S44">
        <v>1</v>
      </c>
      <c r="T44" t="s">
        <v>32</v>
      </c>
      <c r="U44" t="s">
        <v>39</v>
      </c>
      <c r="V44" t="s">
        <v>1337</v>
      </c>
      <c r="W44" t="s">
        <v>1241</v>
      </c>
      <c r="X44">
        <v>2600</v>
      </c>
      <c r="Y44">
        <v>1200</v>
      </c>
      <c r="Z44">
        <v>1200</v>
      </c>
      <c r="AA44" t="s">
        <v>1338</v>
      </c>
    </row>
    <row r="45" spans="1:27" x14ac:dyDescent="0.2">
      <c r="A45">
        <v>3044</v>
      </c>
      <c r="B45" t="s">
        <v>137</v>
      </c>
      <c r="C45" t="str">
        <f>_xlfn.CONCAT(Merge[[#This Row],[Customer First Name]]," ",Merge[[#This Row],[Customer Last Name]])</f>
        <v>Francis Winters</v>
      </c>
      <c r="D45" t="s">
        <v>138</v>
      </c>
      <c r="E45">
        <v>1277</v>
      </c>
      <c r="F45" t="s">
        <v>76</v>
      </c>
      <c r="G45" s="1">
        <v>45648</v>
      </c>
      <c r="H45">
        <v>3</v>
      </c>
      <c r="I45" t="s">
        <v>38</v>
      </c>
      <c r="J45" t="s">
        <v>57</v>
      </c>
      <c r="K45">
        <v>0.25</v>
      </c>
      <c r="L45">
        <v>195.25</v>
      </c>
      <c r="M45">
        <v>781</v>
      </c>
      <c r="N45">
        <v>585.75</v>
      </c>
      <c r="O45" t="s">
        <v>54</v>
      </c>
      <c r="P45">
        <v>1277</v>
      </c>
      <c r="Q45" t="s">
        <v>76</v>
      </c>
      <c r="R45" s="1">
        <v>45648</v>
      </c>
      <c r="S45">
        <v>1</v>
      </c>
      <c r="T45" t="s">
        <v>38</v>
      </c>
      <c r="U45" t="s">
        <v>57</v>
      </c>
      <c r="V45" t="s">
        <v>1339</v>
      </c>
      <c r="W45" t="s">
        <v>1253</v>
      </c>
      <c r="X45">
        <v>5290</v>
      </c>
      <c r="Y45">
        <v>1200</v>
      </c>
      <c r="Z45">
        <v>1200</v>
      </c>
      <c r="AA45" t="s">
        <v>1340</v>
      </c>
    </row>
    <row r="46" spans="1:27" x14ac:dyDescent="0.2">
      <c r="A46">
        <v>3045</v>
      </c>
      <c r="B46" t="s">
        <v>139</v>
      </c>
      <c r="C46" t="str">
        <f>_xlfn.CONCAT(Merge[[#This Row],[Customer First Name]]," ",Merge[[#This Row],[Customer Last Name]])</f>
        <v>Wyatt Ochoa</v>
      </c>
      <c r="D46" t="s">
        <v>140</v>
      </c>
      <c r="E46">
        <v>1278</v>
      </c>
      <c r="F46" t="s">
        <v>76</v>
      </c>
      <c r="G46" s="1">
        <v>45563</v>
      </c>
      <c r="H46">
        <v>2</v>
      </c>
      <c r="I46" t="s">
        <v>32</v>
      </c>
      <c r="J46" t="s">
        <v>43</v>
      </c>
      <c r="K46">
        <v>0.25</v>
      </c>
      <c r="L46">
        <v>34.75</v>
      </c>
      <c r="M46">
        <v>139</v>
      </c>
      <c r="N46">
        <v>104.25</v>
      </c>
      <c r="O46" t="s">
        <v>44</v>
      </c>
      <c r="P46">
        <v>1278</v>
      </c>
      <c r="Q46" t="s">
        <v>76</v>
      </c>
      <c r="R46" s="1">
        <v>45563</v>
      </c>
      <c r="S46">
        <v>2</v>
      </c>
      <c r="T46" t="s">
        <v>32</v>
      </c>
      <c r="U46" t="s">
        <v>43</v>
      </c>
      <c r="V46" t="s">
        <v>1341</v>
      </c>
      <c r="W46" t="s">
        <v>1299</v>
      </c>
      <c r="X46">
        <v>2500</v>
      </c>
      <c r="Y46">
        <v>1200</v>
      </c>
      <c r="Z46">
        <v>2400</v>
      </c>
      <c r="AA46" t="s">
        <v>1342</v>
      </c>
    </row>
    <row r="47" spans="1:27" x14ac:dyDescent="0.2">
      <c r="A47">
        <v>3046</v>
      </c>
      <c r="B47" t="s">
        <v>141</v>
      </c>
      <c r="C47" t="str">
        <f>_xlfn.CONCAT(Merge[[#This Row],[Customer First Name]]," ",Merge[[#This Row],[Customer Last Name]])</f>
        <v>Leah Rollins</v>
      </c>
      <c r="D47" t="s">
        <v>142</v>
      </c>
      <c r="E47">
        <v>1279</v>
      </c>
      <c r="F47" t="s">
        <v>31</v>
      </c>
      <c r="G47" s="1">
        <v>45331</v>
      </c>
      <c r="H47">
        <v>3</v>
      </c>
      <c r="I47" t="s">
        <v>32</v>
      </c>
      <c r="J47" t="s">
        <v>47</v>
      </c>
      <c r="K47">
        <v>0.1</v>
      </c>
      <c r="L47">
        <v>159.60000000000002</v>
      </c>
      <c r="M47">
        <v>1596</v>
      </c>
      <c r="N47">
        <v>1436.4</v>
      </c>
      <c r="O47" t="s">
        <v>114</v>
      </c>
      <c r="P47">
        <v>1279</v>
      </c>
      <c r="Q47" t="s">
        <v>31</v>
      </c>
      <c r="R47" s="1">
        <v>45331</v>
      </c>
      <c r="S47">
        <v>1</v>
      </c>
      <c r="T47" t="s">
        <v>32</v>
      </c>
      <c r="U47" t="s">
        <v>47</v>
      </c>
      <c r="V47" t="s">
        <v>1343</v>
      </c>
      <c r="W47" t="s">
        <v>1247</v>
      </c>
      <c r="X47">
        <v>3350</v>
      </c>
      <c r="Y47">
        <v>250</v>
      </c>
      <c r="Z47">
        <v>250</v>
      </c>
      <c r="AA47" t="s">
        <v>1344</v>
      </c>
    </row>
    <row r="48" spans="1:27" x14ac:dyDescent="0.2">
      <c r="A48">
        <v>3047</v>
      </c>
      <c r="B48" t="s">
        <v>143</v>
      </c>
      <c r="C48" t="str">
        <f>_xlfn.CONCAT(Merge[[#This Row],[Customer First Name]]," ",Merge[[#This Row],[Customer Last Name]])</f>
        <v>Kane Buck</v>
      </c>
      <c r="D48" t="s">
        <v>104</v>
      </c>
      <c r="E48">
        <v>1280</v>
      </c>
      <c r="F48" t="s">
        <v>76</v>
      </c>
      <c r="G48" s="1">
        <v>45436</v>
      </c>
      <c r="H48">
        <v>1</v>
      </c>
      <c r="I48" t="s">
        <v>32</v>
      </c>
      <c r="J48" t="s">
        <v>53</v>
      </c>
      <c r="K48">
        <v>0.25</v>
      </c>
      <c r="L48">
        <v>79</v>
      </c>
      <c r="M48">
        <v>316</v>
      </c>
      <c r="N48">
        <v>237</v>
      </c>
      <c r="O48" t="s">
        <v>48</v>
      </c>
      <c r="P48">
        <v>1280</v>
      </c>
      <c r="Q48" t="s">
        <v>76</v>
      </c>
      <c r="R48" s="1">
        <v>45436</v>
      </c>
      <c r="S48">
        <v>2</v>
      </c>
      <c r="T48" t="s">
        <v>32</v>
      </c>
      <c r="U48" t="s">
        <v>53</v>
      </c>
      <c r="V48" t="s">
        <v>1345</v>
      </c>
      <c r="W48" t="s">
        <v>1305</v>
      </c>
      <c r="X48">
        <v>4000</v>
      </c>
      <c r="Y48">
        <v>1200</v>
      </c>
      <c r="Z48">
        <v>2400</v>
      </c>
      <c r="AA48" t="s">
        <v>1346</v>
      </c>
    </row>
    <row r="49" spans="1:27" x14ac:dyDescent="0.2">
      <c r="A49">
        <v>3048</v>
      </c>
      <c r="B49" t="s">
        <v>144</v>
      </c>
      <c r="C49" t="str">
        <f>_xlfn.CONCAT(Merge[[#This Row],[Customer First Name]]," ",Merge[[#This Row],[Customer Last Name]])</f>
        <v>Madilyn Blevins</v>
      </c>
      <c r="D49" t="s">
        <v>145</v>
      </c>
      <c r="E49">
        <v>1281</v>
      </c>
      <c r="F49" t="s">
        <v>51</v>
      </c>
      <c r="G49" s="1">
        <v>45505</v>
      </c>
      <c r="H49">
        <v>3</v>
      </c>
      <c r="I49" t="s">
        <v>32</v>
      </c>
      <c r="J49" t="s">
        <v>57</v>
      </c>
      <c r="K49">
        <v>0.2</v>
      </c>
      <c r="L49">
        <v>295.2</v>
      </c>
      <c r="M49">
        <v>1476</v>
      </c>
      <c r="N49">
        <v>1180.8</v>
      </c>
      <c r="O49" t="s">
        <v>44</v>
      </c>
      <c r="P49">
        <v>1281</v>
      </c>
      <c r="Q49" t="s">
        <v>51</v>
      </c>
      <c r="R49" s="1">
        <v>45505</v>
      </c>
      <c r="S49">
        <v>2</v>
      </c>
      <c r="T49" t="s">
        <v>32</v>
      </c>
      <c r="U49" t="s">
        <v>57</v>
      </c>
      <c r="V49" t="s">
        <v>1347</v>
      </c>
      <c r="W49" t="s">
        <v>1095</v>
      </c>
      <c r="X49">
        <v>5000</v>
      </c>
      <c r="Y49">
        <v>250</v>
      </c>
      <c r="Z49">
        <v>500</v>
      </c>
      <c r="AA49" t="s">
        <v>1348</v>
      </c>
    </row>
    <row r="50" spans="1:27" x14ac:dyDescent="0.2">
      <c r="A50">
        <v>3049</v>
      </c>
      <c r="B50" t="s">
        <v>146</v>
      </c>
      <c r="C50" t="str">
        <f>_xlfn.CONCAT(Merge[[#This Row],[Customer First Name]]," ",Merge[[#This Row],[Customer Last Name]])</f>
        <v>Jared Parsons</v>
      </c>
      <c r="D50" t="s">
        <v>147</v>
      </c>
      <c r="E50">
        <v>1282</v>
      </c>
      <c r="F50" t="s">
        <v>92</v>
      </c>
      <c r="G50" s="1">
        <v>45340</v>
      </c>
      <c r="H50">
        <v>2</v>
      </c>
      <c r="I50" t="s">
        <v>32</v>
      </c>
      <c r="J50" t="s">
        <v>57</v>
      </c>
      <c r="K50">
        <v>0.3</v>
      </c>
      <c r="L50">
        <v>522.9</v>
      </c>
      <c r="M50">
        <v>1743</v>
      </c>
      <c r="N50">
        <v>1220.0999999999999</v>
      </c>
      <c r="O50" t="s">
        <v>48</v>
      </c>
      <c r="P50">
        <v>1282</v>
      </c>
      <c r="Q50" t="s">
        <v>92</v>
      </c>
      <c r="R50" s="1">
        <v>45340</v>
      </c>
      <c r="S50">
        <v>3</v>
      </c>
      <c r="T50" t="s">
        <v>32</v>
      </c>
      <c r="U50" t="s">
        <v>57</v>
      </c>
      <c r="V50" t="s">
        <v>1349</v>
      </c>
      <c r="W50" t="s">
        <v>1350</v>
      </c>
      <c r="X50">
        <v>5600</v>
      </c>
      <c r="Y50">
        <v>600</v>
      </c>
      <c r="Z50">
        <v>1800</v>
      </c>
      <c r="AA50" t="s">
        <v>1351</v>
      </c>
    </row>
    <row r="51" spans="1:27" x14ac:dyDescent="0.2">
      <c r="A51">
        <v>3050</v>
      </c>
      <c r="B51" t="s">
        <v>148</v>
      </c>
      <c r="C51" t="str">
        <f>_xlfn.CONCAT(Merge[[#This Row],[Customer First Name]]," ",Merge[[#This Row],[Customer Last Name]])</f>
        <v>Jackson Flores</v>
      </c>
      <c r="D51" t="s">
        <v>149</v>
      </c>
      <c r="E51">
        <v>1283</v>
      </c>
      <c r="F51" t="s">
        <v>51</v>
      </c>
      <c r="G51" s="1">
        <v>45368</v>
      </c>
      <c r="H51">
        <v>2</v>
      </c>
      <c r="I51" t="s">
        <v>32</v>
      </c>
      <c r="J51" t="s">
        <v>43</v>
      </c>
      <c r="K51">
        <v>0.2</v>
      </c>
      <c r="L51">
        <v>338.20000000000005</v>
      </c>
      <c r="M51">
        <v>1691</v>
      </c>
      <c r="N51">
        <v>1352.8</v>
      </c>
      <c r="O51" t="s">
        <v>114</v>
      </c>
      <c r="P51">
        <v>1283</v>
      </c>
      <c r="Q51" t="s">
        <v>51</v>
      </c>
      <c r="R51" s="1">
        <v>45368</v>
      </c>
      <c r="S51">
        <v>1</v>
      </c>
      <c r="T51" t="s">
        <v>32</v>
      </c>
      <c r="U51" t="s">
        <v>43</v>
      </c>
      <c r="V51" t="s">
        <v>1352</v>
      </c>
      <c r="W51" t="s">
        <v>1299</v>
      </c>
      <c r="X51">
        <v>2500</v>
      </c>
      <c r="Y51">
        <v>250</v>
      </c>
      <c r="Z51">
        <v>250</v>
      </c>
      <c r="AA51" t="s">
        <v>1353</v>
      </c>
    </row>
    <row r="52" spans="1:27" x14ac:dyDescent="0.2">
      <c r="A52">
        <v>3051</v>
      </c>
      <c r="B52" t="s">
        <v>150</v>
      </c>
      <c r="C52" t="str">
        <f>_xlfn.CONCAT(Merge[[#This Row],[Customer First Name]]," ",Merge[[#This Row],[Customer Last Name]])</f>
        <v>Abigail Collier</v>
      </c>
      <c r="D52" t="s">
        <v>151</v>
      </c>
      <c r="E52">
        <v>1284</v>
      </c>
      <c r="F52" t="s">
        <v>37</v>
      </c>
      <c r="G52" s="1">
        <v>45324</v>
      </c>
      <c r="H52">
        <v>3</v>
      </c>
      <c r="I52" t="s">
        <v>32</v>
      </c>
      <c r="J52" t="s">
        <v>47</v>
      </c>
      <c r="K52">
        <v>0.3</v>
      </c>
      <c r="L52">
        <v>5.0999999999999996</v>
      </c>
      <c r="M52">
        <v>17</v>
      </c>
      <c r="N52">
        <v>11.9</v>
      </c>
      <c r="O52" t="s">
        <v>34</v>
      </c>
      <c r="P52">
        <v>1284</v>
      </c>
      <c r="Q52" t="s">
        <v>37</v>
      </c>
      <c r="R52" s="1">
        <v>45324</v>
      </c>
      <c r="S52">
        <v>2</v>
      </c>
      <c r="T52" t="s">
        <v>32</v>
      </c>
      <c r="U52" t="s">
        <v>47</v>
      </c>
      <c r="V52" t="s">
        <v>1354</v>
      </c>
      <c r="W52" t="s">
        <v>1247</v>
      </c>
      <c r="X52">
        <v>3350</v>
      </c>
      <c r="Y52">
        <v>800</v>
      </c>
      <c r="Z52">
        <v>1600</v>
      </c>
      <c r="AA52" t="s">
        <v>1355</v>
      </c>
    </row>
    <row r="53" spans="1:27" x14ac:dyDescent="0.2">
      <c r="A53">
        <v>3052</v>
      </c>
      <c r="B53" t="s">
        <v>152</v>
      </c>
      <c r="C53" t="str">
        <f>_xlfn.CONCAT(Merge[[#This Row],[Customer First Name]]," ",Merge[[#This Row],[Customer Last Name]])</f>
        <v>Greyson Harvey</v>
      </c>
      <c r="D53" t="s">
        <v>153</v>
      </c>
      <c r="E53">
        <v>1285</v>
      </c>
      <c r="F53" t="s">
        <v>31</v>
      </c>
      <c r="G53" s="1">
        <v>45321</v>
      </c>
      <c r="H53">
        <v>3</v>
      </c>
      <c r="I53" t="s">
        <v>52</v>
      </c>
      <c r="J53" t="s">
        <v>43</v>
      </c>
      <c r="K53">
        <v>0.1</v>
      </c>
      <c r="L53">
        <v>183.60000000000002</v>
      </c>
      <c r="M53">
        <v>1836</v>
      </c>
      <c r="N53">
        <v>1652.4</v>
      </c>
      <c r="O53" t="s">
        <v>34</v>
      </c>
      <c r="P53">
        <v>1285</v>
      </c>
      <c r="Q53" t="s">
        <v>31</v>
      </c>
      <c r="R53" s="1">
        <v>45321</v>
      </c>
      <c r="S53">
        <v>3</v>
      </c>
      <c r="T53" t="s">
        <v>52</v>
      </c>
      <c r="U53" t="s">
        <v>43</v>
      </c>
      <c r="V53" t="s">
        <v>1356</v>
      </c>
      <c r="W53" t="s">
        <v>1244</v>
      </c>
      <c r="X53">
        <v>2300</v>
      </c>
      <c r="Y53">
        <v>250</v>
      </c>
      <c r="Z53">
        <v>750</v>
      </c>
      <c r="AA53" t="s">
        <v>1357</v>
      </c>
    </row>
    <row r="54" spans="1:27" x14ac:dyDescent="0.2">
      <c r="A54">
        <v>3053</v>
      </c>
      <c r="B54" t="s">
        <v>154</v>
      </c>
      <c r="C54" t="str">
        <f>_xlfn.CONCAT(Merge[[#This Row],[Customer First Name]]," ",Merge[[#This Row],[Customer Last Name]])</f>
        <v>Luca Hunter</v>
      </c>
      <c r="D54" t="s">
        <v>155</v>
      </c>
      <c r="E54">
        <v>1286</v>
      </c>
      <c r="F54" t="s">
        <v>92</v>
      </c>
      <c r="G54" s="1">
        <v>45597</v>
      </c>
      <c r="H54">
        <v>1</v>
      </c>
      <c r="I54" t="s">
        <v>52</v>
      </c>
      <c r="J54" t="s">
        <v>43</v>
      </c>
      <c r="K54">
        <v>0.3</v>
      </c>
      <c r="L54">
        <v>125.39999999999999</v>
      </c>
      <c r="M54">
        <v>418</v>
      </c>
      <c r="N54">
        <v>292.60000000000002</v>
      </c>
      <c r="O54" t="s">
        <v>48</v>
      </c>
      <c r="P54">
        <v>1286</v>
      </c>
      <c r="Q54" t="s">
        <v>92</v>
      </c>
      <c r="R54" s="1">
        <v>45597</v>
      </c>
      <c r="S54">
        <v>2</v>
      </c>
      <c r="T54" t="s">
        <v>52</v>
      </c>
      <c r="U54" t="s">
        <v>43</v>
      </c>
      <c r="V54" t="s">
        <v>1358</v>
      </c>
      <c r="W54" t="s">
        <v>1299</v>
      </c>
      <c r="X54">
        <v>2500</v>
      </c>
      <c r="Y54">
        <v>600</v>
      </c>
      <c r="Z54">
        <v>1200</v>
      </c>
      <c r="AA54" t="s">
        <v>1359</v>
      </c>
    </row>
    <row r="55" spans="1:27" x14ac:dyDescent="0.2">
      <c r="A55">
        <v>3054</v>
      </c>
      <c r="B55" t="s">
        <v>121</v>
      </c>
      <c r="C55" t="str">
        <f>_xlfn.CONCAT(Merge[[#This Row],[Customer First Name]]," ",Merge[[#This Row],[Customer Last Name]])</f>
        <v>Mariana Morris</v>
      </c>
      <c r="D55" t="s">
        <v>156</v>
      </c>
      <c r="E55">
        <v>1287</v>
      </c>
      <c r="F55" t="s">
        <v>37</v>
      </c>
      <c r="G55" s="1">
        <v>45531</v>
      </c>
      <c r="H55">
        <v>3</v>
      </c>
      <c r="I55" t="s">
        <v>52</v>
      </c>
      <c r="J55" t="s">
        <v>81</v>
      </c>
      <c r="K55">
        <v>0.3</v>
      </c>
      <c r="L55">
        <v>248.1</v>
      </c>
      <c r="M55">
        <v>827</v>
      </c>
      <c r="N55">
        <v>578.9</v>
      </c>
      <c r="O55" t="s">
        <v>48</v>
      </c>
      <c r="P55">
        <v>1287</v>
      </c>
      <c r="Q55" t="s">
        <v>37</v>
      </c>
      <c r="R55" s="1">
        <v>45531</v>
      </c>
      <c r="S55">
        <v>3</v>
      </c>
      <c r="T55" t="s">
        <v>52</v>
      </c>
      <c r="U55" t="s">
        <v>81</v>
      </c>
      <c r="V55" t="s">
        <v>1360</v>
      </c>
      <c r="W55" t="s">
        <v>1361</v>
      </c>
      <c r="X55">
        <v>870</v>
      </c>
      <c r="Y55">
        <v>800</v>
      </c>
      <c r="Z55">
        <v>2400</v>
      </c>
      <c r="AA55" t="s">
        <v>1362</v>
      </c>
    </row>
    <row r="56" spans="1:27" x14ac:dyDescent="0.2">
      <c r="A56">
        <v>3055</v>
      </c>
      <c r="B56" t="s">
        <v>157</v>
      </c>
      <c r="C56" t="str">
        <f>_xlfn.CONCAT(Merge[[#This Row],[Customer First Name]]," ",Merge[[#This Row],[Customer Last Name]])</f>
        <v>Eliza Mcdaniel</v>
      </c>
      <c r="D56" t="s">
        <v>158</v>
      </c>
      <c r="E56">
        <v>1288</v>
      </c>
      <c r="F56" t="s">
        <v>31</v>
      </c>
      <c r="G56" s="1">
        <v>45589</v>
      </c>
      <c r="H56">
        <v>2</v>
      </c>
      <c r="I56" t="s">
        <v>52</v>
      </c>
      <c r="J56" t="s">
        <v>47</v>
      </c>
      <c r="K56">
        <v>0.1</v>
      </c>
      <c r="L56">
        <v>32.300000000000004</v>
      </c>
      <c r="M56">
        <v>323</v>
      </c>
      <c r="N56">
        <v>290.7</v>
      </c>
      <c r="O56" t="s">
        <v>48</v>
      </c>
      <c r="P56">
        <v>1288</v>
      </c>
      <c r="Q56" t="s">
        <v>31</v>
      </c>
      <c r="R56" s="1">
        <v>45589</v>
      </c>
      <c r="S56">
        <v>2</v>
      </c>
      <c r="T56" t="s">
        <v>52</v>
      </c>
      <c r="U56" t="s">
        <v>47</v>
      </c>
      <c r="V56" t="s">
        <v>1363</v>
      </c>
      <c r="W56" t="s">
        <v>1247</v>
      </c>
      <c r="X56">
        <v>3350</v>
      </c>
      <c r="Y56">
        <v>250</v>
      </c>
      <c r="Z56">
        <v>500</v>
      </c>
      <c r="AA56" t="s">
        <v>1364</v>
      </c>
    </row>
    <row r="57" spans="1:27" x14ac:dyDescent="0.2">
      <c r="A57">
        <v>3056</v>
      </c>
      <c r="B57" t="s">
        <v>159</v>
      </c>
      <c r="C57" t="str">
        <f>_xlfn.CONCAT(Merge[[#This Row],[Customer First Name]]," ",Merge[[#This Row],[Customer Last Name]])</f>
        <v>Molly Atkins</v>
      </c>
      <c r="D57" t="s">
        <v>160</v>
      </c>
      <c r="E57">
        <v>1289</v>
      </c>
      <c r="F57" t="s">
        <v>76</v>
      </c>
      <c r="G57" s="1">
        <v>45326</v>
      </c>
      <c r="H57">
        <v>3</v>
      </c>
      <c r="I57" t="s">
        <v>52</v>
      </c>
      <c r="J57" t="s">
        <v>43</v>
      </c>
      <c r="K57">
        <v>0.25</v>
      </c>
      <c r="L57">
        <v>62.5</v>
      </c>
      <c r="M57">
        <v>250</v>
      </c>
      <c r="N57">
        <v>187.5</v>
      </c>
      <c r="O57" t="s">
        <v>54</v>
      </c>
      <c r="P57">
        <v>1289</v>
      </c>
      <c r="Q57" t="s">
        <v>76</v>
      </c>
      <c r="R57" s="1">
        <v>45326</v>
      </c>
      <c r="S57">
        <v>2</v>
      </c>
      <c r="T57" t="s">
        <v>52</v>
      </c>
      <c r="U57" t="s">
        <v>43</v>
      </c>
      <c r="V57" t="s">
        <v>1365</v>
      </c>
      <c r="W57" t="s">
        <v>1299</v>
      </c>
      <c r="X57">
        <v>2500</v>
      </c>
      <c r="Y57">
        <v>1200</v>
      </c>
      <c r="Z57">
        <v>2400</v>
      </c>
      <c r="AA57" t="s">
        <v>1366</v>
      </c>
    </row>
    <row r="58" spans="1:27" x14ac:dyDescent="0.2">
      <c r="A58">
        <v>3057</v>
      </c>
      <c r="B58" t="s">
        <v>161</v>
      </c>
      <c r="C58" t="str">
        <f>_xlfn.CONCAT(Merge[[#This Row],[Customer First Name]]," ",Merge[[#This Row],[Customer Last Name]])</f>
        <v>Arielle Maldonado</v>
      </c>
      <c r="D58" t="s">
        <v>162</v>
      </c>
      <c r="E58">
        <v>1290</v>
      </c>
      <c r="F58" t="s">
        <v>42</v>
      </c>
      <c r="G58" s="1">
        <v>45371</v>
      </c>
      <c r="H58">
        <v>1</v>
      </c>
      <c r="I58" t="s">
        <v>38</v>
      </c>
      <c r="J58" t="s">
        <v>57</v>
      </c>
      <c r="K58">
        <v>0.25</v>
      </c>
      <c r="L58">
        <v>376.25</v>
      </c>
      <c r="M58">
        <v>1505</v>
      </c>
      <c r="N58">
        <v>1128.75</v>
      </c>
      <c r="O58" t="s">
        <v>44</v>
      </c>
      <c r="P58">
        <v>1290</v>
      </c>
      <c r="Q58" t="s">
        <v>42</v>
      </c>
      <c r="R58" s="1">
        <v>45371</v>
      </c>
      <c r="S58">
        <v>3</v>
      </c>
      <c r="T58" t="s">
        <v>38</v>
      </c>
      <c r="U58" t="s">
        <v>57</v>
      </c>
      <c r="V58" t="s">
        <v>1367</v>
      </c>
      <c r="W58" t="s">
        <v>1095</v>
      </c>
      <c r="X58">
        <v>5000</v>
      </c>
      <c r="Y58">
        <v>300</v>
      </c>
      <c r="Z58">
        <v>900</v>
      </c>
      <c r="AA58" t="s">
        <v>1368</v>
      </c>
    </row>
    <row r="59" spans="1:27" x14ac:dyDescent="0.2">
      <c r="A59">
        <v>3058</v>
      </c>
      <c r="B59" t="s">
        <v>163</v>
      </c>
      <c r="C59" t="str">
        <f>_xlfn.CONCAT(Merge[[#This Row],[Customer First Name]]," ",Merge[[#This Row],[Customer Last Name]])</f>
        <v>Demi Trevino</v>
      </c>
      <c r="D59" t="s">
        <v>164</v>
      </c>
      <c r="E59">
        <v>1291</v>
      </c>
      <c r="F59" t="s">
        <v>76</v>
      </c>
      <c r="G59" s="1">
        <v>45612</v>
      </c>
      <c r="H59">
        <v>1</v>
      </c>
      <c r="I59" t="s">
        <v>52</v>
      </c>
      <c r="J59" t="s">
        <v>39</v>
      </c>
      <c r="K59">
        <v>0.25</v>
      </c>
      <c r="L59">
        <v>35.5</v>
      </c>
      <c r="M59">
        <v>142</v>
      </c>
      <c r="N59">
        <v>106.5</v>
      </c>
      <c r="O59" t="s">
        <v>48</v>
      </c>
      <c r="P59">
        <v>1291</v>
      </c>
      <c r="Q59" t="s">
        <v>76</v>
      </c>
      <c r="R59" s="1">
        <v>45612</v>
      </c>
      <c r="S59">
        <v>1</v>
      </c>
      <c r="T59" t="s">
        <v>52</v>
      </c>
      <c r="U59" t="s">
        <v>39</v>
      </c>
      <c r="V59" t="s">
        <v>1369</v>
      </c>
      <c r="W59" t="s">
        <v>1241</v>
      </c>
      <c r="X59">
        <v>2600</v>
      </c>
      <c r="Y59">
        <v>1200</v>
      </c>
      <c r="Z59">
        <v>1200</v>
      </c>
      <c r="AA59" t="s">
        <v>1370</v>
      </c>
    </row>
    <row r="60" spans="1:27" x14ac:dyDescent="0.2">
      <c r="A60">
        <v>3059</v>
      </c>
      <c r="B60" t="s">
        <v>150</v>
      </c>
      <c r="C60" t="str">
        <f>_xlfn.CONCAT(Merge[[#This Row],[Customer First Name]]," ",Merge[[#This Row],[Customer Last Name]])</f>
        <v>Mckenna Collier</v>
      </c>
      <c r="D60" t="s">
        <v>165</v>
      </c>
      <c r="E60">
        <v>1292</v>
      </c>
      <c r="F60" t="s">
        <v>51</v>
      </c>
      <c r="G60" s="1">
        <v>45447</v>
      </c>
      <c r="H60">
        <v>2</v>
      </c>
      <c r="I60" t="s">
        <v>32</v>
      </c>
      <c r="J60" t="s">
        <v>81</v>
      </c>
      <c r="K60">
        <v>0.2</v>
      </c>
      <c r="L60">
        <v>111</v>
      </c>
      <c r="M60">
        <v>555</v>
      </c>
      <c r="N60">
        <v>444</v>
      </c>
      <c r="O60" t="s">
        <v>48</v>
      </c>
      <c r="P60">
        <v>1292</v>
      </c>
      <c r="Q60" t="s">
        <v>51</v>
      </c>
      <c r="R60" s="1">
        <v>45447</v>
      </c>
      <c r="S60">
        <v>3</v>
      </c>
      <c r="T60" t="s">
        <v>32</v>
      </c>
      <c r="U60" t="s">
        <v>81</v>
      </c>
      <c r="V60" t="s">
        <v>1371</v>
      </c>
      <c r="W60" t="s">
        <v>1280</v>
      </c>
      <c r="X60">
        <v>800</v>
      </c>
      <c r="Y60">
        <v>250</v>
      </c>
      <c r="Z60">
        <v>750</v>
      </c>
      <c r="AA60" t="s">
        <v>1372</v>
      </c>
    </row>
    <row r="61" spans="1:27" x14ac:dyDescent="0.2">
      <c r="A61">
        <v>3060</v>
      </c>
      <c r="B61" t="s">
        <v>166</v>
      </c>
      <c r="C61" t="str">
        <f>_xlfn.CONCAT(Merge[[#This Row],[Customer First Name]]," ",Merge[[#This Row],[Customer Last Name]])</f>
        <v>Adalynn Baldwin</v>
      </c>
      <c r="D61" t="s">
        <v>167</v>
      </c>
      <c r="E61">
        <v>1293</v>
      </c>
      <c r="F61" t="s">
        <v>76</v>
      </c>
      <c r="G61" s="1">
        <v>45404</v>
      </c>
      <c r="H61">
        <v>3</v>
      </c>
      <c r="I61" t="s">
        <v>52</v>
      </c>
      <c r="J61" t="s">
        <v>43</v>
      </c>
      <c r="K61">
        <v>0.25</v>
      </c>
      <c r="L61">
        <v>152.25</v>
      </c>
      <c r="M61">
        <v>609</v>
      </c>
      <c r="N61">
        <v>456.75</v>
      </c>
      <c r="O61" t="s">
        <v>48</v>
      </c>
      <c r="P61">
        <v>1293</v>
      </c>
      <c r="Q61" t="s">
        <v>76</v>
      </c>
      <c r="R61" s="1">
        <v>45404</v>
      </c>
      <c r="S61">
        <v>2</v>
      </c>
      <c r="T61" t="s">
        <v>52</v>
      </c>
      <c r="U61" t="s">
        <v>43</v>
      </c>
      <c r="V61" t="s">
        <v>1373</v>
      </c>
      <c r="W61" t="s">
        <v>865</v>
      </c>
      <c r="X61">
        <v>2000</v>
      </c>
      <c r="Y61">
        <v>1200</v>
      </c>
      <c r="Z61">
        <v>2400</v>
      </c>
      <c r="AA61" t="s">
        <v>1374</v>
      </c>
    </row>
    <row r="62" spans="1:27" x14ac:dyDescent="0.2">
      <c r="A62">
        <v>3061</v>
      </c>
      <c r="B62" t="s">
        <v>168</v>
      </c>
      <c r="C62" t="str">
        <f>_xlfn.CONCAT(Merge[[#This Row],[Customer First Name]]," ",Merge[[#This Row],[Customer Last Name]])</f>
        <v>Preston Silva</v>
      </c>
      <c r="D62" t="s">
        <v>49</v>
      </c>
      <c r="E62">
        <v>1294</v>
      </c>
      <c r="F62" t="s">
        <v>76</v>
      </c>
      <c r="G62" s="1">
        <v>45556</v>
      </c>
      <c r="H62">
        <v>2</v>
      </c>
      <c r="I62" t="s">
        <v>52</v>
      </c>
      <c r="J62" t="s">
        <v>33</v>
      </c>
      <c r="K62">
        <v>0.25</v>
      </c>
      <c r="L62">
        <v>281</v>
      </c>
      <c r="M62">
        <v>1124</v>
      </c>
      <c r="N62">
        <v>843</v>
      </c>
      <c r="O62" t="s">
        <v>34</v>
      </c>
      <c r="P62">
        <v>1294</v>
      </c>
      <c r="Q62" t="s">
        <v>76</v>
      </c>
      <c r="R62" s="1">
        <v>45556</v>
      </c>
      <c r="S62">
        <v>3</v>
      </c>
      <c r="T62" t="s">
        <v>52</v>
      </c>
      <c r="U62" t="s">
        <v>33</v>
      </c>
      <c r="V62" t="s">
        <v>1375</v>
      </c>
      <c r="W62" t="s">
        <v>1302</v>
      </c>
      <c r="X62">
        <v>6000</v>
      </c>
      <c r="Y62">
        <v>1200</v>
      </c>
      <c r="Z62">
        <v>3600</v>
      </c>
      <c r="AA62" t="s">
        <v>1376</v>
      </c>
    </row>
    <row r="63" spans="1:27" x14ac:dyDescent="0.2">
      <c r="A63">
        <v>3062</v>
      </c>
      <c r="B63" t="s">
        <v>169</v>
      </c>
      <c r="C63" t="str">
        <f>_xlfn.CONCAT(Merge[[#This Row],[Customer First Name]]," ",Merge[[#This Row],[Customer Last Name]])</f>
        <v>Bailey Watts</v>
      </c>
      <c r="D63" t="s">
        <v>170</v>
      </c>
      <c r="E63">
        <v>1295</v>
      </c>
      <c r="F63" t="s">
        <v>92</v>
      </c>
      <c r="G63" s="1">
        <v>45540</v>
      </c>
      <c r="H63">
        <v>2</v>
      </c>
      <c r="I63" t="s">
        <v>52</v>
      </c>
      <c r="J63" t="s">
        <v>43</v>
      </c>
      <c r="K63">
        <v>0.3</v>
      </c>
      <c r="L63">
        <v>16.5</v>
      </c>
      <c r="M63">
        <v>55</v>
      </c>
      <c r="N63">
        <v>38.5</v>
      </c>
      <c r="O63" t="s">
        <v>34</v>
      </c>
      <c r="P63">
        <v>1295</v>
      </c>
      <c r="Q63" t="s">
        <v>92</v>
      </c>
      <c r="R63" s="1">
        <v>45540</v>
      </c>
      <c r="S63">
        <v>3</v>
      </c>
      <c r="T63" t="s">
        <v>52</v>
      </c>
      <c r="U63" t="s">
        <v>43</v>
      </c>
      <c r="V63" t="s">
        <v>1377</v>
      </c>
      <c r="W63" t="s">
        <v>1244</v>
      </c>
      <c r="X63">
        <v>2300</v>
      </c>
      <c r="Y63">
        <v>600</v>
      </c>
      <c r="Z63">
        <v>1800</v>
      </c>
      <c r="AA63" t="s">
        <v>1378</v>
      </c>
    </row>
    <row r="64" spans="1:27" x14ac:dyDescent="0.2">
      <c r="A64">
        <v>3063</v>
      </c>
      <c r="B64" t="s">
        <v>171</v>
      </c>
      <c r="C64" t="str">
        <f>_xlfn.CONCAT(Merge[[#This Row],[Customer First Name]]," ",Merge[[#This Row],[Customer Last Name]])</f>
        <v>Bentley Russell</v>
      </c>
      <c r="D64" t="s">
        <v>172</v>
      </c>
      <c r="E64">
        <v>1296</v>
      </c>
      <c r="F64" t="s">
        <v>51</v>
      </c>
      <c r="G64" s="1">
        <v>45540</v>
      </c>
      <c r="H64">
        <v>3</v>
      </c>
      <c r="I64" t="s">
        <v>32</v>
      </c>
      <c r="J64" t="s">
        <v>53</v>
      </c>
      <c r="K64">
        <v>0.2</v>
      </c>
      <c r="L64">
        <v>206.4</v>
      </c>
      <c r="M64">
        <v>1032</v>
      </c>
      <c r="N64">
        <v>825.6</v>
      </c>
      <c r="O64" t="s">
        <v>48</v>
      </c>
      <c r="P64">
        <v>1296</v>
      </c>
      <c r="Q64" t="s">
        <v>51</v>
      </c>
      <c r="R64" s="1">
        <v>45540</v>
      </c>
      <c r="S64">
        <v>1</v>
      </c>
      <c r="T64" t="s">
        <v>32</v>
      </c>
      <c r="U64" t="s">
        <v>53</v>
      </c>
      <c r="V64" t="s">
        <v>1379</v>
      </c>
      <c r="W64" t="s">
        <v>1250</v>
      </c>
      <c r="X64">
        <v>4217</v>
      </c>
      <c r="Y64">
        <v>250</v>
      </c>
      <c r="Z64">
        <v>250</v>
      </c>
      <c r="AA64" t="s">
        <v>1380</v>
      </c>
    </row>
    <row r="65" spans="1:27" x14ac:dyDescent="0.2">
      <c r="A65">
        <v>3064</v>
      </c>
      <c r="B65" t="s">
        <v>173</v>
      </c>
      <c r="C65" t="str">
        <f>_xlfn.CONCAT(Merge[[#This Row],[Customer First Name]]," ",Merge[[#This Row],[Customer Last Name]])</f>
        <v>Lillian Harrington</v>
      </c>
      <c r="D65" t="s">
        <v>174</v>
      </c>
      <c r="E65">
        <v>1297</v>
      </c>
      <c r="F65" t="s">
        <v>51</v>
      </c>
      <c r="G65" s="1">
        <v>45382</v>
      </c>
      <c r="H65">
        <v>2</v>
      </c>
      <c r="I65" t="s">
        <v>32</v>
      </c>
      <c r="J65" t="s">
        <v>81</v>
      </c>
      <c r="K65">
        <v>0.2</v>
      </c>
      <c r="L65">
        <v>184</v>
      </c>
      <c r="M65">
        <v>920</v>
      </c>
      <c r="N65">
        <v>736</v>
      </c>
      <c r="O65" t="s">
        <v>48</v>
      </c>
      <c r="P65">
        <v>1297</v>
      </c>
      <c r="Q65" t="s">
        <v>51</v>
      </c>
      <c r="R65" s="1">
        <v>45382</v>
      </c>
      <c r="S65">
        <v>3</v>
      </c>
      <c r="T65" t="s">
        <v>32</v>
      </c>
      <c r="U65" t="s">
        <v>81</v>
      </c>
      <c r="V65" t="s">
        <v>1381</v>
      </c>
      <c r="W65" t="s">
        <v>1280</v>
      </c>
      <c r="X65">
        <v>800</v>
      </c>
      <c r="Y65">
        <v>250</v>
      </c>
      <c r="Z65">
        <v>750</v>
      </c>
      <c r="AA65" t="s">
        <v>1382</v>
      </c>
    </row>
    <row r="66" spans="1:27" x14ac:dyDescent="0.2">
      <c r="A66">
        <v>3065</v>
      </c>
      <c r="B66" t="s">
        <v>175</v>
      </c>
      <c r="C66" t="str">
        <f>_xlfn.CONCAT(Merge[[#This Row],[Customer First Name]]," ",Merge[[#This Row],[Customer Last Name]])</f>
        <v>Kayden Fleming</v>
      </c>
      <c r="D66" t="s">
        <v>176</v>
      </c>
      <c r="E66">
        <v>1298</v>
      </c>
      <c r="F66" t="s">
        <v>76</v>
      </c>
      <c r="G66" s="1">
        <v>45313</v>
      </c>
      <c r="H66">
        <v>3</v>
      </c>
      <c r="I66" t="s">
        <v>52</v>
      </c>
      <c r="J66" t="s">
        <v>64</v>
      </c>
      <c r="K66">
        <v>0.25</v>
      </c>
      <c r="L66">
        <v>243.5</v>
      </c>
      <c r="M66">
        <v>974</v>
      </c>
      <c r="N66">
        <v>730.5</v>
      </c>
      <c r="O66" t="s">
        <v>54</v>
      </c>
      <c r="P66">
        <v>1298</v>
      </c>
      <c r="Q66" t="s">
        <v>76</v>
      </c>
      <c r="R66" s="1">
        <v>45313</v>
      </c>
      <c r="S66">
        <v>3</v>
      </c>
      <c r="T66" t="s">
        <v>52</v>
      </c>
      <c r="U66" t="s">
        <v>64</v>
      </c>
      <c r="V66" t="s">
        <v>1383</v>
      </c>
      <c r="W66" t="s">
        <v>1262</v>
      </c>
      <c r="X66">
        <v>7250</v>
      </c>
      <c r="Y66">
        <v>1200</v>
      </c>
      <c r="Z66">
        <v>3600</v>
      </c>
      <c r="AA66" t="s">
        <v>1384</v>
      </c>
    </row>
    <row r="67" spans="1:27" x14ac:dyDescent="0.2">
      <c r="A67">
        <v>3066</v>
      </c>
      <c r="B67" t="s">
        <v>56</v>
      </c>
      <c r="C67" t="str">
        <f>_xlfn.CONCAT(Merge[[#This Row],[Customer First Name]]," ",Merge[[#This Row],[Customer Last Name]])</f>
        <v>Manuel Hayden</v>
      </c>
      <c r="D67" t="s">
        <v>177</v>
      </c>
      <c r="E67">
        <v>1299</v>
      </c>
      <c r="F67" t="s">
        <v>76</v>
      </c>
      <c r="G67" s="1">
        <v>45636</v>
      </c>
      <c r="H67">
        <v>3</v>
      </c>
      <c r="I67" t="s">
        <v>52</v>
      </c>
      <c r="J67" t="s">
        <v>81</v>
      </c>
      <c r="K67">
        <v>0.25</v>
      </c>
      <c r="L67">
        <v>276</v>
      </c>
      <c r="M67">
        <v>1104</v>
      </c>
      <c r="N67">
        <v>828</v>
      </c>
      <c r="O67" t="s">
        <v>48</v>
      </c>
      <c r="P67">
        <v>1299</v>
      </c>
      <c r="Q67" t="s">
        <v>76</v>
      </c>
      <c r="R67" s="1">
        <v>45636</v>
      </c>
      <c r="S67">
        <v>3</v>
      </c>
      <c r="T67" t="s">
        <v>52</v>
      </c>
      <c r="U67" t="s">
        <v>81</v>
      </c>
      <c r="V67" t="s">
        <v>1385</v>
      </c>
      <c r="W67" t="s">
        <v>1361</v>
      </c>
      <c r="X67">
        <v>870</v>
      </c>
      <c r="Y67">
        <v>1200</v>
      </c>
      <c r="Z67">
        <v>3600</v>
      </c>
      <c r="AA67" t="s">
        <v>1386</v>
      </c>
    </row>
    <row r="68" spans="1:27" x14ac:dyDescent="0.2">
      <c r="A68">
        <v>3067</v>
      </c>
      <c r="B68" t="s">
        <v>178</v>
      </c>
      <c r="C68" t="str">
        <f>_xlfn.CONCAT(Merge[[#This Row],[Customer First Name]]," ",Merge[[#This Row],[Customer Last Name]])</f>
        <v>Hattie Nicholson</v>
      </c>
      <c r="D68" t="s">
        <v>179</v>
      </c>
      <c r="E68">
        <v>1300</v>
      </c>
      <c r="F68" t="s">
        <v>42</v>
      </c>
      <c r="G68" s="1">
        <v>45440</v>
      </c>
      <c r="H68">
        <v>1</v>
      </c>
      <c r="I68" t="s">
        <v>32</v>
      </c>
      <c r="J68" t="s">
        <v>39</v>
      </c>
      <c r="K68">
        <v>0.25</v>
      </c>
      <c r="L68">
        <v>260.5</v>
      </c>
      <c r="M68">
        <v>1042</v>
      </c>
      <c r="N68">
        <v>781.5</v>
      </c>
      <c r="O68" t="s">
        <v>114</v>
      </c>
      <c r="P68">
        <v>1300</v>
      </c>
      <c r="Q68" t="s">
        <v>42</v>
      </c>
      <c r="R68" s="1">
        <v>45440</v>
      </c>
      <c r="S68">
        <v>1</v>
      </c>
      <c r="T68" t="s">
        <v>32</v>
      </c>
      <c r="U68" t="s">
        <v>39</v>
      </c>
      <c r="V68" t="s">
        <v>1387</v>
      </c>
      <c r="W68" t="s">
        <v>1241</v>
      </c>
      <c r="X68">
        <v>2600</v>
      </c>
      <c r="Y68">
        <v>300</v>
      </c>
      <c r="Z68">
        <v>300</v>
      </c>
      <c r="AA68" t="s">
        <v>1388</v>
      </c>
    </row>
    <row r="69" spans="1:27" x14ac:dyDescent="0.2">
      <c r="A69">
        <v>3068</v>
      </c>
      <c r="B69" t="s">
        <v>180</v>
      </c>
      <c r="C69" t="str">
        <f>_xlfn.CONCAT(Merge[[#This Row],[Customer First Name]]," ",Merge[[#This Row],[Customer Last Name]])</f>
        <v>Legacy Guerra</v>
      </c>
      <c r="D69" t="s">
        <v>181</v>
      </c>
      <c r="E69">
        <v>1301</v>
      </c>
      <c r="F69" t="s">
        <v>92</v>
      </c>
      <c r="G69" s="1">
        <v>45354</v>
      </c>
      <c r="H69">
        <v>3</v>
      </c>
      <c r="I69" t="s">
        <v>32</v>
      </c>
      <c r="J69" t="s">
        <v>33</v>
      </c>
      <c r="K69">
        <v>0.3</v>
      </c>
      <c r="L69">
        <v>110.7</v>
      </c>
      <c r="M69">
        <v>369</v>
      </c>
      <c r="N69">
        <v>258.3</v>
      </c>
      <c r="O69" t="s">
        <v>48</v>
      </c>
      <c r="P69">
        <v>1301</v>
      </c>
      <c r="Q69" t="s">
        <v>92</v>
      </c>
      <c r="R69" s="1">
        <v>45354</v>
      </c>
      <c r="S69">
        <v>2</v>
      </c>
      <c r="T69" t="s">
        <v>32</v>
      </c>
      <c r="U69" t="s">
        <v>33</v>
      </c>
      <c r="V69" t="s">
        <v>1389</v>
      </c>
      <c r="W69" t="s">
        <v>1238</v>
      </c>
      <c r="X69">
        <v>6725</v>
      </c>
      <c r="Y69">
        <v>600</v>
      </c>
      <c r="Z69">
        <v>1200</v>
      </c>
      <c r="AA69" t="s">
        <v>1390</v>
      </c>
    </row>
    <row r="70" spans="1:27" x14ac:dyDescent="0.2">
      <c r="A70">
        <v>3069</v>
      </c>
      <c r="B70" t="s">
        <v>182</v>
      </c>
      <c r="C70" t="str">
        <f>_xlfn.CONCAT(Merge[[#This Row],[Customer First Name]]," ",Merge[[#This Row],[Customer Last Name]])</f>
        <v>Brantley Correa</v>
      </c>
      <c r="D70" t="s">
        <v>183</v>
      </c>
      <c r="E70">
        <v>1302</v>
      </c>
      <c r="F70" t="s">
        <v>51</v>
      </c>
      <c r="G70" s="1">
        <v>45475</v>
      </c>
      <c r="H70">
        <v>1</v>
      </c>
      <c r="I70" t="s">
        <v>52</v>
      </c>
      <c r="J70" t="s">
        <v>64</v>
      </c>
      <c r="K70">
        <v>0.2</v>
      </c>
      <c r="L70">
        <v>281.2</v>
      </c>
      <c r="M70">
        <v>1406</v>
      </c>
      <c r="N70">
        <v>1124.8</v>
      </c>
      <c r="O70" t="s">
        <v>44</v>
      </c>
      <c r="P70">
        <v>1302</v>
      </c>
      <c r="Q70" t="s">
        <v>51</v>
      </c>
      <c r="R70" s="1">
        <v>45475</v>
      </c>
      <c r="S70">
        <v>1</v>
      </c>
      <c r="T70" t="s">
        <v>52</v>
      </c>
      <c r="U70" t="s">
        <v>64</v>
      </c>
      <c r="V70" t="s">
        <v>1391</v>
      </c>
      <c r="W70" t="s">
        <v>1262</v>
      </c>
      <c r="X70">
        <v>7250</v>
      </c>
      <c r="Y70">
        <v>250</v>
      </c>
      <c r="Z70">
        <v>250</v>
      </c>
      <c r="AA70" t="s">
        <v>1392</v>
      </c>
    </row>
    <row r="71" spans="1:27" x14ac:dyDescent="0.2">
      <c r="A71">
        <v>3070</v>
      </c>
      <c r="B71" t="s">
        <v>184</v>
      </c>
      <c r="C71" t="str">
        <f>_xlfn.CONCAT(Merge[[#This Row],[Customer First Name]]," ",Merge[[#This Row],[Customer Last Name]])</f>
        <v>Rosie Carey</v>
      </c>
      <c r="D71" t="s">
        <v>185</v>
      </c>
      <c r="E71">
        <v>1303</v>
      </c>
      <c r="F71" t="s">
        <v>76</v>
      </c>
      <c r="G71" s="1">
        <v>45594</v>
      </c>
      <c r="H71">
        <v>2</v>
      </c>
      <c r="I71" t="s">
        <v>32</v>
      </c>
      <c r="J71" t="s">
        <v>43</v>
      </c>
      <c r="K71">
        <v>0.25</v>
      </c>
      <c r="L71">
        <v>394.5</v>
      </c>
      <c r="M71">
        <v>1578</v>
      </c>
      <c r="N71">
        <v>1183.5</v>
      </c>
      <c r="O71" t="s">
        <v>34</v>
      </c>
      <c r="P71">
        <v>1303</v>
      </c>
      <c r="Q71" t="s">
        <v>76</v>
      </c>
      <c r="R71" s="1">
        <v>45594</v>
      </c>
      <c r="S71">
        <v>3</v>
      </c>
      <c r="T71" t="s">
        <v>32</v>
      </c>
      <c r="U71" t="s">
        <v>43</v>
      </c>
      <c r="V71" t="s">
        <v>1393</v>
      </c>
      <c r="W71" t="s">
        <v>1299</v>
      </c>
      <c r="X71">
        <v>2500</v>
      </c>
      <c r="Y71">
        <v>1200</v>
      </c>
      <c r="Z71">
        <v>3600</v>
      </c>
      <c r="AA71" t="s">
        <v>1394</v>
      </c>
    </row>
    <row r="72" spans="1:27" x14ac:dyDescent="0.2">
      <c r="A72">
        <v>3071</v>
      </c>
      <c r="B72" t="s">
        <v>133</v>
      </c>
      <c r="C72" t="str">
        <f>_xlfn.CONCAT(Merge[[#This Row],[Customer First Name]]," ",Merge[[#This Row],[Customer Last Name]])</f>
        <v>Heaven Morales</v>
      </c>
      <c r="D72" t="s">
        <v>186</v>
      </c>
      <c r="E72">
        <v>1304</v>
      </c>
      <c r="F72" t="s">
        <v>92</v>
      </c>
      <c r="G72" s="1">
        <v>45657</v>
      </c>
      <c r="H72">
        <v>3</v>
      </c>
      <c r="I72" t="s">
        <v>32</v>
      </c>
      <c r="J72" t="s">
        <v>81</v>
      </c>
      <c r="K72">
        <v>0.3</v>
      </c>
      <c r="L72">
        <v>249</v>
      </c>
      <c r="M72">
        <v>830</v>
      </c>
      <c r="N72">
        <v>581</v>
      </c>
      <c r="O72" t="s">
        <v>44</v>
      </c>
      <c r="P72">
        <v>1304</v>
      </c>
      <c r="Q72" t="s">
        <v>92</v>
      </c>
      <c r="R72" s="1">
        <v>45657</v>
      </c>
      <c r="S72">
        <v>1</v>
      </c>
      <c r="T72" t="s">
        <v>32</v>
      </c>
      <c r="U72" t="s">
        <v>81</v>
      </c>
      <c r="V72" t="s">
        <v>1395</v>
      </c>
      <c r="W72" t="s">
        <v>1361</v>
      </c>
      <c r="X72">
        <v>870</v>
      </c>
      <c r="Y72">
        <v>600</v>
      </c>
      <c r="Z72">
        <v>600</v>
      </c>
      <c r="AA72" t="s">
        <v>1396</v>
      </c>
    </row>
    <row r="73" spans="1:27" x14ac:dyDescent="0.2">
      <c r="A73">
        <v>3072</v>
      </c>
      <c r="B73" t="s">
        <v>187</v>
      </c>
      <c r="C73" t="str">
        <f>_xlfn.CONCAT(Merge[[#This Row],[Customer First Name]]," ",Merge[[#This Row],[Customer Last Name]])</f>
        <v>Chance Carroll</v>
      </c>
      <c r="D73" t="s">
        <v>188</v>
      </c>
      <c r="E73">
        <v>1305</v>
      </c>
      <c r="F73" t="s">
        <v>42</v>
      </c>
      <c r="G73" s="1">
        <v>45485</v>
      </c>
      <c r="H73">
        <v>1</v>
      </c>
      <c r="I73" t="s">
        <v>32</v>
      </c>
      <c r="J73" t="s">
        <v>47</v>
      </c>
      <c r="K73">
        <v>0.25</v>
      </c>
      <c r="L73">
        <v>395.75</v>
      </c>
      <c r="M73">
        <v>1583</v>
      </c>
      <c r="N73">
        <v>1187.25</v>
      </c>
      <c r="O73" t="s">
        <v>48</v>
      </c>
      <c r="P73">
        <v>1305</v>
      </c>
      <c r="Q73" t="s">
        <v>42</v>
      </c>
      <c r="R73" s="1">
        <v>45485</v>
      </c>
      <c r="S73">
        <v>1</v>
      </c>
      <c r="T73" t="s">
        <v>32</v>
      </c>
      <c r="U73" t="s">
        <v>47</v>
      </c>
      <c r="V73" t="s">
        <v>1397</v>
      </c>
      <c r="W73" t="s">
        <v>1247</v>
      </c>
      <c r="X73">
        <v>3350</v>
      </c>
      <c r="Y73">
        <v>300</v>
      </c>
      <c r="Z73">
        <v>300</v>
      </c>
      <c r="AA73" t="s">
        <v>1398</v>
      </c>
    </row>
    <row r="74" spans="1:27" x14ac:dyDescent="0.2">
      <c r="A74">
        <v>3073</v>
      </c>
      <c r="B74" t="s">
        <v>189</v>
      </c>
      <c r="C74" t="str">
        <f>_xlfn.CONCAT(Merge[[#This Row],[Customer First Name]]," ",Merge[[#This Row],[Customer Last Name]])</f>
        <v>Parker Bautista</v>
      </c>
      <c r="D74" t="s">
        <v>190</v>
      </c>
      <c r="E74">
        <v>1306</v>
      </c>
      <c r="F74" t="s">
        <v>76</v>
      </c>
      <c r="G74" s="1">
        <v>45542</v>
      </c>
      <c r="H74">
        <v>3</v>
      </c>
      <c r="I74" t="s">
        <v>32</v>
      </c>
      <c r="J74" t="s">
        <v>64</v>
      </c>
      <c r="K74">
        <v>0.25</v>
      </c>
      <c r="L74">
        <v>448.5</v>
      </c>
      <c r="M74">
        <v>1794</v>
      </c>
      <c r="N74">
        <v>1345.5</v>
      </c>
      <c r="O74" t="s">
        <v>54</v>
      </c>
      <c r="P74">
        <v>1306</v>
      </c>
      <c r="Q74" t="s">
        <v>76</v>
      </c>
      <c r="R74" s="1">
        <v>45542</v>
      </c>
      <c r="S74">
        <v>1</v>
      </c>
      <c r="T74" t="s">
        <v>32</v>
      </c>
      <c r="U74" t="s">
        <v>64</v>
      </c>
      <c r="V74" t="s">
        <v>1399</v>
      </c>
      <c r="W74" t="s">
        <v>1400</v>
      </c>
      <c r="X74">
        <v>7310</v>
      </c>
      <c r="Y74">
        <v>1200</v>
      </c>
      <c r="Z74">
        <v>1200</v>
      </c>
      <c r="AA74" t="s">
        <v>1401</v>
      </c>
    </row>
    <row r="75" spans="1:27" x14ac:dyDescent="0.2">
      <c r="A75">
        <v>3074</v>
      </c>
      <c r="B75" t="s">
        <v>191</v>
      </c>
      <c r="C75" t="str">
        <f>_xlfn.CONCAT(Merge[[#This Row],[Customer First Name]]," ",Merge[[#This Row],[Customer Last Name]])</f>
        <v>Kamari Fox</v>
      </c>
      <c r="D75" t="s">
        <v>192</v>
      </c>
      <c r="E75">
        <v>1307</v>
      </c>
      <c r="F75" t="s">
        <v>31</v>
      </c>
      <c r="G75" s="1">
        <v>45313</v>
      </c>
      <c r="H75">
        <v>2</v>
      </c>
      <c r="I75" t="s">
        <v>38</v>
      </c>
      <c r="J75" t="s">
        <v>57</v>
      </c>
      <c r="K75">
        <v>0.1</v>
      </c>
      <c r="L75">
        <v>59</v>
      </c>
      <c r="M75">
        <v>590</v>
      </c>
      <c r="N75">
        <v>531</v>
      </c>
      <c r="O75" t="s">
        <v>34</v>
      </c>
      <c r="P75">
        <v>1307</v>
      </c>
      <c r="Q75" t="s">
        <v>31</v>
      </c>
      <c r="R75" s="1">
        <v>45313</v>
      </c>
      <c r="S75">
        <v>1</v>
      </c>
      <c r="T75" t="s">
        <v>38</v>
      </c>
      <c r="U75" t="s">
        <v>57</v>
      </c>
      <c r="V75" t="s">
        <v>1402</v>
      </c>
      <c r="W75" t="s">
        <v>1095</v>
      </c>
      <c r="X75">
        <v>5000</v>
      </c>
      <c r="Y75">
        <v>250</v>
      </c>
      <c r="Z75">
        <v>250</v>
      </c>
      <c r="AA75" t="s">
        <v>1403</v>
      </c>
    </row>
    <row r="76" spans="1:27" x14ac:dyDescent="0.2">
      <c r="A76">
        <v>3075</v>
      </c>
      <c r="B76" t="s">
        <v>193</v>
      </c>
      <c r="C76" t="str">
        <f>_xlfn.CONCAT(Merge[[#This Row],[Customer First Name]]," ",Merge[[#This Row],[Customer Last Name]])</f>
        <v>Emerson Wong</v>
      </c>
      <c r="D76" t="s">
        <v>194</v>
      </c>
      <c r="E76">
        <v>1308</v>
      </c>
      <c r="F76" t="s">
        <v>51</v>
      </c>
      <c r="G76" s="1">
        <v>45396</v>
      </c>
      <c r="H76">
        <v>2</v>
      </c>
      <c r="I76" t="s">
        <v>32</v>
      </c>
      <c r="J76" t="s">
        <v>81</v>
      </c>
      <c r="K76">
        <v>0.2</v>
      </c>
      <c r="L76">
        <v>198</v>
      </c>
      <c r="M76">
        <v>990</v>
      </c>
      <c r="N76">
        <v>792</v>
      </c>
      <c r="O76" t="s">
        <v>114</v>
      </c>
      <c r="P76">
        <v>1308</v>
      </c>
      <c r="Q76" t="s">
        <v>51</v>
      </c>
      <c r="R76" s="1">
        <v>45396</v>
      </c>
      <c r="S76">
        <v>3</v>
      </c>
      <c r="T76" t="s">
        <v>32</v>
      </c>
      <c r="U76" t="s">
        <v>81</v>
      </c>
      <c r="V76" t="s">
        <v>1404</v>
      </c>
      <c r="W76" t="s">
        <v>1361</v>
      </c>
      <c r="X76">
        <v>870</v>
      </c>
      <c r="Y76">
        <v>250</v>
      </c>
      <c r="Z76">
        <v>750</v>
      </c>
      <c r="AA76" t="s">
        <v>1405</v>
      </c>
    </row>
    <row r="77" spans="1:27" x14ac:dyDescent="0.2">
      <c r="A77">
        <v>3076</v>
      </c>
      <c r="B77" t="s">
        <v>195</v>
      </c>
      <c r="C77" t="str">
        <f>_xlfn.CONCAT(Merge[[#This Row],[Customer First Name]]," ",Merge[[#This Row],[Customer Last Name]])</f>
        <v>Tatum Rubio</v>
      </c>
      <c r="D77" t="s">
        <v>196</v>
      </c>
      <c r="E77">
        <v>1309</v>
      </c>
      <c r="F77" t="s">
        <v>31</v>
      </c>
      <c r="G77" s="1">
        <v>45533</v>
      </c>
      <c r="H77">
        <v>2</v>
      </c>
      <c r="I77" t="s">
        <v>32</v>
      </c>
      <c r="J77" t="s">
        <v>47</v>
      </c>
      <c r="K77">
        <v>0.1</v>
      </c>
      <c r="L77">
        <v>122.5</v>
      </c>
      <c r="M77">
        <v>1225</v>
      </c>
      <c r="N77">
        <v>1102.5</v>
      </c>
      <c r="O77" t="s">
        <v>34</v>
      </c>
      <c r="P77">
        <v>1309</v>
      </c>
      <c r="Q77" t="s">
        <v>31</v>
      </c>
      <c r="R77" s="1">
        <v>45533</v>
      </c>
      <c r="S77">
        <v>2</v>
      </c>
      <c r="T77" t="s">
        <v>32</v>
      </c>
      <c r="U77" t="s">
        <v>47</v>
      </c>
      <c r="V77" t="s">
        <v>1406</v>
      </c>
      <c r="W77" t="s">
        <v>1256</v>
      </c>
      <c r="X77">
        <v>3220</v>
      </c>
      <c r="Y77">
        <v>250</v>
      </c>
      <c r="Z77">
        <v>500</v>
      </c>
      <c r="AA77" t="s">
        <v>1407</v>
      </c>
    </row>
    <row r="78" spans="1:27" x14ac:dyDescent="0.2">
      <c r="A78">
        <v>3077</v>
      </c>
      <c r="B78" t="s">
        <v>197</v>
      </c>
      <c r="C78" t="str">
        <f>_xlfn.CONCAT(Merge[[#This Row],[Customer First Name]]," ",Merge[[#This Row],[Customer Last Name]])</f>
        <v>Sarai Sanchez</v>
      </c>
      <c r="D78" t="s">
        <v>120</v>
      </c>
      <c r="E78">
        <v>1310</v>
      </c>
      <c r="F78" t="s">
        <v>37</v>
      </c>
      <c r="G78" s="1">
        <v>45361</v>
      </c>
      <c r="H78">
        <v>3</v>
      </c>
      <c r="I78" t="s">
        <v>32</v>
      </c>
      <c r="J78" t="s">
        <v>39</v>
      </c>
      <c r="K78">
        <v>0.3</v>
      </c>
      <c r="L78">
        <v>123.3</v>
      </c>
      <c r="M78">
        <v>411</v>
      </c>
      <c r="N78">
        <v>287.7</v>
      </c>
      <c r="O78" t="s">
        <v>34</v>
      </c>
      <c r="P78">
        <v>1310</v>
      </c>
      <c r="Q78" t="s">
        <v>37</v>
      </c>
      <c r="R78" s="1">
        <v>45361</v>
      </c>
      <c r="S78">
        <v>1</v>
      </c>
      <c r="T78" t="s">
        <v>32</v>
      </c>
      <c r="U78" t="s">
        <v>39</v>
      </c>
      <c r="V78" t="s">
        <v>1408</v>
      </c>
      <c r="W78" t="s">
        <v>1241</v>
      </c>
      <c r="X78">
        <v>2600</v>
      </c>
      <c r="Y78">
        <v>800</v>
      </c>
      <c r="Z78">
        <v>800</v>
      </c>
      <c r="AA78" t="s">
        <v>1409</v>
      </c>
    </row>
    <row r="79" spans="1:27" x14ac:dyDescent="0.2">
      <c r="A79">
        <v>3078</v>
      </c>
      <c r="B79" t="s">
        <v>198</v>
      </c>
      <c r="C79" t="str">
        <f>_xlfn.CONCAT(Merge[[#This Row],[Customer First Name]]," ",Merge[[#This Row],[Customer Last Name]])</f>
        <v>Gunner Dean</v>
      </c>
      <c r="D79" t="s">
        <v>199</v>
      </c>
      <c r="E79">
        <v>1311</v>
      </c>
      <c r="F79" t="s">
        <v>76</v>
      </c>
      <c r="G79" s="1">
        <v>45561</v>
      </c>
      <c r="H79">
        <v>2</v>
      </c>
      <c r="I79" t="s">
        <v>32</v>
      </c>
      <c r="J79" t="s">
        <v>81</v>
      </c>
      <c r="K79">
        <v>0.25</v>
      </c>
      <c r="L79">
        <v>163.5</v>
      </c>
      <c r="M79">
        <v>654</v>
      </c>
      <c r="N79">
        <v>490.5</v>
      </c>
      <c r="O79" t="s">
        <v>48</v>
      </c>
      <c r="P79">
        <v>1311</v>
      </c>
      <c r="Q79" t="s">
        <v>76</v>
      </c>
      <c r="R79" s="1">
        <v>45561</v>
      </c>
      <c r="S79">
        <v>2</v>
      </c>
      <c r="T79" t="s">
        <v>32</v>
      </c>
      <c r="U79" t="s">
        <v>81</v>
      </c>
      <c r="V79" t="s">
        <v>1410</v>
      </c>
      <c r="W79" t="s">
        <v>1280</v>
      </c>
      <c r="X79">
        <v>800</v>
      </c>
      <c r="Y79">
        <v>1200</v>
      </c>
      <c r="Z79">
        <v>2400</v>
      </c>
      <c r="AA79" t="s">
        <v>1411</v>
      </c>
    </row>
    <row r="80" spans="1:27" x14ac:dyDescent="0.2">
      <c r="A80">
        <v>3079</v>
      </c>
      <c r="B80" t="s">
        <v>200</v>
      </c>
      <c r="C80" t="str">
        <f>_xlfn.CONCAT(Merge[[#This Row],[Customer First Name]]," ",Merge[[#This Row],[Customer Last Name]])</f>
        <v>Willa Pham</v>
      </c>
      <c r="D80" t="s">
        <v>201</v>
      </c>
      <c r="E80">
        <v>1312</v>
      </c>
      <c r="F80" t="s">
        <v>51</v>
      </c>
      <c r="G80" s="1">
        <v>45642</v>
      </c>
      <c r="H80">
        <v>2</v>
      </c>
      <c r="I80" t="s">
        <v>52</v>
      </c>
      <c r="J80" t="s">
        <v>47</v>
      </c>
      <c r="K80">
        <v>0.2</v>
      </c>
      <c r="L80">
        <v>38.200000000000003</v>
      </c>
      <c r="M80">
        <v>191</v>
      </c>
      <c r="N80">
        <v>152.80000000000001</v>
      </c>
      <c r="O80" t="s">
        <v>34</v>
      </c>
      <c r="P80">
        <v>1312</v>
      </c>
      <c r="Q80" t="s">
        <v>51</v>
      </c>
      <c r="R80" s="1">
        <v>45642</v>
      </c>
      <c r="S80">
        <v>2</v>
      </c>
      <c r="T80" t="s">
        <v>52</v>
      </c>
      <c r="U80" t="s">
        <v>47</v>
      </c>
      <c r="V80" t="s">
        <v>1412</v>
      </c>
      <c r="W80" t="s">
        <v>1275</v>
      </c>
      <c r="X80">
        <v>3000</v>
      </c>
      <c r="Y80">
        <v>250</v>
      </c>
      <c r="Z80">
        <v>500</v>
      </c>
      <c r="AA80" t="s">
        <v>1413</v>
      </c>
    </row>
    <row r="81" spans="1:27" x14ac:dyDescent="0.2">
      <c r="A81">
        <v>3080</v>
      </c>
      <c r="B81" t="s">
        <v>202</v>
      </c>
      <c r="C81" t="str">
        <f>_xlfn.CONCAT(Merge[[#This Row],[Customer First Name]]," ",Merge[[#This Row],[Customer Last Name]])</f>
        <v>Cooper Mata</v>
      </c>
      <c r="D81" t="s">
        <v>203</v>
      </c>
      <c r="E81">
        <v>1313</v>
      </c>
      <c r="F81" t="s">
        <v>76</v>
      </c>
      <c r="G81" s="1">
        <v>45527</v>
      </c>
      <c r="H81">
        <v>3</v>
      </c>
      <c r="I81" t="s">
        <v>38</v>
      </c>
      <c r="J81" t="s">
        <v>43</v>
      </c>
      <c r="K81">
        <v>0.25</v>
      </c>
      <c r="L81">
        <v>212</v>
      </c>
      <c r="M81">
        <v>848</v>
      </c>
      <c r="N81">
        <v>636</v>
      </c>
      <c r="O81" t="s">
        <v>44</v>
      </c>
      <c r="P81">
        <v>1313</v>
      </c>
      <c r="Q81" t="s">
        <v>76</v>
      </c>
      <c r="R81" s="1">
        <v>45527</v>
      </c>
      <c r="S81">
        <v>1</v>
      </c>
      <c r="T81" t="s">
        <v>38</v>
      </c>
      <c r="U81" t="s">
        <v>43</v>
      </c>
      <c r="V81" t="s">
        <v>1414</v>
      </c>
      <c r="W81" t="s">
        <v>1299</v>
      </c>
      <c r="X81">
        <v>2500</v>
      </c>
      <c r="Y81">
        <v>1200</v>
      </c>
      <c r="Z81">
        <v>1200</v>
      </c>
      <c r="AA81" t="s">
        <v>1415</v>
      </c>
    </row>
    <row r="82" spans="1:27" x14ac:dyDescent="0.2">
      <c r="A82">
        <v>3081</v>
      </c>
      <c r="B82" t="s">
        <v>204</v>
      </c>
      <c r="C82" t="str">
        <f>_xlfn.CONCAT(Merge[[#This Row],[Customer First Name]]," ",Merge[[#This Row],[Customer Last Name]])</f>
        <v>Jude Mason</v>
      </c>
      <c r="D82" t="s">
        <v>205</v>
      </c>
      <c r="E82">
        <v>1314</v>
      </c>
      <c r="F82" t="s">
        <v>51</v>
      </c>
      <c r="G82" s="1">
        <v>45514</v>
      </c>
      <c r="H82">
        <v>3</v>
      </c>
      <c r="I82" t="s">
        <v>52</v>
      </c>
      <c r="J82" t="s">
        <v>47</v>
      </c>
      <c r="K82">
        <v>0.2</v>
      </c>
      <c r="L82">
        <v>107.80000000000001</v>
      </c>
      <c r="M82">
        <v>539</v>
      </c>
      <c r="N82">
        <v>431.2</v>
      </c>
      <c r="O82" t="s">
        <v>34</v>
      </c>
      <c r="P82">
        <v>1314</v>
      </c>
      <c r="Q82" t="s">
        <v>51</v>
      </c>
      <c r="R82" s="1">
        <v>45514</v>
      </c>
      <c r="S82">
        <v>3</v>
      </c>
      <c r="T82" t="s">
        <v>52</v>
      </c>
      <c r="U82" t="s">
        <v>47</v>
      </c>
      <c r="V82" t="s">
        <v>1416</v>
      </c>
      <c r="W82" t="s">
        <v>1275</v>
      </c>
      <c r="X82">
        <v>3000</v>
      </c>
      <c r="Y82">
        <v>250</v>
      </c>
      <c r="Z82">
        <v>750</v>
      </c>
      <c r="AA82" t="s">
        <v>1417</v>
      </c>
    </row>
    <row r="83" spans="1:27" x14ac:dyDescent="0.2">
      <c r="A83">
        <v>3082</v>
      </c>
      <c r="B83" t="s">
        <v>77</v>
      </c>
      <c r="C83" t="str">
        <f>_xlfn.CONCAT(Merge[[#This Row],[Customer First Name]]," ",Merge[[#This Row],[Customer Last Name]])</f>
        <v>Ari Woodard</v>
      </c>
      <c r="D83" t="s">
        <v>206</v>
      </c>
      <c r="E83">
        <v>1315</v>
      </c>
      <c r="F83" t="s">
        <v>42</v>
      </c>
      <c r="G83" s="1">
        <v>45518</v>
      </c>
      <c r="H83">
        <v>2</v>
      </c>
      <c r="I83" t="s">
        <v>52</v>
      </c>
      <c r="J83" t="s">
        <v>53</v>
      </c>
      <c r="K83">
        <v>0.25</v>
      </c>
      <c r="L83">
        <v>198.5</v>
      </c>
      <c r="M83">
        <v>794</v>
      </c>
      <c r="N83">
        <v>595.5</v>
      </c>
      <c r="O83" t="s">
        <v>44</v>
      </c>
      <c r="P83">
        <v>1315</v>
      </c>
      <c r="Q83" t="s">
        <v>42</v>
      </c>
      <c r="R83" s="1">
        <v>45518</v>
      </c>
      <c r="S83">
        <v>3</v>
      </c>
      <c r="T83" t="s">
        <v>52</v>
      </c>
      <c r="U83" t="s">
        <v>53</v>
      </c>
      <c r="V83" t="s">
        <v>1418</v>
      </c>
      <c r="W83" t="s">
        <v>1250</v>
      </c>
      <c r="X83">
        <v>4217</v>
      </c>
      <c r="Y83">
        <v>300</v>
      </c>
      <c r="Z83">
        <v>900</v>
      </c>
      <c r="AA83" t="s">
        <v>1419</v>
      </c>
    </row>
    <row r="84" spans="1:27" x14ac:dyDescent="0.2">
      <c r="A84">
        <v>3083</v>
      </c>
      <c r="B84" t="s">
        <v>207</v>
      </c>
      <c r="C84" t="str">
        <f>_xlfn.CONCAT(Merge[[#This Row],[Customer First Name]]," ",Merge[[#This Row],[Customer Last Name]])</f>
        <v>Alessandra Watson</v>
      </c>
      <c r="D84" t="s">
        <v>208</v>
      </c>
      <c r="E84">
        <v>1316</v>
      </c>
      <c r="F84" t="s">
        <v>31</v>
      </c>
      <c r="G84" s="1">
        <v>45626</v>
      </c>
      <c r="H84">
        <v>3</v>
      </c>
      <c r="I84" t="s">
        <v>52</v>
      </c>
      <c r="J84" t="s">
        <v>47</v>
      </c>
      <c r="K84">
        <v>0.1</v>
      </c>
      <c r="L84">
        <v>62</v>
      </c>
      <c r="M84">
        <v>620</v>
      </c>
      <c r="N84">
        <v>558</v>
      </c>
      <c r="O84" t="s">
        <v>34</v>
      </c>
      <c r="P84">
        <v>1316</v>
      </c>
      <c r="Q84" t="s">
        <v>31</v>
      </c>
      <c r="R84" s="1">
        <v>45626</v>
      </c>
      <c r="S84">
        <v>1</v>
      </c>
      <c r="T84" t="s">
        <v>52</v>
      </c>
      <c r="U84" t="s">
        <v>47</v>
      </c>
      <c r="V84" t="s">
        <v>1420</v>
      </c>
      <c r="W84" t="s">
        <v>1247</v>
      </c>
      <c r="X84">
        <v>3350</v>
      </c>
      <c r="Y84">
        <v>250</v>
      </c>
      <c r="Z84">
        <v>250</v>
      </c>
      <c r="AA84" t="s">
        <v>1421</v>
      </c>
    </row>
    <row r="85" spans="1:27" x14ac:dyDescent="0.2">
      <c r="A85">
        <v>3084</v>
      </c>
      <c r="B85" t="s">
        <v>209</v>
      </c>
      <c r="C85" t="str">
        <f>_xlfn.CONCAT(Merge[[#This Row],[Customer First Name]]," ",Merge[[#This Row],[Customer Last Name]])</f>
        <v>Callen Coleman</v>
      </c>
      <c r="D85" t="s">
        <v>210</v>
      </c>
      <c r="E85">
        <v>1317</v>
      </c>
      <c r="F85" t="s">
        <v>76</v>
      </c>
      <c r="G85" s="1">
        <v>45630</v>
      </c>
      <c r="H85">
        <v>3</v>
      </c>
      <c r="I85" t="s">
        <v>32</v>
      </c>
      <c r="J85" t="s">
        <v>39</v>
      </c>
      <c r="K85">
        <v>0.25</v>
      </c>
      <c r="L85">
        <v>419.75</v>
      </c>
      <c r="M85">
        <v>1679</v>
      </c>
      <c r="N85">
        <v>1259.25</v>
      </c>
      <c r="O85" t="s">
        <v>54</v>
      </c>
      <c r="P85">
        <v>1317</v>
      </c>
      <c r="Q85" t="s">
        <v>76</v>
      </c>
      <c r="R85" s="1">
        <v>45630</v>
      </c>
      <c r="S85">
        <v>3</v>
      </c>
      <c r="T85" t="s">
        <v>32</v>
      </c>
      <c r="U85" t="s">
        <v>39</v>
      </c>
      <c r="V85" t="s">
        <v>1422</v>
      </c>
      <c r="W85" t="s">
        <v>1241</v>
      </c>
      <c r="X85">
        <v>2600</v>
      </c>
      <c r="Y85">
        <v>1200</v>
      </c>
      <c r="Z85">
        <v>3600</v>
      </c>
      <c r="AA85" t="s">
        <v>1423</v>
      </c>
    </row>
    <row r="86" spans="1:27" x14ac:dyDescent="0.2">
      <c r="A86">
        <v>3085</v>
      </c>
      <c r="B86" t="s">
        <v>211</v>
      </c>
      <c r="C86" t="str">
        <f>_xlfn.CONCAT(Merge[[#This Row],[Customer First Name]]," ",Merge[[#This Row],[Customer Last Name]])</f>
        <v>Aria Clay</v>
      </c>
      <c r="D86" t="s">
        <v>212</v>
      </c>
      <c r="E86">
        <v>1318</v>
      </c>
      <c r="F86" t="s">
        <v>76</v>
      </c>
      <c r="G86" s="1">
        <v>45488</v>
      </c>
      <c r="H86">
        <v>2</v>
      </c>
      <c r="I86" t="s">
        <v>52</v>
      </c>
      <c r="J86" t="s">
        <v>53</v>
      </c>
      <c r="K86">
        <v>0.25</v>
      </c>
      <c r="L86">
        <v>364</v>
      </c>
      <c r="M86">
        <v>1456</v>
      </c>
      <c r="N86">
        <v>1092</v>
      </c>
      <c r="O86" t="s">
        <v>48</v>
      </c>
      <c r="P86">
        <v>1318</v>
      </c>
      <c r="Q86" t="s">
        <v>76</v>
      </c>
      <c r="R86" s="1">
        <v>45488</v>
      </c>
      <c r="S86">
        <v>2</v>
      </c>
      <c r="T86" t="s">
        <v>52</v>
      </c>
      <c r="U86" t="s">
        <v>53</v>
      </c>
      <c r="V86" t="s">
        <v>1424</v>
      </c>
      <c r="W86" t="s">
        <v>1250</v>
      </c>
      <c r="X86">
        <v>4217</v>
      </c>
      <c r="Y86">
        <v>1200</v>
      </c>
      <c r="Z86">
        <v>2400</v>
      </c>
      <c r="AA86" t="s">
        <v>1425</v>
      </c>
    </row>
    <row r="87" spans="1:27" x14ac:dyDescent="0.2">
      <c r="A87">
        <v>3086</v>
      </c>
      <c r="B87" t="s">
        <v>213</v>
      </c>
      <c r="C87" t="str">
        <f>_xlfn.CONCAT(Merge[[#This Row],[Customer First Name]]," ",Merge[[#This Row],[Customer Last Name]])</f>
        <v>Nina Truong</v>
      </c>
      <c r="D87" t="s">
        <v>214</v>
      </c>
      <c r="E87">
        <v>1319</v>
      </c>
      <c r="F87" t="s">
        <v>76</v>
      </c>
      <c r="G87" s="1">
        <v>45411</v>
      </c>
      <c r="H87">
        <v>3</v>
      </c>
      <c r="I87" t="s">
        <v>32</v>
      </c>
      <c r="J87" t="s">
        <v>64</v>
      </c>
      <c r="K87">
        <v>0.25</v>
      </c>
      <c r="L87">
        <v>32.5</v>
      </c>
      <c r="M87">
        <v>130</v>
      </c>
      <c r="N87">
        <v>97.5</v>
      </c>
      <c r="O87" t="s">
        <v>48</v>
      </c>
      <c r="P87">
        <v>1319</v>
      </c>
      <c r="Q87" t="s">
        <v>76</v>
      </c>
      <c r="R87" s="1">
        <v>45411</v>
      </c>
      <c r="S87">
        <v>2</v>
      </c>
      <c r="T87" t="s">
        <v>32</v>
      </c>
      <c r="U87" t="s">
        <v>64</v>
      </c>
      <c r="V87" t="s">
        <v>1426</v>
      </c>
      <c r="W87" t="s">
        <v>1262</v>
      </c>
      <c r="X87">
        <v>7250</v>
      </c>
      <c r="Y87">
        <v>1200</v>
      </c>
      <c r="Z87">
        <v>2400</v>
      </c>
      <c r="AA87" t="s">
        <v>1427</v>
      </c>
    </row>
    <row r="88" spans="1:27" x14ac:dyDescent="0.2">
      <c r="A88">
        <v>3087</v>
      </c>
      <c r="B88" t="s">
        <v>215</v>
      </c>
      <c r="C88" t="str">
        <f>_xlfn.CONCAT(Merge[[#This Row],[Customer First Name]]," ",Merge[[#This Row],[Customer Last Name]])</f>
        <v>Freya Saunders</v>
      </c>
      <c r="D88" t="s">
        <v>216</v>
      </c>
      <c r="E88">
        <v>1320</v>
      </c>
      <c r="F88" t="s">
        <v>92</v>
      </c>
      <c r="G88" s="1">
        <v>45314</v>
      </c>
      <c r="H88">
        <v>2</v>
      </c>
      <c r="I88" t="s">
        <v>38</v>
      </c>
      <c r="J88" t="s">
        <v>81</v>
      </c>
      <c r="K88">
        <v>0.3</v>
      </c>
      <c r="L88">
        <v>356.09999999999997</v>
      </c>
      <c r="M88">
        <v>1187</v>
      </c>
      <c r="N88">
        <v>830.90000000000009</v>
      </c>
      <c r="O88" t="s">
        <v>34</v>
      </c>
      <c r="P88">
        <v>1320</v>
      </c>
      <c r="Q88" t="s">
        <v>92</v>
      </c>
      <c r="R88" s="1">
        <v>45314</v>
      </c>
      <c r="S88">
        <v>1</v>
      </c>
      <c r="T88" t="s">
        <v>38</v>
      </c>
      <c r="U88" t="s">
        <v>81</v>
      </c>
      <c r="V88" t="s">
        <v>1428</v>
      </c>
      <c r="W88" t="s">
        <v>1361</v>
      </c>
      <c r="X88">
        <v>870</v>
      </c>
      <c r="Y88">
        <v>600</v>
      </c>
      <c r="Z88">
        <v>600</v>
      </c>
      <c r="AA88" t="s">
        <v>1429</v>
      </c>
    </row>
    <row r="89" spans="1:27" x14ac:dyDescent="0.2">
      <c r="A89">
        <v>3088</v>
      </c>
      <c r="B89" t="s">
        <v>217</v>
      </c>
      <c r="C89" t="str">
        <f>_xlfn.CONCAT(Merge[[#This Row],[Customer First Name]]," ",Merge[[#This Row],[Customer Last Name]])</f>
        <v>Amir Ballard</v>
      </c>
      <c r="D89" t="s">
        <v>218</v>
      </c>
      <c r="E89">
        <v>1321</v>
      </c>
      <c r="F89" t="s">
        <v>31</v>
      </c>
      <c r="G89" s="1">
        <v>45398</v>
      </c>
      <c r="H89">
        <v>3</v>
      </c>
      <c r="I89" t="s">
        <v>32</v>
      </c>
      <c r="J89" t="s">
        <v>64</v>
      </c>
      <c r="K89">
        <v>0.1</v>
      </c>
      <c r="L89">
        <v>77.600000000000009</v>
      </c>
      <c r="M89">
        <v>776</v>
      </c>
      <c r="N89">
        <v>698.4</v>
      </c>
      <c r="O89" t="s">
        <v>44</v>
      </c>
      <c r="P89">
        <v>1321</v>
      </c>
      <c r="Q89" t="s">
        <v>31</v>
      </c>
      <c r="R89" s="1">
        <v>45398</v>
      </c>
      <c r="S89">
        <v>1</v>
      </c>
      <c r="T89" t="s">
        <v>32</v>
      </c>
      <c r="U89" t="s">
        <v>64</v>
      </c>
      <c r="V89" t="s">
        <v>1430</v>
      </c>
      <c r="W89" t="s">
        <v>1265</v>
      </c>
      <c r="X89">
        <v>7000</v>
      </c>
      <c r="Y89">
        <v>250</v>
      </c>
      <c r="Z89">
        <v>250</v>
      </c>
      <c r="AA89" t="s">
        <v>1431</v>
      </c>
    </row>
    <row r="90" spans="1:27" x14ac:dyDescent="0.2">
      <c r="A90">
        <v>3089</v>
      </c>
      <c r="B90" t="s">
        <v>219</v>
      </c>
      <c r="C90" t="str">
        <f>_xlfn.CONCAT(Merge[[#This Row],[Customer First Name]]," ",Merge[[#This Row],[Customer Last Name]])</f>
        <v>Harvey Weber</v>
      </c>
      <c r="D90" t="s">
        <v>152</v>
      </c>
      <c r="E90">
        <v>1322</v>
      </c>
      <c r="F90" t="s">
        <v>51</v>
      </c>
      <c r="G90" s="1">
        <v>45474</v>
      </c>
      <c r="H90">
        <v>2</v>
      </c>
      <c r="I90" t="s">
        <v>32</v>
      </c>
      <c r="J90" t="s">
        <v>43</v>
      </c>
      <c r="K90">
        <v>0.2</v>
      </c>
      <c r="L90">
        <v>302.8</v>
      </c>
      <c r="M90">
        <v>1514</v>
      </c>
      <c r="N90">
        <v>1211.2</v>
      </c>
      <c r="O90" t="s">
        <v>44</v>
      </c>
      <c r="P90">
        <v>1322</v>
      </c>
      <c r="Q90" t="s">
        <v>51</v>
      </c>
      <c r="R90" s="1">
        <v>45474</v>
      </c>
      <c r="S90">
        <v>3</v>
      </c>
      <c r="T90" t="s">
        <v>32</v>
      </c>
      <c r="U90" t="s">
        <v>43</v>
      </c>
      <c r="V90" t="s">
        <v>1432</v>
      </c>
      <c r="W90" t="s">
        <v>1299</v>
      </c>
      <c r="X90">
        <v>2500</v>
      </c>
      <c r="Y90">
        <v>250</v>
      </c>
      <c r="Z90">
        <v>750</v>
      </c>
      <c r="AA90" t="s">
        <v>1433</v>
      </c>
    </row>
    <row r="91" spans="1:27" x14ac:dyDescent="0.2">
      <c r="A91">
        <v>3090</v>
      </c>
      <c r="B91" t="s">
        <v>220</v>
      </c>
      <c r="C91" t="str">
        <f>_xlfn.CONCAT(Merge[[#This Row],[Customer First Name]]," ",Merge[[#This Row],[Customer Last Name]])</f>
        <v>Joaquin Delarosa</v>
      </c>
      <c r="D91" t="s">
        <v>221</v>
      </c>
      <c r="E91">
        <v>1323</v>
      </c>
      <c r="F91" t="s">
        <v>92</v>
      </c>
      <c r="G91" s="1">
        <v>45560</v>
      </c>
      <c r="H91">
        <v>1</v>
      </c>
      <c r="I91" t="s">
        <v>32</v>
      </c>
      <c r="J91" t="s">
        <v>57</v>
      </c>
      <c r="K91">
        <v>0.3</v>
      </c>
      <c r="L91">
        <v>306.89999999999998</v>
      </c>
      <c r="M91">
        <v>1023</v>
      </c>
      <c r="N91">
        <v>716.1</v>
      </c>
      <c r="O91" t="s">
        <v>54</v>
      </c>
      <c r="P91">
        <v>1323</v>
      </c>
      <c r="Q91" t="s">
        <v>92</v>
      </c>
      <c r="R91" s="1">
        <v>45560</v>
      </c>
      <c r="S91">
        <v>3</v>
      </c>
      <c r="T91" t="s">
        <v>32</v>
      </c>
      <c r="U91" t="s">
        <v>57</v>
      </c>
      <c r="V91" t="s">
        <v>1434</v>
      </c>
      <c r="W91" t="s">
        <v>1253</v>
      </c>
      <c r="X91">
        <v>5290</v>
      </c>
      <c r="Y91">
        <v>600</v>
      </c>
      <c r="Z91">
        <v>1800</v>
      </c>
      <c r="AA91" t="s">
        <v>1435</v>
      </c>
    </row>
    <row r="92" spans="1:27" x14ac:dyDescent="0.2">
      <c r="A92">
        <v>3091</v>
      </c>
      <c r="B92" t="s">
        <v>222</v>
      </c>
      <c r="C92" t="str">
        <f>_xlfn.CONCAT(Merge[[#This Row],[Customer First Name]]," ",Merge[[#This Row],[Customer Last Name]])</f>
        <v>Adaline Gallagher</v>
      </c>
      <c r="D92" t="s">
        <v>223</v>
      </c>
      <c r="E92">
        <v>1324</v>
      </c>
      <c r="F92" t="s">
        <v>92</v>
      </c>
      <c r="G92" s="1">
        <v>45609</v>
      </c>
      <c r="H92">
        <v>1</v>
      </c>
      <c r="I92" t="s">
        <v>32</v>
      </c>
      <c r="J92" t="s">
        <v>81</v>
      </c>
      <c r="K92">
        <v>0.3</v>
      </c>
      <c r="L92">
        <v>465.59999999999997</v>
      </c>
      <c r="M92">
        <v>1552</v>
      </c>
      <c r="N92">
        <v>1086.4000000000001</v>
      </c>
      <c r="O92" t="s">
        <v>44</v>
      </c>
      <c r="P92">
        <v>1324</v>
      </c>
      <c r="Q92" t="s">
        <v>92</v>
      </c>
      <c r="R92" s="1">
        <v>45609</v>
      </c>
      <c r="S92">
        <v>1</v>
      </c>
      <c r="T92" t="s">
        <v>32</v>
      </c>
      <c r="U92" t="s">
        <v>81</v>
      </c>
      <c r="V92" t="s">
        <v>1436</v>
      </c>
      <c r="W92" t="s">
        <v>1280</v>
      </c>
      <c r="X92">
        <v>800</v>
      </c>
      <c r="Y92">
        <v>600</v>
      </c>
      <c r="Z92">
        <v>600</v>
      </c>
      <c r="AA92" t="s">
        <v>1437</v>
      </c>
    </row>
    <row r="93" spans="1:27" x14ac:dyDescent="0.2">
      <c r="A93">
        <v>3092</v>
      </c>
      <c r="B93" t="s">
        <v>224</v>
      </c>
      <c r="C93" t="str">
        <f>_xlfn.CONCAT(Merge[[#This Row],[Customer First Name]]," ",Merge[[#This Row],[Customer Last Name]])</f>
        <v>Legacy Rosales</v>
      </c>
      <c r="D93" t="s">
        <v>181</v>
      </c>
      <c r="E93">
        <v>1325</v>
      </c>
      <c r="F93" t="s">
        <v>31</v>
      </c>
      <c r="G93" s="1">
        <v>45359</v>
      </c>
      <c r="H93">
        <v>3</v>
      </c>
      <c r="I93" t="s">
        <v>52</v>
      </c>
      <c r="J93" t="s">
        <v>57</v>
      </c>
      <c r="K93">
        <v>0.1</v>
      </c>
      <c r="L93">
        <v>148</v>
      </c>
      <c r="M93">
        <v>1480</v>
      </c>
      <c r="N93">
        <v>1332</v>
      </c>
      <c r="O93" t="s">
        <v>44</v>
      </c>
      <c r="P93">
        <v>1325</v>
      </c>
      <c r="Q93" t="s">
        <v>31</v>
      </c>
      <c r="R93" s="1">
        <v>45359</v>
      </c>
      <c r="S93">
        <v>2</v>
      </c>
      <c r="T93" t="s">
        <v>52</v>
      </c>
      <c r="U93" t="s">
        <v>57</v>
      </c>
      <c r="V93" t="s">
        <v>1438</v>
      </c>
      <c r="W93" t="s">
        <v>1095</v>
      </c>
      <c r="X93">
        <v>5000</v>
      </c>
      <c r="Y93">
        <v>250</v>
      </c>
      <c r="Z93">
        <v>500</v>
      </c>
      <c r="AA93" t="s">
        <v>1439</v>
      </c>
    </row>
    <row r="94" spans="1:27" x14ac:dyDescent="0.2">
      <c r="A94">
        <v>3093</v>
      </c>
      <c r="B94" t="s">
        <v>225</v>
      </c>
      <c r="C94" t="str">
        <f>_xlfn.CONCAT(Merge[[#This Row],[Customer First Name]]," ",Merge[[#This Row],[Customer Last Name]])</f>
        <v>Denver Luna</v>
      </c>
      <c r="D94" t="s">
        <v>226</v>
      </c>
      <c r="E94">
        <v>1326</v>
      </c>
      <c r="F94" t="s">
        <v>31</v>
      </c>
      <c r="G94" s="1">
        <v>45378</v>
      </c>
      <c r="H94">
        <v>2</v>
      </c>
      <c r="I94" t="s">
        <v>32</v>
      </c>
      <c r="J94" t="s">
        <v>64</v>
      </c>
      <c r="K94">
        <v>0.1</v>
      </c>
      <c r="L94">
        <v>116.9</v>
      </c>
      <c r="M94">
        <v>1169</v>
      </c>
      <c r="N94">
        <v>1052.0999999999999</v>
      </c>
      <c r="O94" t="s">
        <v>48</v>
      </c>
      <c r="P94">
        <v>1326</v>
      </c>
      <c r="Q94" t="s">
        <v>31</v>
      </c>
      <c r="R94" s="1">
        <v>45378</v>
      </c>
      <c r="S94">
        <v>3</v>
      </c>
      <c r="T94" t="s">
        <v>32</v>
      </c>
      <c r="U94" t="s">
        <v>64</v>
      </c>
      <c r="V94" t="s">
        <v>1440</v>
      </c>
      <c r="W94" t="s">
        <v>1265</v>
      </c>
      <c r="X94">
        <v>7000</v>
      </c>
      <c r="Y94">
        <v>250</v>
      </c>
      <c r="Z94">
        <v>750</v>
      </c>
      <c r="AA94" t="s">
        <v>1441</v>
      </c>
    </row>
    <row r="95" spans="1:27" x14ac:dyDescent="0.2">
      <c r="A95">
        <v>3094</v>
      </c>
      <c r="B95" t="s">
        <v>227</v>
      </c>
      <c r="C95" t="str">
        <f>_xlfn.CONCAT(Merge[[#This Row],[Customer First Name]]," ",Merge[[#This Row],[Customer Last Name]])</f>
        <v>Emanuel Jaramillo</v>
      </c>
      <c r="D95" t="s">
        <v>228</v>
      </c>
      <c r="E95">
        <v>1327</v>
      </c>
      <c r="F95" t="s">
        <v>37</v>
      </c>
      <c r="G95" s="1">
        <v>45519</v>
      </c>
      <c r="H95">
        <v>1</v>
      </c>
      <c r="I95" t="s">
        <v>52</v>
      </c>
      <c r="J95" t="s">
        <v>47</v>
      </c>
      <c r="K95">
        <v>0.3</v>
      </c>
      <c r="L95">
        <v>276</v>
      </c>
      <c r="M95">
        <v>920</v>
      </c>
      <c r="N95">
        <v>644</v>
      </c>
      <c r="O95" t="s">
        <v>114</v>
      </c>
      <c r="P95">
        <v>1327</v>
      </c>
      <c r="Q95" t="s">
        <v>37</v>
      </c>
      <c r="R95" s="1">
        <v>45519</v>
      </c>
      <c r="S95">
        <v>2</v>
      </c>
      <c r="T95" t="s">
        <v>52</v>
      </c>
      <c r="U95" t="s">
        <v>47</v>
      </c>
      <c r="V95" t="s">
        <v>1442</v>
      </c>
      <c r="W95" t="s">
        <v>1256</v>
      </c>
      <c r="X95">
        <v>3220</v>
      </c>
      <c r="Y95">
        <v>800</v>
      </c>
      <c r="Z95">
        <v>1600</v>
      </c>
      <c r="AA95" t="s">
        <v>1443</v>
      </c>
    </row>
    <row r="96" spans="1:27" x14ac:dyDescent="0.2">
      <c r="A96">
        <v>3095</v>
      </c>
      <c r="B96" t="s">
        <v>229</v>
      </c>
      <c r="C96" t="str">
        <f>_xlfn.CONCAT(Merge[[#This Row],[Customer First Name]]," ",Merge[[#This Row],[Customer Last Name]])</f>
        <v>Hugo Crawford</v>
      </c>
      <c r="D96" t="s">
        <v>230</v>
      </c>
      <c r="E96">
        <v>1328</v>
      </c>
      <c r="F96" t="s">
        <v>76</v>
      </c>
      <c r="G96" s="1">
        <v>45406</v>
      </c>
      <c r="H96">
        <v>2</v>
      </c>
      <c r="I96" t="s">
        <v>71</v>
      </c>
      <c r="J96" t="s">
        <v>81</v>
      </c>
      <c r="K96">
        <v>0.25</v>
      </c>
      <c r="L96">
        <v>85.25</v>
      </c>
      <c r="M96">
        <v>341</v>
      </c>
      <c r="N96">
        <v>255.75</v>
      </c>
      <c r="O96" t="s">
        <v>114</v>
      </c>
      <c r="P96">
        <v>1328</v>
      </c>
      <c r="Q96" t="s">
        <v>76</v>
      </c>
      <c r="R96" s="1">
        <v>45406</v>
      </c>
      <c r="S96">
        <v>3</v>
      </c>
      <c r="T96" t="s">
        <v>71</v>
      </c>
      <c r="U96" t="s">
        <v>81</v>
      </c>
      <c r="V96" t="s">
        <v>1444</v>
      </c>
      <c r="W96" t="s">
        <v>1280</v>
      </c>
      <c r="X96">
        <v>800</v>
      </c>
      <c r="Y96">
        <v>1200</v>
      </c>
      <c r="Z96">
        <v>3600</v>
      </c>
      <c r="AA96" t="s">
        <v>1445</v>
      </c>
    </row>
    <row r="97" spans="1:27" x14ac:dyDescent="0.2">
      <c r="A97">
        <v>3096</v>
      </c>
      <c r="B97" t="s">
        <v>231</v>
      </c>
      <c r="C97" t="str">
        <f>_xlfn.CONCAT(Merge[[#This Row],[Customer First Name]]," ",Merge[[#This Row],[Customer Last Name]])</f>
        <v>Margaret Austin</v>
      </c>
      <c r="D97" t="s">
        <v>232</v>
      </c>
      <c r="E97">
        <v>1329</v>
      </c>
      <c r="F97" t="s">
        <v>42</v>
      </c>
      <c r="G97" s="1">
        <v>45396</v>
      </c>
      <c r="H97">
        <v>3</v>
      </c>
      <c r="I97" t="s">
        <v>32</v>
      </c>
      <c r="J97" t="s">
        <v>53</v>
      </c>
      <c r="K97">
        <v>0.25</v>
      </c>
      <c r="L97">
        <v>151</v>
      </c>
      <c r="M97">
        <v>604</v>
      </c>
      <c r="N97">
        <v>453</v>
      </c>
      <c r="O97" t="s">
        <v>44</v>
      </c>
      <c r="P97">
        <v>1329</v>
      </c>
      <c r="Q97" t="s">
        <v>42</v>
      </c>
      <c r="R97" s="1">
        <v>45396</v>
      </c>
      <c r="S97">
        <v>2</v>
      </c>
      <c r="T97" t="s">
        <v>32</v>
      </c>
      <c r="U97" t="s">
        <v>53</v>
      </c>
      <c r="V97" t="s">
        <v>1446</v>
      </c>
      <c r="W97" t="s">
        <v>1268</v>
      </c>
      <c r="X97">
        <v>4870</v>
      </c>
      <c r="Y97">
        <v>300</v>
      </c>
      <c r="Z97">
        <v>600</v>
      </c>
      <c r="AA97" t="s">
        <v>1447</v>
      </c>
    </row>
    <row r="98" spans="1:27" x14ac:dyDescent="0.2">
      <c r="A98">
        <v>3097</v>
      </c>
      <c r="B98" t="s">
        <v>233</v>
      </c>
      <c r="C98" t="str">
        <f>_xlfn.CONCAT(Merge[[#This Row],[Customer First Name]]," ",Merge[[#This Row],[Customer Last Name]])</f>
        <v>Raphael Weiss</v>
      </c>
      <c r="D98" t="s">
        <v>234</v>
      </c>
      <c r="E98">
        <v>1330</v>
      </c>
      <c r="F98" t="s">
        <v>31</v>
      </c>
      <c r="G98" s="1">
        <v>45430</v>
      </c>
      <c r="H98">
        <v>1</v>
      </c>
      <c r="I98" t="s">
        <v>52</v>
      </c>
      <c r="J98" t="s">
        <v>64</v>
      </c>
      <c r="K98">
        <v>0.1</v>
      </c>
      <c r="L98">
        <v>19.3</v>
      </c>
      <c r="M98">
        <v>193</v>
      </c>
      <c r="N98">
        <v>173.7</v>
      </c>
      <c r="O98" t="s">
        <v>34</v>
      </c>
      <c r="P98">
        <v>1330</v>
      </c>
      <c r="Q98" t="s">
        <v>31</v>
      </c>
      <c r="R98" s="1">
        <v>45430</v>
      </c>
      <c r="S98">
        <v>1</v>
      </c>
      <c r="T98" t="s">
        <v>52</v>
      </c>
      <c r="U98" t="s">
        <v>64</v>
      </c>
      <c r="V98" t="s">
        <v>1448</v>
      </c>
      <c r="W98" t="s">
        <v>1265</v>
      </c>
      <c r="X98">
        <v>7000</v>
      </c>
      <c r="Y98">
        <v>250</v>
      </c>
      <c r="Z98">
        <v>250</v>
      </c>
      <c r="AA98" t="s">
        <v>1449</v>
      </c>
    </row>
    <row r="99" spans="1:27" x14ac:dyDescent="0.2">
      <c r="A99">
        <v>3098</v>
      </c>
      <c r="B99" t="s">
        <v>235</v>
      </c>
      <c r="C99" t="str">
        <f>_xlfn.CONCAT(Merge[[#This Row],[Customer First Name]]," ",Merge[[#This Row],[Customer Last Name]])</f>
        <v>Myles Cardenas</v>
      </c>
      <c r="D99" t="s">
        <v>236</v>
      </c>
      <c r="E99">
        <v>1331</v>
      </c>
      <c r="F99" t="s">
        <v>76</v>
      </c>
      <c r="G99" s="1">
        <v>45619</v>
      </c>
      <c r="H99">
        <v>3</v>
      </c>
      <c r="I99" t="s">
        <v>52</v>
      </c>
      <c r="J99" t="s">
        <v>53</v>
      </c>
      <c r="K99">
        <v>0.25</v>
      </c>
      <c r="L99">
        <v>44</v>
      </c>
      <c r="M99">
        <v>176</v>
      </c>
      <c r="N99">
        <v>132</v>
      </c>
      <c r="O99" t="s">
        <v>114</v>
      </c>
      <c r="P99">
        <v>1331</v>
      </c>
      <c r="Q99" t="s">
        <v>76</v>
      </c>
      <c r="R99" s="1">
        <v>45619</v>
      </c>
      <c r="S99">
        <v>2</v>
      </c>
      <c r="T99" t="s">
        <v>52</v>
      </c>
      <c r="U99" t="s">
        <v>53</v>
      </c>
      <c r="V99" t="s">
        <v>1450</v>
      </c>
      <c r="W99" t="s">
        <v>1268</v>
      </c>
      <c r="X99">
        <v>4870</v>
      </c>
      <c r="Y99">
        <v>1200</v>
      </c>
      <c r="Z99">
        <v>2400</v>
      </c>
      <c r="AA99" t="s">
        <v>1451</v>
      </c>
    </row>
    <row r="100" spans="1:27" x14ac:dyDescent="0.2">
      <c r="A100">
        <v>3099</v>
      </c>
      <c r="B100" t="s">
        <v>237</v>
      </c>
      <c r="C100" t="str">
        <f>_xlfn.CONCAT(Merge[[#This Row],[Customer First Name]]," ",Merge[[#This Row],[Customer Last Name]])</f>
        <v>Alexis Cruz</v>
      </c>
      <c r="D100" t="s">
        <v>238</v>
      </c>
      <c r="E100">
        <v>1332</v>
      </c>
      <c r="F100" t="s">
        <v>76</v>
      </c>
      <c r="G100" s="1">
        <v>45438</v>
      </c>
      <c r="H100">
        <v>2</v>
      </c>
      <c r="I100" t="s">
        <v>32</v>
      </c>
      <c r="J100" t="s">
        <v>43</v>
      </c>
      <c r="K100">
        <v>0.25</v>
      </c>
      <c r="L100">
        <v>231.5</v>
      </c>
      <c r="M100">
        <v>926</v>
      </c>
      <c r="N100">
        <v>694.5</v>
      </c>
      <c r="O100" t="s">
        <v>48</v>
      </c>
      <c r="P100">
        <v>1332</v>
      </c>
      <c r="Q100" t="s">
        <v>76</v>
      </c>
      <c r="R100" s="1">
        <v>45438</v>
      </c>
      <c r="S100">
        <v>2</v>
      </c>
      <c r="T100" t="s">
        <v>32</v>
      </c>
      <c r="U100" t="s">
        <v>43</v>
      </c>
      <c r="V100" t="s">
        <v>1452</v>
      </c>
      <c r="W100" t="s">
        <v>1299</v>
      </c>
      <c r="X100">
        <v>2500</v>
      </c>
      <c r="Y100">
        <v>1200</v>
      </c>
      <c r="Z100">
        <v>2400</v>
      </c>
      <c r="AA100" t="s">
        <v>1453</v>
      </c>
    </row>
    <row r="101" spans="1:27" x14ac:dyDescent="0.2">
      <c r="A101">
        <v>3100</v>
      </c>
      <c r="B101" t="s">
        <v>239</v>
      </c>
      <c r="C101" t="str">
        <f>_xlfn.CONCAT(Merge[[#This Row],[Customer First Name]]," ",Merge[[#This Row],[Customer Last Name]])</f>
        <v>Ellis Mcbride</v>
      </c>
      <c r="D101" t="s">
        <v>240</v>
      </c>
      <c r="E101">
        <v>1333</v>
      </c>
      <c r="F101" t="s">
        <v>42</v>
      </c>
      <c r="G101" s="1">
        <v>45616</v>
      </c>
      <c r="H101">
        <v>3</v>
      </c>
      <c r="I101" t="s">
        <v>52</v>
      </c>
      <c r="J101" t="s">
        <v>57</v>
      </c>
      <c r="K101">
        <v>0.25</v>
      </c>
      <c r="L101">
        <v>101</v>
      </c>
      <c r="M101">
        <v>404</v>
      </c>
      <c r="N101">
        <v>303</v>
      </c>
      <c r="O101" t="s">
        <v>34</v>
      </c>
      <c r="P101">
        <v>1333</v>
      </c>
      <c r="Q101" t="s">
        <v>42</v>
      </c>
      <c r="R101" s="1">
        <v>45616</v>
      </c>
      <c r="S101">
        <v>2</v>
      </c>
      <c r="T101" t="s">
        <v>52</v>
      </c>
      <c r="U101" t="s">
        <v>57</v>
      </c>
      <c r="V101" t="s">
        <v>1454</v>
      </c>
      <c r="W101" t="s">
        <v>1253</v>
      </c>
      <c r="X101">
        <v>5290</v>
      </c>
      <c r="Y101">
        <v>300</v>
      </c>
      <c r="Z101">
        <v>600</v>
      </c>
      <c r="AA101" t="s">
        <v>1455</v>
      </c>
    </row>
    <row r="102" spans="1:27" x14ac:dyDescent="0.2">
      <c r="A102">
        <v>3101</v>
      </c>
      <c r="B102" t="s">
        <v>241</v>
      </c>
      <c r="C102" t="str">
        <f>_xlfn.CONCAT(Merge[[#This Row],[Customer First Name]]," ",Merge[[#This Row],[Customer Last Name]])</f>
        <v>Zuri Singh</v>
      </c>
      <c r="D102" t="s">
        <v>242</v>
      </c>
      <c r="E102">
        <v>1334</v>
      </c>
      <c r="F102" t="s">
        <v>31</v>
      </c>
      <c r="G102" s="1">
        <v>45407</v>
      </c>
      <c r="H102">
        <v>1</v>
      </c>
      <c r="I102" t="s">
        <v>32</v>
      </c>
      <c r="J102" t="s">
        <v>81</v>
      </c>
      <c r="K102">
        <v>0.1</v>
      </c>
      <c r="L102">
        <v>155.4</v>
      </c>
      <c r="M102">
        <v>1554</v>
      </c>
      <c r="N102">
        <v>1398.6</v>
      </c>
      <c r="O102" t="s">
        <v>114</v>
      </c>
      <c r="P102">
        <v>1334</v>
      </c>
      <c r="Q102" t="s">
        <v>31</v>
      </c>
      <c r="R102" s="1">
        <v>45407</v>
      </c>
      <c r="S102">
        <v>2</v>
      </c>
      <c r="T102" t="s">
        <v>32</v>
      </c>
      <c r="U102" t="s">
        <v>81</v>
      </c>
      <c r="V102" t="s">
        <v>1456</v>
      </c>
      <c r="W102" t="s">
        <v>1280</v>
      </c>
      <c r="X102">
        <v>800</v>
      </c>
      <c r="Y102">
        <v>250</v>
      </c>
      <c r="Z102">
        <v>500</v>
      </c>
      <c r="AA102" t="s">
        <v>1457</v>
      </c>
    </row>
    <row r="103" spans="1:27" x14ac:dyDescent="0.2">
      <c r="A103">
        <v>3102</v>
      </c>
      <c r="B103" t="s">
        <v>137</v>
      </c>
      <c r="C103" t="str">
        <f>_xlfn.CONCAT(Merge[[#This Row],[Customer First Name]]," ",Merge[[#This Row],[Customer Last Name]])</f>
        <v>Annie Winters</v>
      </c>
      <c r="D103" t="s">
        <v>243</v>
      </c>
      <c r="E103">
        <v>1335</v>
      </c>
      <c r="F103" t="s">
        <v>51</v>
      </c>
      <c r="G103" s="1">
        <v>45431</v>
      </c>
      <c r="H103">
        <v>1</v>
      </c>
      <c r="I103" t="s">
        <v>32</v>
      </c>
      <c r="J103" t="s">
        <v>33</v>
      </c>
      <c r="K103">
        <v>0.2</v>
      </c>
      <c r="L103">
        <v>331.6</v>
      </c>
      <c r="M103">
        <v>1658</v>
      </c>
      <c r="N103">
        <v>1326.4</v>
      </c>
      <c r="O103" t="s">
        <v>44</v>
      </c>
      <c r="P103">
        <v>1335</v>
      </c>
      <c r="Q103" t="s">
        <v>51</v>
      </c>
      <c r="R103" s="1">
        <v>45431</v>
      </c>
      <c r="S103">
        <v>3</v>
      </c>
      <c r="T103" t="s">
        <v>32</v>
      </c>
      <c r="U103" t="s">
        <v>33</v>
      </c>
      <c r="V103" t="s">
        <v>1458</v>
      </c>
      <c r="W103" t="s">
        <v>1302</v>
      </c>
      <c r="X103">
        <v>6000</v>
      </c>
      <c r="Y103">
        <v>250</v>
      </c>
      <c r="Z103">
        <v>750</v>
      </c>
      <c r="AA103" t="s">
        <v>1459</v>
      </c>
    </row>
    <row r="104" spans="1:27" x14ac:dyDescent="0.2">
      <c r="A104">
        <v>3103</v>
      </c>
      <c r="B104" t="s">
        <v>244</v>
      </c>
      <c r="C104" t="str">
        <f>_xlfn.CONCAT(Merge[[#This Row],[Customer First Name]]," ",Merge[[#This Row],[Customer Last Name]])</f>
        <v>Dakota Garcia</v>
      </c>
      <c r="D104" t="s">
        <v>245</v>
      </c>
      <c r="E104">
        <v>1336</v>
      </c>
      <c r="F104" t="s">
        <v>92</v>
      </c>
      <c r="G104" s="1">
        <v>45651</v>
      </c>
      <c r="H104">
        <v>3</v>
      </c>
      <c r="I104" t="s">
        <v>52</v>
      </c>
      <c r="J104" t="s">
        <v>57</v>
      </c>
      <c r="K104">
        <v>0.3</v>
      </c>
      <c r="L104">
        <v>324</v>
      </c>
      <c r="M104">
        <v>1080</v>
      </c>
      <c r="N104">
        <v>756</v>
      </c>
      <c r="O104" t="s">
        <v>44</v>
      </c>
      <c r="P104">
        <v>1336</v>
      </c>
      <c r="Q104" t="s">
        <v>92</v>
      </c>
      <c r="R104" s="1">
        <v>45651</v>
      </c>
      <c r="S104">
        <v>1</v>
      </c>
      <c r="T104" t="s">
        <v>52</v>
      </c>
      <c r="U104" t="s">
        <v>57</v>
      </c>
      <c r="V104" t="s">
        <v>1460</v>
      </c>
      <c r="W104" t="s">
        <v>1350</v>
      </c>
      <c r="X104">
        <v>5600</v>
      </c>
      <c r="Y104">
        <v>600</v>
      </c>
      <c r="Z104">
        <v>600</v>
      </c>
      <c r="AA104" t="s">
        <v>1461</v>
      </c>
    </row>
    <row r="105" spans="1:27" x14ac:dyDescent="0.2">
      <c r="A105">
        <v>3104</v>
      </c>
      <c r="B105" t="s">
        <v>239</v>
      </c>
      <c r="C105" t="str">
        <f>_xlfn.CONCAT(Merge[[#This Row],[Customer First Name]]," ",Merge[[#This Row],[Customer Last Name]])</f>
        <v>Luke Mcbride</v>
      </c>
      <c r="D105" t="s">
        <v>246</v>
      </c>
      <c r="E105">
        <v>1337</v>
      </c>
      <c r="F105" t="s">
        <v>76</v>
      </c>
      <c r="G105" s="1">
        <v>45493</v>
      </c>
      <c r="H105">
        <v>2</v>
      </c>
      <c r="I105" t="s">
        <v>32</v>
      </c>
      <c r="J105" t="s">
        <v>53</v>
      </c>
      <c r="K105">
        <v>0.25</v>
      </c>
      <c r="L105">
        <v>73.5</v>
      </c>
      <c r="M105">
        <v>294</v>
      </c>
      <c r="N105">
        <v>220.5</v>
      </c>
      <c r="O105" t="s">
        <v>114</v>
      </c>
      <c r="P105">
        <v>1337</v>
      </c>
      <c r="Q105" t="s">
        <v>76</v>
      </c>
      <c r="R105" s="1">
        <v>45493</v>
      </c>
      <c r="S105">
        <v>3</v>
      </c>
      <c r="T105" t="s">
        <v>32</v>
      </c>
      <c r="U105" t="s">
        <v>53</v>
      </c>
      <c r="V105" t="s">
        <v>1462</v>
      </c>
      <c r="W105" t="s">
        <v>1268</v>
      </c>
      <c r="X105">
        <v>4870</v>
      </c>
      <c r="Y105">
        <v>1200</v>
      </c>
      <c r="Z105">
        <v>3600</v>
      </c>
      <c r="AA105" t="s">
        <v>1463</v>
      </c>
    </row>
    <row r="106" spans="1:27" x14ac:dyDescent="0.2">
      <c r="A106">
        <v>3105</v>
      </c>
      <c r="B106" t="s">
        <v>247</v>
      </c>
      <c r="C106" t="str">
        <f>_xlfn.CONCAT(Merge[[#This Row],[Customer First Name]]," ",Merge[[#This Row],[Customer Last Name]])</f>
        <v>Jasiah Frye</v>
      </c>
      <c r="D106" t="s">
        <v>248</v>
      </c>
      <c r="E106">
        <v>1338</v>
      </c>
      <c r="F106" t="s">
        <v>31</v>
      </c>
      <c r="G106" s="1">
        <v>45453</v>
      </c>
      <c r="H106">
        <v>3</v>
      </c>
      <c r="I106" t="s">
        <v>32</v>
      </c>
      <c r="J106" t="s">
        <v>43</v>
      </c>
      <c r="K106">
        <v>0.1</v>
      </c>
      <c r="L106">
        <v>130.70000000000002</v>
      </c>
      <c r="M106">
        <v>1307</v>
      </c>
      <c r="N106">
        <v>1176.3</v>
      </c>
      <c r="O106" t="s">
        <v>54</v>
      </c>
      <c r="P106">
        <v>1338</v>
      </c>
      <c r="Q106" t="s">
        <v>31</v>
      </c>
      <c r="R106" s="1">
        <v>45453</v>
      </c>
      <c r="S106">
        <v>2</v>
      </c>
      <c r="T106" t="s">
        <v>32</v>
      </c>
      <c r="U106" t="s">
        <v>43</v>
      </c>
      <c r="V106" t="s">
        <v>1464</v>
      </c>
      <c r="W106" t="s">
        <v>1244</v>
      </c>
      <c r="X106">
        <v>2300</v>
      </c>
      <c r="Y106">
        <v>250</v>
      </c>
      <c r="Z106">
        <v>500</v>
      </c>
      <c r="AA106" t="s">
        <v>1465</v>
      </c>
    </row>
    <row r="107" spans="1:27" x14ac:dyDescent="0.2">
      <c r="A107">
        <v>3106</v>
      </c>
      <c r="B107" t="s">
        <v>249</v>
      </c>
      <c r="C107" t="str">
        <f>_xlfn.CONCAT(Merge[[#This Row],[Customer First Name]]," ",Merge[[#This Row],[Customer Last Name]])</f>
        <v>Selah Xiong</v>
      </c>
      <c r="D107" t="s">
        <v>250</v>
      </c>
      <c r="E107">
        <v>1339</v>
      </c>
      <c r="F107" t="s">
        <v>51</v>
      </c>
      <c r="G107" s="1">
        <v>45490</v>
      </c>
      <c r="H107">
        <v>3</v>
      </c>
      <c r="I107" t="s">
        <v>32</v>
      </c>
      <c r="J107" t="s">
        <v>33</v>
      </c>
      <c r="K107">
        <v>0.2</v>
      </c>
      <c r="L107">
        <v>113.4</v>
      </c>
      <c r="M107">
        <v>567</v>
      </c>
      <c r="N107">
        <v>453.6</v>
      </c>
      <c r="O107" t="s">
        <v>54</v>
      </c>
      <c r="P107">
        <v>1339</v>
      </c>
      <c r="Q107" t="s">
        <v>51</v>
      </c>
      <c r="R107" s="1">
        <v>45490</v>
      </c>
      <c r="S107">
        <v>2</v>
      </c>
      <c r="T107" t="s">
        <v>32</v>
      </c>
      <c r="U107" t="s">
        <v>33</v>
      </c>
      <c r="V107" t="s">
        <v>1466</v>
      </c>
      <c r="W107" t="s">
        <v>1238</v>
      </c>
      <c r="X107">
        <v>6725</v>
      </c>
      <c r="Y107">
        <v>250</v>
      </c>
      <c r="Z107">
        <v>500</v>
      </c>
      <c r="AA107" t="s">
        <v>1467</v>
      </c>
    </row>
    <row r="108" spans="1:27" x14ac:dyDescent="0.2">
      <c r="A108">
        <v>3107</v>
      </c>
      <c r="B108" t="s">
        <v>251</v>
      </c>
      <c r="C108" t="str">
        <f>_xlfn.CONCAT(Merge[[#This Row],[Customer First Name]]," ",Merge[[#This Row],[Customer Last Name]])</f>
        <v>Amira Pearson</v>
      </c>
      <c r="D108" t="s">
        <v>252</v>
      </c>
      <c r="E108">
        <v>1340</v>
      </c>
      <c r="F108" t="s">
        <v>51</v>
      </c>
      <c r="G108" s="1">
        <v>45400</v>
      </c>
      <c r="H108">
        <v>1</v>
      </c>
      <c r="I108" t="s">
        <v>32</v>
      </c>
      <c r="J108" t="s">
        <v>33</v>
      </c>
      <c r="K108">
        <v>0.2</v>
      </c>
      <c r="L108">
        <v>24</v>
      </c>
      <c r="M108">
        <v>120</v>
      </c>
      <c r="N108">
        <v>96</v>
      </c>
      <c r="O108" t="s">
        <v>48</v>
      </c>
      <c r="P108">
        <v>1340</v>
      </c>
      <c r="Q108" t="s">
        <v>51</v>
      </c>
      <c r="R108" s="1">
        <v>45400</v>
      </c>
      <c r="S108">
        <v>3</v>
      </c>
      <c r="T108" t="s">
        <v>32</v>
      </c>
      <c r="U108" t="s">
        <v>33</v>
      </c>
      <c r="V108" t="s">
        <v>1468</v>
      </c>
      <c r="W108" t="s">
        <v>1238</v>
      </c>
      <c r="X108">
        <v>6725</v>
      </c>
      <c r="Y108">
        <v>250</v>
      </c>
      <c r="Z108">
        <v>750</v>
      </c>
      <c r="AA108" t="s">
        <v>1469</v>
      </c>
    </row>
    <row r="109" spans="1:27" x14ac:dyDescent="0.2">
      <c r="A109">
        <v>3108</v>
      </c>
      <c r="B109" t="s">
        <v>253</v>
      </c>
      <c r="C109" t="str">
        <f>_xlfn.CONCAT(Merge[[#This Row],[Customer First Name]]," ",Merge[[#This Row],[Customer Last Name]])</f>
        <v>Rylee Castaneda</v>
      </c>
      <c r="D109" t="s">
        <v>80</v>
      </c>
      <c r="E109">
        <v>1341</v>
      </c>
      <c r="F109" t="s">
        <v>37</v>
      </c>
      <c r="G109" s="1">
        <v>45581</v>
      </c>
      <c r="H109">
        <v>2</v>
      </c>
      <c r="I109" t="s">
        <v>52</v>
      </c>
      <c r="J109" t="s">
        <v>43</v>
      </c>
      <c r="K109">
        <v>0.3</v>
      </c>
      <c r="L109">
        <v>259.5</v>
      </c>
      <c r="M109">
        <v>865</v>
      </c>
      <c r="N109">
        <v>605.5</v>
      </c>
      <c r="O109" t="s">
        <v>114</v>
      </c>
      <c r="P109">
        <v>1341</v>
      </c>
      <c r="Q109" t="s">
        <v>37</v>
      </c>
      <c r="R109" s="1">
        <v>45581</v>
      </c>
      <c r="S109">
        <v>3</v>
      </c>
      <c r="T109" t="s">
        <v>52</v>
      </c>
      <c r="U109" t="s">
        <v>43</v>
      </c>
      <c r="V109" t="s">
        <v>1470</v>
      </c>
      <c r="W109" t="s">
        <v>1299</v>
      </c>
      <c r="X109">
        <v>2500</v>
      </c>
      <c r="Y109">
        <v>800</v>
      </c>
      <c r="Z109">
        <v>2400</v>
      </c>
      <c r="AA109" t="s">
        <v>1471</v>
      </c>
    </row>
    <row r="110" spans="1:27" x14ac:dyDescent="0.2">
      <c r="A110">
        <v>3109</v>
      </c>
      <c r="B110" t="s">
        <v>254</v>
      </c>
      <c r="C110" t="str">
        <f>_xlfn.CONCAT(Merge[[#This Row],[Customer First Name]]," ",Merge[[#This Row],[Customer Last Name]])</f>
        <v>Adelina Jarvis</v>
      </c>
      <c r="D110" t="s">
        <v>255</v>
      </c>
      <c r="E110">
        <v>1342</v>
      </c>
      <c r="F110" t="s">
        <v>76</v>
      </c>
      <c r="G110" s="1">
        <v>45412</v>
      </c>
      <c r="H110">
        <v>3</v>
      </c>
      <c r="I110" t="s">
        <v>52</v>
      </c>
      <c r="J110" t="s">
        <v>53</v>
      </c>
      <c r="K110">
        <v>0.25</v>
      </c>
      <c r="L110">
        <v>444.25</v>
      </c>
      <c r="M110">
        <v>1777</v>
      </c>
      <c r="N110">
        <v>1332.75</v>
      </c>
      <c r="O110" t="s">
        <v>44</v>
      </c>
      <c r="P110">
        <v>1342</v>
      </c>
      <c r="Q110" t="s">
        <v>76</v>
      </c>
      <c r="R110" s="1">
        <v>45412</v>
      </c>
      <c r="S110">
        <v>1</v>
      </c>
      <c r="T110" t="s">
        <v>52</v>
      </c>
      <c r="U110" t="s">
        <v>53</v>
      </c>
      <c r="V110" t="s">
        <v>1472</v>
      </c>
      <c r="W110" t="s">
        <v>1305</v>
      </c>
      <c r="X110">
        <v>4000</v>
      </c>
      <c r="Y110">
        <v>1200</v>
      </c>
      <c r="Z110">
        <v>1200</v>
      </c>
      <c r="AA110" t="s">
        <v>1473</v>
      </c>
    </row>
    <row r="111" spans="1:27" x14ac:dyDescent="0.2">
      <c r="A111">
        <v>3110</v>
      </c>
      <c r="B111" t="s">
        <v>256</v>
      </c>
      <c r="C111" t="str">
        <f>_xlfn.CONCAT(Merge[[#This Row],[Customer First Name]]," ",Merge[[#This Row],[Customer Last Name]])</f>
        <v>Adelynn Fields</v>
      </c>
      <c r="D111" t="s">
        <v>257</v>
      </c>
      <c r="E111">
        <v>1343</v>
      </c>
      <c r="F111" t="s">
        <v>51</v>
      </c>
      <c r="G111" s="1">
        <v>45343</v>
      </c>
      <c r="H111">
        <v>2</v>
      </c>
      <c r="I111" t="s">
        <v>52</v>
      </c>
      <c r="J111" t="s">
        <v>57</v>
      </c>
      <c r="K111">
        <v>0.2</v>
      </c>
      <c r="L111">
        <v>245.20000000000002</v>
      </c>
      <c r="M111">
        <v>1226</v>
      </c>
      <c r="N111">
        <v>980.8</v>
      </c>
      <c r="O111" t="s">
        <v>54</v>
      </c>
      <c r="P111">
        <v>1343</v>
      </c>
      <c r="Q111" t="s">
        <v>51</v>
      </c>
      <c r="R111" s="1">
        <v>45343</v>
      </c>
      <c r="S111">
        <v>3</v>
      </c>
      <c r="T111" t="s">
        <v>52</v>
      </c>
      <c r="U111" t="s">
        <v>57</v>
      </c>
      <c r="V111" t="s">
        <v>1474</v>
      </c>
      <c r="W111" t="s">
        <v>1095</v>
      </c>
      <c r="X111">
        <v>5000</v>
      </c>
      <c r="Y111">
        <v>250</v>
      </c>
      <c r="Z111">
        <v>750</v>
      </c>
      <c r="AA111" t="s">
        <v>1475</v>
      </c>
    </row>
    <row r="112" spans="1:27" x14ac:dyDescent="0.2">
      <c r="A112">
        <v>3111</v>
      </c>
      <c r="B112" t="s">
        <v>258</v>
      </c>
      <c r="C112" t="str">
        <f>_xlfn.CONCAT(Merge[[#This Row],[Customer First Name]]," ",Merge[[#This Row],[Customer Last Name]])</f>
        <v>Miguel Keller</v>
      </c>
      <c r="D112" t="s">
        <v>259</v>
      </c>
      <c r="E112">
        <v>1344</v>
      </c>
      <c r="F112" t="s">
        <v>76</v>
      </c>
      <c r="G112" s="1">
        <v>45489</v>
      </c>
      <c r="H112">
        <v>3</v>
      </c>
      <c r="I112" t="s">
        <v>71</v>
      </c>
      <c r="J112" t="s">
        <v>57</v>
      </c>
      <c r="K112">
        <v>0.25</v>
      </c>
      <c r="L112">
        <v>418.5</v>
      </c>
      <c r="M112">
        <v>1674</v>
      </c>
      <c r="N112">
        <v>1255.5</v>
      </c>
      <c r="O112" t="s">
        <v>34</v>
      </c>
      <c r="P112">
        <v>1344</v>
      </c>
      <c r="Q112" t="s">
        <v>76</v>
      </c>
      <c r="R112" s="1">
        <v>45489</v>
      </c>
      <c r="S112">
        <v>3</v>
      </c>
      <c r="T112" t="s">
        <v>71</v>
      </c>
      <c r="U112" t="s">
        <v>57</v>
      </c>
      <c r="V112" t="s">
        <v>1476</v>
      </c>
      <c r="W112" t="s">
        <v>1095</v>
      </c>
      <c r="X112">
        <v>5000</v>
      </c>
      <c r="Y112">
        <v>1200</v>
      </c>
      <c r="Z112">
        <v>3600</v>
      </c>
      <c r="AA112" t="s">
        <v>1477</v>
      </c>
    </row>
    <row r="113" spans="1:27" x14ac:dyDescent="0.2">
      <c r="A113">
        <v>3112</v>
      </c>
      <c r="B113" t="s">
        <v>224</v>
      </c>
      <c r="C113" t="str">
        <f>_xlfn.CONCAT(Merge[[#This Row],[Customer First Name]]," ",Merge[[#This Row],[Customer Last Name]])</f>
        <v>Clara Rosales</v>
      </c>
      <c r="D113" t="s">
        <v>260</v>
      </c>
      <c r="E113">
        <v>1345</v>
      </c>
      <c r="F113" t="s">
        <v>31</v>
      </c>
      <c r="G113" s="1">
        <v>45480</v>
      </c>
      <c r="H113">
        <v>2</v>
      </c>
      <c r="I113" t="s">
        <v>52</v>
      </c>
      <c r="J113" t="s">
        <v>53</v>
      </c>
      <c r="K113">
        <v>0.1</v>
      </c>
      <c r="L113">
        <v>167.60000000000002</v>
      </c>
      <c r="M113">
        <v>1676</v>
      </c>
      <c r="N113">
        <v>1508.4</v>
      </c>
      <c r="O113" t="s">
        <v>44</v>
      </c>
      <c r="P113">
        <v>1345</v>
      </c>
      <c r="Q113" t="s">
        <v>31</v>
      </c>
      <c r="R113" s="1">
        <v>45480</v>
      </c>
      <c r="S113">
        <v>1</v>
      </c>
      <c r="T113" t="s">
        <v>52</v>
      </c>
      <c r="U113" t="s">
        <v>53</v>
      </c>
      <c r="V113" t="s">
        <v>1478</v>
      </c>
      <c r="W113" t="s">
        <v>1250</v>
      </c>
      <c r="X113">
        <v>4217</v>
      </c>
      <c r="Y113">
        <v>250</v>
      </c>
      <c r="Z113">
        <v>250</v>
      </c>
      <c r="AA113" t="s">
        <v>1479</v>
      </c>
    </row>
    <row r="114" spans="1:27" x14ac:dyDescent="0.2">
      <c r="A114">
        <v>3113</v>
      </c>
      <c r="B114" t="s">
        <v>36</v>
      </c>
      <c r="C114" t="str">
        <f>_xlfn.CONCAT(Merge[[#This Row],[Customer First Name]]," ",Merge[[#This Row],[Customer Last Name]])</f>
        <v>Ronin Ali</v>
      </c>
      <c r="D114" t="s">
        <v>94</v>
      </c>
      <c r="E114">
        <v>1346</v>
      </c>
      <c r="F114" t="s">
        <v>37</v>
      </c>
      <c r="G114" s="1">
        <v>45653</v>
      </c>
      <c r="H114">
        <v>2</v>
      </c>
      <c r="I114" t="s">
        <v>52</v>
      </c>
      <c r="J114" t="s">
        <v>53</v>
      </c>
      <c r="K114">
        <v>0.3</v>
      </c>
      <c r="L114">
        <v>143.1</v>
      </c>
      <c r="M114">
        <v>477</v>
      </c>
      <c r="N114">
        <v>333.9</v>
      </c>
      <c r="O114" t="s">
        <v>54</v>
      </c>
      <c r="P114">
        <v>1346</v>
      </c>
      <c r="Q114" t="s">
        <v>37</v>
      </c>
      <c r="R114" s="1">
        <v>45653</v>
      </c>
      <c r="S114">
        <v>2</v>
      </c>
      <c r="T114" t="s">
        <v>52</v>
      </c>
      <c r="U114" t="s">
        <v>53</v>
      </c>
      <c r="V114" t="s">
        <v>1480</v>
      </c>
      <c r="W114" t="s">
        <v>1268</v>
      </c>
      <c r="X114">
        <v>4870</v>
      </c>
      <c r="Y114">
        <v>800</v>
      </c>
      <c r="Z114">
        <v>1600</v>
      </c>
      <c r="AA114" t="s">
        <v>1481</v>
      </c>
    </row>
    <row r="115" spans="1:27" x14ac:dyDescent="0.2">
      <c r="A115">
        <v>3114</v>
      </c>
      <c r="B115" t="s">
        <v>261</v>
      </c>
      <c r="C115" t="str">
        <f>_xlfn.CONCAT(Merge[[#This Row],[Customer First Name]]," ",Merge[[#This Row],[Customer Last Name]])</f>
        <v>Joshua Bartlett</v>
      </c>
      <c r="D115" t="s">
        <v>262</v>
      </c>
      <c r="E115">
        <v>1347</v>
      </c>
      <c r="F115" t="s">
        <v>42</v>
      </c>
      <c r="G115" s="1">
        <v>45481</v>
      </c>
      <c r="H115">
        <v>1</v>
      </c>
      <c r="I115" t="s">
        <v>32</v>
      </c>
      <c r="J115" t="s">
        <v>64</v>
      </c>
      <c r="K115">
        <v>0.25</v>
      </c>
      <c r="L115">
        <v>259.25</v>
      </c>
      <c r="M115">
        <v>1037</v>
      </c>
      <c r="N115">
        <v>777.75</v>
      </c>
      <c r="O115" t="s">
        <v>44</v>
      </c>
      <c r="P115">
        <v>1347</v>
      </c>
      <c r="Q115" t="s">
        <v>42</v>
      </c>
      <c r="R115" s="1">
        <v>45481</v>
      </c>
      <c r="S115">
        <v>3</v>
      </c>
      <c r="T115" t="s">
        <v>32</v>
      </c>
      <c r="U115" t="s">
        <v>64</v>
      </c>
      <c r="V115" t="s">
        <v>1482</v>
      </c>
      <c r="W115" t="s">
        <v>1262</v>
      </c>
      <c r="X115">
        <v>7250</v>
      </c>
      <c r="Y115">
        <v>300</v>
      </c>
      <c r="Z115">
        <v>900</v>
      </c>
      <c r="AA115" t="s">
        <v>1483</v>
      </c>
    </row>
    <row r="116" spans="1:27" x14ac:dyDescent="0.2">
      <c r="A116">
        <v>3115</v>
      </c>
      <c r="B116" t="s">
        <v>222</v>
      </c>
      <c r="C116" t="str">
        <f>_xlfn.CONCAT(Merge[[#This Row],[Customer First Name]]," ",Merge[[#This Row],[Customer Last Name]])</f>
        <v>Kate Gallagher</v>
      </c>
      <c r="D116" t="s">
        <v>263</v>
      </c>
      <c r="E116">
        <v>1348</v>
      </c>
      <c r="F116" t="s">
        <v>37</v>
      </c>
      <c r="G116" s="1">
        <v>45305</v>
      </c>
      <c r="H116">
        <v>3</v>
      </c>
      <c r="I116" t="s">
        <v>52</v>
      </c>
      <c r="J116" t="s">
        <v>57</v>
      </c>
      <c r="K116">
        <v>0.3</v>
      </c>
      <c r="L116">
        <v>77.7</v>
      </c>
      <c r="M116">
        <v>259</v>
      </c>
      <c r="N116">
        <v>181.3</v>
      </c>
      <c r="O116" t="s">
        <v>114</v>
      </c>
      <c r="P116">
        <v>1348</v>
      </c>
      <c r="Q116" t="s">
        <v>37</v>
      </c>
      <c r="R116" s="1">
        <v>45305</v>
      </c>
      <c r="S116">
        <v>1</v>
      </c>
      <c r="T116" t="s">
        <v>52</v>
      </c>
      <c r="U116" t="s">
        <v>57</v>
      </c>
      <c r="V116" t="s">
        <v>1484</v>
      </c>
      <c r="W116" t="s">
        <v>1095</v>
      </c>
      <c r="X116">
        <v>5000</v>
      </c>
      <c r="Y116">
        <v>800</v>
      </c>
      <c r="Z116">
        <v>800</v>
      </c>
      <c r="AA116" t="s">
        <v>1485</v>
      </c>
    </row>
    <row r="117" spans="1:27" x14ac:dyDescent="0.2">
      <c r="A117">
        <v>3116</v>
      </c>
      <c r="B117" t="s">
        <v>264</v>
      </c>
      <c r="C117" t="str">
        <f>_xlfn.CONCAT(Merge[[#This Row],[Customer First Name]]," ",Merge[[#This Row],[Customer Last Name]])</f>
        <v>Daphne Flynn</v>
      </c>
      <c r="D117" t="s">
        <v>265</v>
      </c>
      <c r="E117">
        <v>1349</v>
      </c>
      <c r="F117" t="s">
        <v>92</v>
      </c>
      <c r="G117" s="1">
        <v>45365</v>
      </c>
      <c r="H117">
        <v>2</v>
      </c>
      <c r="I117" t="s">
        <v>32</v>
      </c>
      <c r="J117" t="s">
        <v>39</v>
      </c>
      <c r="K117">
        <v>0.3</v>
      </c>
      <c r="L117">
        <v>397.5</v>
      </c>
      <c r="M117">
        <v>1325</v>
      </c>
      <c r="N117">
        <v>927.5</v>
      </c>
      <c r="O117" t="s">
        <v>44</v>
      </c>
      <c r="P117">
        <v>1349</v>
      </c>
      <c r="Q117" t="s">
        <v>92</v>
      </c>
      <c r="R117" s="1">
        <v>45365</v>
      </c>
      <c r="S117">
        <v>1</v>
      </c>
      <c r="T117" t="s">
        <v>32</v>
      </c>
      <c r="U117" t="s">
        <v>39</v>
      </c>
      <c r="V117" t="s">
        <v>1486</v>
      </c>
      <c r="W117" t="s">
        <v>1241</v>
      </c>
      <c r="X117">
        <v>2600</v>
      </c>
      <c r="Y117">
        <v>600</v>
      </c>
      <c r="Z117">
        <v>600</v>
      </c>
      <c r="AA117" t="s">
        <v>1487</v>
      </c>
    </row>
    <row r="118" spans="1:27" x14ac:dyDescent="0.2">
      <c r="A118">
        <v>3117</v>
      </c>
      <c r="B118" t="s">
        <v>161</v>
      </c>
      <c r="C118" t="str">
        <f>_xlfn.CONCAT(Merge[[#This Row],[Customer First Name]]," ",Merge[[#This Row],[Customer Last Name]])</f>
        <v>Elise Maldonado</v>
      </c>
      <c r="D118" t="s">
        <v>266</v>
      </c>
      <c r="E118">
        <v>1350</v>
      </c>
      <c r="F118" t="s">
        <v>76</v>
      </c>
      <c r="G118" s="1">
        <v>45645</v>
      </c>
      <c r="H118">
        <v>2</v>
      </c>
      <c r="I118" t="s">
        <v>52</v>
      </c>
      <c r="J118" t="s">
        <v>43</v>
      </c>
      <c r="K118">
        <v>0.25</v>
      </c>
      <c r="L118">
        <v>436.25</v>
      </c>
      <c r="M118">
        <v>1745</v>
      </c>
      <c r="N118">
        <v>1308.75</v>
      </c>
      <c r="O118" t="s">
        <v>48</v>
      </c>
      <c r="P118">
        <v>1350</v>
      </c>
      <c r="Q118" t="s">
        <v>76</v>
      </c>
      <c r="R118" s="1">
        <v>45645</v>
      </c>
      <c r="S118">
        <v>2</v>
      </c>
      <c r="T118" t="s">
        <v>52</v>
      </c>
      <c r="U118" t="s">
        <v>43</v>
      </c>
      <c r="V118" t="s">
        <v>1488</v>
      </c>
      <c r="W118" t="s">
        <v>1299</v>
      </c>
      <c r="X118">
        <v>2500</v>
      </c>
      <c r="Y118">
        <v>1200</v>
      </c>
      <c r="Z118">
        <v>2400</v>
      </c>
      <c r="AA118" t="s">
        <v>1489</v>
      </c>
    </row>
    <row r="119" spans="1:27" x14ac:dyDescent="0.2">
      <c r="A119">
        <v>3118</v>
      </c>
      <c r="B119" t="s">
        <v>267</v>
      </c>
      <c r="C119" t="str">
        <f>_xlfn.CONCAT(Merge[[#This Row],[Customer First Name]]," ",Merge[[#This Row],[Customer Last Name]])</f>
        <v>Charles Townsend</v>
      </c>
      <c r="D119" t="s">
        <v>268</v>
      </c>
      <c r="E119">
        <v>1351</v>
      </c>
      <c r="F119" t="s">
        <v>92</v>
      </c>
      <c r="G119" s="1">
        <v>45371</v>
      </c>
      <c r="H119">
        <v>3</v>
      </c>
      <c r="I119" t="s">
        <v>52</v>
      </c>
      <c r="J119" t="s">
        <v>64</v>
      </c>
      <c r="K119">
        <v>0.3</v>
      </c>
      <c r="L119">
        <v>201.9</v>
      </c>
      <c r="M119">
        <v>673</v>
      </c>
      <c r="N119">
        <v>471.1</v>
      </c>
      <c r="O119" t="s">
        <v>54</v>
      </c>
      <c r="P119">
        <v>1351</v>
      </c>
      <c r="Q119" t="s">
        <v>92</v>
      </c>
      <c r="R119" s="1">
        <v>45371</v>
      </c>
      <c r="S119">
        <v>3</v>
      </c>
      <c r="T119" t="s">
        <v>52</v>
      </c>
      <c r="U119" t="s">
        <v>64</v>
      </c>
      <c r="V119" t="s">
        <v>1490</v>
      </c>
      <c r="W119" t="s">
        <v>1400</v>
      </c>
      <c r="X119">
        <v>7310</v>
      </c>
      <c r="Y119">
        <v>600</v>
      </c>
      <c r="Z119">
        <v>1800</v>
      </c>
      <c r="AA119" t="s">
        <v>1491</v>
      </c>
    </row>
    <row r="120" spans="1:27" x14ac:dyDescent="0.2">
      <c r="A120">
        <v>3119</v>
      </c>
      <c r="B120" t="s">
        <v>269</v>
      </c>
      <c r="C120" t="str">
        <f>_xlfn.CONCAT(Merge[[#This Row],[Customer First Name]]," ",Merge[[#This Row],[Customer Last Name]])</f>
        <v>Rory Pollard</v>
      </c>
      <c r="D120" t="s">
        <v>270</v>
      </c>
      <c r="E120">
        <v>1352</v>
      </c>
      <c r="F120" t="s">
        <v>42</v>
      </c>
      <c r="G120" s="1">
        <v>45621</v>
      </c>
      <c r="H120">
        <v>2</v>
      </c>
      <c r="I120" t="s">
        <v>38</v>
      </c>
      <c r="J120" t="s">
        <v>57</v>
      </c>
      <c r="K120">
        <v>0.25</v>
      </c>
      <c r="L120">
        <v>271.5</v>
      </c>
      <c r="M120">
        <v>1086</v>
      </c>
      <c r="N120">
        <v>814.5</v>
      </c>
      <c r="O120" t="s">
        <v>34</v>
      </c>
      <c r="P120">
        <v>1352</v>
      </c>
      <c r="Q120" t="s">
        <v>42</v>
      </c>
      <c r="R120" s="1">
        <v>45621</v>
      </c>
      <c r="S120">
        <v>3</v>
      </c>
      <c r="T120" t="s">
        <v>38</v>
      </c>
      <c r="U120" t="s">
        <v>57</v>
      </c>
      <c r="V120" t="s">
        <v>1492</v>
      </c>
      <c r="W120" t="s">
        <v>1095</v>
      </c>
      <c r="X120">
        <v>5000</v>
      </c>
      <c r="Y120">
        <v>300</v>
      </c>
      <c r="Z120">
        <v>900</v>
      </c>
      <c r="AA120" t="s">
        <v>1493</v>
      </c>
    </row>
    <row r="121" spans="1:27" x14ac:dyDescent="0.2">
      <c r="A121">
        <v>3120</v>
      </c>
      <c r="B121" t="s">
        <v>271</v>
      </c>
      <c r="C121" t="str">
        <f>_xlfn.CONCAT(Merge[[#This Row],[Customer First Name]]," ",Merge[[#This Row],[Customer Last Name]])</f>
        <v>Zion Clark</v>
      </c>
      <c r="D121" t="s">
        <v>272</v>
      </c>
      <c r="E121">
        <v>1353</v>
      </c>
      <c r="F121" t="s">
        <v>76</v>
      </c>
      <c r="G121" s="1">
        <v>45448</v>
      </c>
      <c r="H121">
        <v>3</v>
      </c>
      <c r="I121" t="s">
        <v>32</v>
      </c>
      <c r="J121" t="s">
        <v>57</v>
      </c>
      <c r="K121">
        <v>0.25</v>
      </c>
      <c r="L121">
        <v>47.25</v>
      </c>
      <c r="M121">
        <v>189</v>
      </c>
      <c r="N121">
        <v>141.75</v>
      </c>
      <c r="O121" t="s">
        <v>54</v>
      </c>
      <c r="P121">
        <v>1353</v>
      </c>
      <c r="Q121" t="s">
        <v>76</v>
      </c>
      <c r="R121" s="1">
        <v>45448</v>
      </c>
      <c r="S121">
        <v>2</v>
      </c>
      <c r="T121" t="s">
        <v>32</v>
      </c>
      <c r="U121" t="s">
        <v>57</v>
      </c>
      <c r="V121" t="s">
        <v>1494</v>
      </c>
      <c r="W121" t="s">
        <v>1253</v>
      </c>
      <c r="X121">
        <v>5290</v>
      </c>
      <c r="Y121">
        <v>1200</v>
      </c>
      <c r="Z121">
        <v>2400</v>
      </c>
      <c r="AA121" t="s">
        <v>1495</v>
      </c>
    </row>
    <row r="122" spans="1:27" x14ac:dyDescent="0.2">
      <c r="A122">
        <v>3121</v>
      </c>
      <c r="B122" t="s">
        <v>273</v>
      </c>
      <c r="C122" t="str">
        <f>_xlfn.CONCAT(Merge[[#This Row],[Customer First Name]]," ",Merge[[#This Row],[Customer Last Name]])</f>
        <v>Joaquin Randolph</v>
      </c>
      <c r="D122" t="s">
        <v>221</v>
      </c>
      <c r="E122">
        <v>1354</v>
      </c>
      <c r="F122" t="s">
        <v>92</v>
      </c>
      <c r="G122" s="1">
        <v>45505</v>
      </c>
      <c r="H122">
        <v>1</v>
      </c>
      <c r="I122" t="s">
        <v>32</v>
      </c>
      <c r="J122" t="s">
        <v>53</v>
      </c>
      <c r="K122">
        <v>0.3</v>
      </c>
      <c r="L122">
        <v>176.7</v>
      </c>
      <c r="M122">
        <v>589</v>
      </c>
      <c r="N122">
        <v>412.3</v>
      </c>
      <c r="O122" t="s">
        <v>44</v>
      </c>
      <c r="P122">
        <v>1354</v>
      </c>
      <c r="Q122" t="s">
        <v>92</v>
      </c>
      <c r="R122" s="1">
        <v>45505</v>
      </c>
      <c r="S122">
        <v>2</v>
      </c>
      <c r="T122" t="s">
        <v>32</v>
      </c>
      <c r="U122" t="s">
        <v>53</v>
      </c>
      <c r="V122" t="s">
        <v>1496</v>
      </c>
      <c r="W122" t="s">
        <v>1250</v>
      </c>
      <c r="X122">
        <v>4217</v>
      </c>
      <c r="Y122">
        <v>600</v>
      </c>
      <c r="Z122">
        <v>1200</v>
      </c>
      <c r="AA122" t="s">
        <v>1497</v>
      </c>
    </row>
    <row r="123" spans="1:27" x14ac:dyDescent="0.2">
      <c r="A123">
        <v>3122</v>
      </c>
      <c r="B123" t="s">
        <v>180</v>
      </c>
      <c r="C123" t="str">
        <f>_xlfn.CONCAT(Merge[[#This Row],[Customer First Name]]," ",Merge[[#This Row],[Customer Last Name]])</f>
        <v>Edgar Guerra</v>
      </c>
      <c r="D123" t="s">
        <v>274</v>
      </c>
      <c r="E123">
        <v>1355</v>
      </c>
      <c r="F123" t="s">
        <v>42</v>
      </c>
      <c r="G123" s="1">
        <v>45518</v>
      </c>
      <c r="H123">
        <v>3</v>
      </c>
      <c r="I123" t="s">
        <v>32</v>
      </c>
      <c r="J123" t="s">
        <v>81</v>
      </c>
      <c r="K123">
        <v>0.25</v>
      </c>
      <c r="L123">
        <v>108</v>
      </c>
      <c r="M123">
        <v>432</v>
      </c>
      <c r="N123">
        <v>324</v>
      </c>
      <c r="O123" t="s">
        <v>54</v>
      </c>
      <c r="P123">
        <v>1355</v>
      </c>
      <c r="Q123" t="s">
        <v>42</v>
      </c>
      <c r="R123" s="1">
        <v>45518</v>
      </c>
      <c r="S123">
        <v>2</v>
      </c>
      <c r="T123" t="s">
        <v>32</v>
      </c>
      <c r="U123" t="s">
        <v>81</v>
      </c>
      <c r="V123" t="s">
        <v>1498</v>
      </c>
      <c r="W123" t="s">
        <v>1361</v>
      </c>
      <c r="X123">
        <v>870</v>
      </c>
      <c r="Y123">
        <v>300</v>
      </c>
      <c r="Z123">
        <v>600</v>
      </c>
      <c r="AA123" t="s">
        <v>1499</v>
      </c>
    </row>
    <row r="124" spans="1:27" x14ac:dyDescent="0.2">
      <c r="A124">
        <v>3123</v>
      </c>
      <c r="B124" t="s">
        <v>275</v>
      </c>
      <c r="C124" t="str">
        <f>_xlfn.CONCAT(Merge[[#This Row],[Customer First Name]]," ",Merge[[#This Row],[Customer Last Name]])</f>
        <v>Ace Johnston</v>
      </c>
      <c r="D124" t="s">
        <v>276</v>
      </c>
      <c r="E124">
        <v>1356</v>
      </c>
      <c r="F124" t="s">
        <v>51</v>
      </c>
      <c r="G124" s="1">
        <v>45399</v>
      </c>
      <c r="H124">
        <v>3</v>
      </c>
      <c r="I124" t="s">
        <v>52</v>
      </c>
      <c r="J124" t="s">
        <v>39</v>
      </c>
      <c r="K124">
        <v>0.2</v>
      </c>
      <c r="L124">
        <v>304.60000000000002</v>
      </c>
      <c r="M124">
        <v>1523</v>
      </c>
      <c r="N124">
        <v>1218.4000000000001</v>
      </c>
      <c r="O124" t="s">
        <v>44</v>
      </c>
      <c r="P124">
        <v>1356</v>
      </c>
      <c r="Q124" t="s">
        <v>51</v>
      </c>
      <c r="R124" s="1">
        <v>45399</v>
      </c>
      <c r="S124">
        <v>1</v>
      </c>
      <c r="T124" t="s">
        <v>52</v>
      </c>
      <c r="U124" t="s">
        <v>39</v>
      </c>
      <c r="V124" t="s">
        <v>1500</v>
      </c>
      <c r="W124" t="s">
        <v>1241</v>
      </c>
      <c r="X124">
        <v>2600</v>
      </c>
      <c r="Y124">
        <v>250</v>
      </c>
      <c r="Z124">
        <v>250</v>
      </c>
      <c r="AA124" t="s">
        <v>1501</v>
      </c>
    </row>
    <row r="125" spans="1:27" x14ac:dyDescent="0.2">
      <c r="A125">
        <v>3124</v>
      </c>
      <c r="B125" t="s">
        <v>277</v>
      </c>
      <c r="C125" t="str">
        <f>_xlfn.CONCAT(Merge[[#This Row],[Customer First Name]]," ",Merge[[#This Row],[Customer Last Name]])</f>
        <v>Amy Kemp</v>
      </c>
      <c r="D125" t="s">
        <v>278</v>
      </c>
      <c r="E125">
        <v>1357</v>
      </c>
      <c r="F125" t="s">
        <v>31</v>
      </c>
      <c r="G125" s="1">
        <v>45532</v>
      </c>
      <c r="H125">
        <v>1</v>
      </c>
      <c r="I125" t="s">
        <v>32</v>
      </c>
      <c r="J125" t="s">
        <v>33</v>
      </c>
      <c r="K125">
        <v>0.1</v>
      </c>
      <c r="L125">
        <v>162.9</v>
      </c>
      <c r="M125">
        <v>1629</v>
      </c>
      <c r="N125">
        <v>1466.1</v>
      </c>
      <c r="O125" t="s">
        <v>114</v>
      </c>
      <c r="P125">
        <v>1357</v>
      </c>
      <c r="Q125" t="s">
        <v>31</v>
      </c>
      <c r="R125" s="1">
        <v>45532</v>
      </c>
      <c r="S125">
        <v>1</v>
      </c>
      <c r="T125" t="s">
        <v>32</v>
      </c>
      <c r="U125" t="s">
        <v>33</v>
      </c>
      <c r="V125" t="s">
        <v>1502</v>
      </c>
      <c r="W125" t="s">
        <v>1259</v>
      </c>
      <c r="X125">
        <v>6160</v>
      </c>
      <c r="Y125">
        <v>250</v>
      </c>
      <c r="Z125">
        <v>250</v>
      </c>
      <c r="AA125" t="s">
        <v>1503</v>
      </c>
    </row>
    <row r="126" spans="1:27" x14ac:dyDescent="0.2">
      <c r="A126">
        <v>3125</v>
      </c>
      <c r="B126" t="s">
        <v>279</v>
      </c>
      <c r="C126" t="str">
        <f>_xlfn.CONCAT(Merge[[#This Row],[Customer First Name]]," ",Merge[[#This Row],[Customer Last Name]])</f>
        <v>Avianna Berger</v>
      </c>
      <c r="D126" t="s">
        <v>280</v>
      </c>
      <c r="E126">
        <v>1358</v>
      </c>
      <c r="F126" t="s">
        <v>42</v>
      </c>
      <c r="G126" s="1">
        <v>45332</v>
      </c>
      <c r="H126">
        <v>3</v>
      </c>
      <c r="I126" t="s">
        <v>38</v>
      </c>
      <c r="J126" t="s">
        <v>47</v>
      </c>
      <c r="K126">
        <v>0.25</v>
      </c>
      <c r="L126">
        <v>260.5</v>
      </c>
      <c r="M126">
        <v>1042</v>
      </c>
      <c r="N126">
        <v>781.5</v>
      </c>
      <c r="O126" t="s">
        <v>34</v>
      </c>
      <c r="P126">
        <v>1358</v>
      </c>
      <c r="Q126" t="s">
        <v>42</v>
      </c>
      <c r="R126" s="1">
        <v>45332</v>
      </c>
      <c r="S126">
        <v>3</v>
      </c>
      <c r="T126" t="s">
        <v>38</v>
      </c>
      <c r="U126" t="s">
        <v>47</v>
      </c>
      <c r="V126" t="s">
        <v>1504</v>
      </c>
      <c r="W126" t="s">
        <v>1247</v>
      </c>
      <c r="X126">
        <v>3350</v>
      </c>
      <c r="Y126">
        <v>300</v>
      </c>
      <c r="Z126">
        <v>900</v>
      </c>
      <c r="AA126" t="s">
        <v>1505</v>
      </c>
    </row>
    <row r="127" spans="1:27" x14ac:dyDescent="0.2">
      <c r="A127">
        <v>3126</v>
      </c>
      <c r="B127" t="s">
        <v>281</v>
      </c>
      <c r="C127" t="str">
        <f>_xlfn.CONCAT(Merge[[#This Row],[Customer First Name]]," ",Merge[[#This Row],[Customer Last Name]])</f>
        <v>Bryce Hogan</v>
      </c>
      <c r="D127" t="s">
        <v>282</v>
      </c>
      <c r="E127">
        <v>1359</v>
      </c>
      <c r="F127" t="s">
        <v>76</v>
      </c>
      <c r="G127" s="1">
        <v>45469</v>
      </c>
      <c r="H127">
        <v>2</v>
      </c>
      <c r="I127" t="s">
        <v>52</v>
      </c>
      <c r="J127" t="s">
        <v>64</v>
      </c>
      <c r="K127">
        <v>0.25</v>
      </c>
      <c r="L127">
        <v>103.25</v>
      </c>
      <c r="M127">
        <v>413</v>
      </c>
      <c r="N127">
        <v>309.75</v>
      </c>
      <c r="O127" t="s">
        <v>44</v>
      </c>
      <c r="P127">
        <v>1359</v>
      </c>
      <c r="Q127" t="s">
        <v>76</v>
      </c>
      <c r="R127" s="1">
        <v>45469</v>
      </c>
      <c r="S127">
        <v>3</v>
      </c>
      <c r="T127" t="s">
        <v>52</v>
      </c>
      <c r="U127" t="s">
        <v>64</v>
      </c>
      <c r="V127" t="s">
        <v>1506</v>
      </c>
      <c r="W127" t="s">
        <v>1400</v>
      </c>
      <c r="X127">
        <v>7310</v>
      </c>
      <c r="Y127">
        <v>1200</v>
      </c>
      <c r="Z127">
        <v>3600</v>
      </c>
      <c r="AA127" t="s">
        <v>1507</v>
      </c>
    </row>
    <row r="128" spans="1:27" x14ac:dyDescent="0.2">
      <c r="A128">
        <v>3127</v>
      </c>
      <c r="B128" t="s">
        <v>253</v>
      </c>
      <c r="C128" t="str">
        <f>_xlfn.CONCAT(Merge[[#This Row],[Customer First Name]]," ",Merge[[#This Row],[Customer Last Name]])</f>
        <v>Princeton Castaneda</v>
      </c>
      <c r="D128" t="s">
        <v>283</v>
      </c>
      <c r="E128">
        <v>1360</v>
      </c>
      <c r="F128" t="s">
        <v>76</v>
      </c>
      <c r="G128" s="1">
        <v>45388</v>
      </c>
      <c r="H128">
        <v>2</v>
      </c>
      <c r="I128" t="s">
        <v>32</v>
      </c>
      <c r="J128" t="s">
        <v>39</v>
      </c>
      <c r="K128">
        <v>0.25</v>
      </c>
      <c r="L128">
        <v>361.5</v>
      </c>
      <c r="M128">
        <v>1446</v>
      </c>
      <c r="N128">
        <v>1084.5</v>
      </c>
      <c r="O128" t="s">
        <v>44</v>
      </c>
      <c r="P128">
        <v>1360</v>
      </c>
      <c r="Q128" t="s">
        <v>76</v>
      </c>
      <c r="R128" s="1">
        <v>45388</v>
      </c>
      <c r="S128">
        <v>3</v>
      </c>
      <c r="T128" t="s">
        <v>32</v>
      </c>
      <c r="U128" t="s">
        <v>39</v>
      </c>
      <c r="V128" t="s">
        <v>1508</v>
      </c>
      <c r="W128" t="s">
        <v>1241</v>
      </c>
      <c r="X128">
        <v>2600</v>
      </c>
      <c r="Y128">
        <v>1200</v>
      </c>
      <c r="Z128">
        <v>3600</v>
      </c>
      <c r="AA128" t="s">
        <v>1509</v>
      </c>
    </row>
    <row r="129" spans="1:27" x14ac:dyDescent="0.2">
      <c r="A129">
        <v>3128</v>
      </c>
      <c r="B129" t="s">
        <v>284</v>
      </c>
      <c r="C129" t="str">
        <f>_xlfn.CONCAT(Merge[[#This Row],[Customer First Name]]," ",Merge[[#This Row],[Customer Last Name]])</f>
        <v>Isabella Griffin</v>
      </c>
      <c r="D129" t="s">
        <v>285</v>
      </c>
      <c r="E129">
        <v>1361</v>
      </c>
      <c r="F129" t="s">
        <v>51</v>
      </c>
      <c r="G129" s="1">
        <v>45572</v>
      </c>
      <c r="H129">
        <v>1</v>
      </c>
      <c r="I129" t="s">
        <v>38</v>
      </c>
      <c r="J129" t="s">
        <v>39</v>
      </c>
      <c r="K129">
        <v>0.2</v>
      </c>
      <c r="L129">
        <v>3.8000000000000003</v>
      </c>
      <c r="M129">
        <v>19</v>
      </c>
      <c r="N129">
        <v>15.2</v>
      </c>
      <c r="O129" t="s">
        <v>44</v>
      </c>
      <c r="P129">
        <v>1361</v>
      </c>
      <c r="Q129" t="s">
        <v>51</v>
      </c>
      <c r="R129" s="1">
        <v>45572</v>
      </c>
      <c r="S129">
        <v>3</v>
      </c>
      <c r="T129" t="s">
        <v>38</v>
      </c>
      <c r="U129" t="s">
        <v>39</v>
      </c>
      <c r="V129" t="s">
        <v>1510</v>
      </c>
      <c r="W129" t="s">
        <v>1241</v>
      </c>
      <c r="X129">
        <v>2600</v>
      </c>
      <c r="Y129">
        <v>250</v>
      </c>
      <c r="Z129">
        <v>750</v>
      </c>
      <c r="AA129" t="s">
        <v>1511</v>
      </c>
    </row>
    <row r="130" spans="1:27" x14ac:dyDescent="0.2">
      <c r="A130">
        <v>3129</v>
      </c>
      <c r="B130" t="s">
        <v>286</v>
      </c>
      <c r="C130" t="str">
        <f>_xlfn.CONCAT(Merge[[#This Row],[Customer First Name]]," ",Merge[[#This Row],[Customer Last Name]])</f>
        <v>Charlie Costa</v>
      </c>
      <c r="D130" t="s">
        <v>287</v>
      </c>
      <c r="E130">
        <v>1362</v>
      </c>
      <c r="F130" t="s">
        <v>76</v>
      </c>
      <c r="G130" s="1">
        <v>45639</v>
      </c>
      <c r="H130">
        <v>3</v>
      </c>
      <c r="I130" t="s">
        <v>52</v>
      </c>
      <c r="J130" t="s">
        <v>33</v>
      </c>
      <c r="K130">
        <v>0.25</v>
      </c>
      <c r="L130">
        <v>4.5</v>
      </c>
      <c r="M130">
        <v>18</v>
      </c>
      <c r="N130">
        <v>13.5</v>
      </c>
      <c r="O130" t="s">
        <v>34</v>
      </c>
      <c r="P130">
        <v>1362</v>
      </c>
      <c r="Q130" t="s">
        <v>76</v>
      </c>
      <c r="R130" s="1">
        <v>45639</v>
      </c>
      <c r="S130">
        <v>2</v>
      </c>
      <c r="T130" t="s">
        <v>52</v>
      </c>
      <c r="U130" t="s">
        <v>33</v>
      </c>
      <c r="V130" t="s">
        <v>1512</v>
      </c>
      <c r="W130" t="s">
        <v>1259</v>
      </c>
      <c r="X130">
        <v>6160</v>
      </c>
      <c r="Y130">
        <v>1200</v>
      </c>
      <c r="Z130">
        <v>2400</v>
      </c>
      <c r="AA130" t="s">
        <v>1513</v>
      </c>
    </row>
    <row r="131" spans="1:27" x14ac:dyDescent="0.2">
      <c r="A131">
        <v>3130</v>
      </c>
      <c r="B131" t="s">
        <v>288</v>
      </c>
      <c r="C131" t="str">
        <f>_xlfn.CONCAT(Merge[[#This Row],[Customer First Name]]," ",Merge[[#This Row],[Customer Last Name]])</f>
        <v>Aliyah Schmitt</v>
      </c>
      <c r="D131" t="s">
        <v>289</v>
      </c>
      <c r="E131">
        <v>1363</v>
      </c>
      <c r="F131" t="s">
        <v>76</v>
      </c>
      <c r="G131" s="1">
        <v>45354</v>
      </c>
      <c r="H131">
        <v>1</v>
      </c>
      <c r="I131" t="s">
        <v>38</v>
      </c>
      <c r="J131" t="s">
        <v>53</v>
      </c>
      <c r="K131">
        <v>0.25</v>
      </c>
      <c r="L131">
        <v>168.75</v>
      </c>
      <c r="M131">
        <v>675</v>
      </c>
      <c r="N131">
        <v>506.25</v>
      </c>
      <c r="O131" t="s">
        <v>54</v>
      </c>
      <c r="P131">
        <v>1363</v>
      </c>
      <c r="Q131" t="s">
        <v>76</v>
      </c>
      <c r="R131" s="1">
        <v>45354</v>
      </c>
      <c r="S131">
        <v>2</v>
      </c>
      <c r="T131" t="s">
        <v>38</v>
      </c>
      <c r="U131" t="s">
        <v>53</v>
      </c>
      <c r="V131" t="s">
        <v>1514</v>
      </c>
      <c r="W131" t="s">
        <v>1268</v>
      </c>
      <c r="X131">
        <v>4870</v>
      </c>
      <c r="Y131">
        <v>1200</v>
      </c>
      <c r="Z131">
        <v>2400</v>
      </c>
      <c r="AA131" t="s">
        <v>1515</v>
      </c>
    </row>
    <row r="132" spans="1:27" x14ac:dyDescent="0.2">
      <c r="A132">
        <v>3131</v>
      </c>
      <c r="B132" t="s">
        <v>290</v>
      </c>
      <c r="C132" t="str">
        <f>_xlfn.CONCAT(Merge[[#This Row],[Customer First Name]]," ",Merge[[#This Row],[Customer Last Name]])</f>
        <v>Raven Holloway</v>
      </c>
      <c r="D132" t="s">
        <v>291</v>
      </c>
      <c r="E132">
        <v>1364</v>
      </c>
      <c r="F132" t="s">
        <v>76</v>
      </c>
      <c r="G132" s="1">
        <v>45292</v>
      </c>
      <c r="H132">
        <v>2</v>
      </c>
      <c r="I132" t="s">
        <v>52</v>
      </c>
      <c r="J132" t="s">
        <v>57</v>
      </c>
      <c r="K132">
        <v>0.25</v>
      </c>
      <c r="L132">
        <v>279.25</v>
      </c>
      <c r="M132">
        <v>1117</v>
      </c>
      <c r="N132">
        <v>837.75</v>
      </c>
      <c r="O132" t="s">
        <v>114</v>
      </c>
      <c r="P132">
        <v>1364</v>
      </c>
      <c r="Q132" t="s">
        <v>76</v>
      </c>
      <c r="R132" s="1">
        <v>45292</v>
      </c>
      <c r="S132">
        <v>3</v>
      </c>
      <c r="T132" t="s">
        <v>52</v>
      </c>
      <c r="U132" t="s">
        <v>57</v>
      </c>
      <c r="V132" t="s">
        <v>1516</v>
      </c>
      <c r="W132" t="s">
        <v>1350</v>
      </c>
      <c r="X132">
        <v>5600</v>
      </c>
      <c r="Y132">
        <v>1200</v>
      </c>
      <c r="Z132">
        <v>3600</v>
      </c>
      <c r="AA132" t="s">
        <v>1517</v>
      </c>
    </row>
    <row r="133" spans="1:27" x14ac:dyDescent="0.2">
      <c r="A133">
        <v>3132</v>
      </c>
      <c r="B133" t="s">
        <v>292</v>
      </c>
      <c r="C133" t="str">
        <f>_xlfn.CONCAT(Merge[[#This Row],[Customer First Name]]," ",Merge[[#This Row],[Customer Last Name]])</f>
        <v>Malik Kirby</v>
      </c>
      <c r="D133" t="s">
        <v>293</v>
      </c>
      <c r="E133">
        <v>1365</v>
      </c>
      <c r="F133" t="s">
        <v>42</v>
      </c>
      <c r="G133" s="1">
        <v>45310</v>
      </c>
      <c r="H133">
        <v>1</v>
      </c>
      <c r="I133" t="s">
        <v>52</v>
      </c>
      <c r="J133" t="s">
        <v>39</v>
      </c>
      <c r="K133">
        <v>0.25</v>
      </c>
      <c r="L133">
        <v>341.5</v>
      </c>
      <c r="M133">
        <v>1366</v>
      </c>
      <c r="N133">
        <v>1024.5</v>
      </c>
      <c r="O133" t="s">
        <v>34</v>
      </c>
      <c r="P133">
        <v>1365</v>
      </c>
      <c r="Q133" t="s">
        <v>42</v>
      </c>
      <c r="R133" s="1">
        <v>45310</v>
      </c>
      <c r="S133">
        <v>3</v>
      </c>
      <c r="T133" t="s">
        <v>52</v>
      </c>
      <c r="U133" t="s">
        <v>39</v>
      </c>
      <c r="V133" t="s">
        <v>1518</v>
      </c>
      <c r="W133" t="s">
        <v>1241</v>
      </c>
      <c r="X133">
        <v>2600</v>
      </c>
      <c r="Y133">
        <v>300</v>
      </c>
      <c r="Z133">
        <v>900</v>
      </c>
      <c r="AA133" t="s">
        <v>1519</v>
      </c>
    </row>
    <row r="134" spans="1:27" x14ac:dyDescent="0.2">
      <c r="A134">
        <v>3133</v>
      </c>
      <c r="B134" t="s">
        <v>294</v>
      </c>
      <c r="C134" t="str">
        <f>_xlfn.CONCAT(Merge[[#This Row],[Customer First Name]]," ",Merge[[#This Row],[Customer Last Name]])</f>
        <v>Kylo Schwartz</v>
      </c>
      <c r="D134" t="s">
        <v>295</v>
      </c>
      <c r="E134">
        <v>1366</v>
      </c>
      <c r="F134" t="s">
        <v>76</v>
      </c>
      <c r="G134" s="1">
        <v>45612</v>
      </c>
      <c r="H134">
        <v>1</v>
      </c>
      <c r="I134" t="s">
        <v>71</v>
      </c>
      <c r="J134" t="s">
        <v>64</v>
      </c>
      <c r="K134">
        <v>0.25</v>
      </c>
      <c r="L134">
        <v>326.5</v>
      </c>
      <c r="M134">
        <v>1306</v>
      </c>
      <c r="N134">
        <v>979.5</v>
      </c>
      <c r="O134" t="s">
        <v>48</v>
      </c>
      <c r="P134">
        <v>1366</v>
      </c>
      <c r="Q134" t="s">
        <v>76</v>
      </c>
      <c r="R134" s="1">
        <v>45612</v>
      </c>
      <c r="S134">
        <v>3</v>
      </c>
      <c r="T134" t="s">
        <v>71</v>
      </c>
      <c r="U134" t="s">
        <v>64</v>
      </c>
      <c r="V134" t="s">
        <v>1520</v>
      </c>
      <c r="W134" t="s">
        <v>1265</v>
      </c>
      <c r="X134">
        <v>7000</v>
      </c>
      <c r="Y134">
        <v>1200</v>
      </c>
      <c r="Z134">
        <v>3600</v>
      </c>
      <c r="AA134" t="s">
        <v>1521</v>
      </c>
    </row>
    <row r="135" spans="1:27" x14ac:dyDescent="0.2">
      <c r="A135">
        <v>3134</v>
      </c>
      <c r="B135" t="s">
        <v>296</v>
      </c>
      <c r="C135" t="str">
        <f>_xlfn.CONCAT(Merge[[#This Row],[Customer First Name]]," ",Merge[[#This Row],[Customer Last Name]])</f>
        <v>Jeremy Salazar</v>
      </c>
      <c r="D135" t="s">
        <v>297</v>
      </c>
      <c r="E135">
        <v>1367</v>
      </c>
      <c r="F135" t="s">
        <v>37</v>
      </c>
      <c r="G135" s="1">
        <v>45521</v>
      </c>
      <c r="H135">
        <v>2</v>
      </c>
      <c r="I135" t="s">
        <v>52</v>
      </c>
      <c r="J135" t="s">
        <v>57</v>
      </c>
      <c r="K135">
        <v>0.3</v>
      </c>
      <c r="L135">
        <v>433.2</v>
      </c>
      <c r="M135">
        <v>1444</v>
      </c>
      <c r="N135">
        <v>1010.8</v>
      </c>
      <c r="O135" t="s">
        <v>44</v>
      </c>
      <c r="P135">
        <v>1367</v>
      </c>
      <c r="Q135" t="s">
        <v>37</v>
      </c>
      <c r="R135" s="1">
        <v>45521</v>
      </c>
      <c r="S135">
        <v>2</v>
      </c>
      <c r="T135" t="s">
        <v>52</v>
      </c>
      <c r="U135" t="s">
        <v>57</v>
      </c>
      <c r="V135" t="s">
        <v>1522</v>
      </c>
      <c r="W135" t="s">
        <v>1350</v>
      </c>
      <c r="X135">
        <v>5600</v>
      </c>
      <c r="Y135">
        <v>800</v>
      </c>
      <c r="Z135">
        <v>1600</v>
      </c>
      <c r="AA135" t="s">
        <v>1523</v>
      </c>
    </row>
    <row r="136" spans="1:27" x14ac:dyDescent="0.2">
      <c r="A136">
        <v>3135</v>
      </c>
      <c r="B136" t="s">
        <v>261</v>
      </c>
      <c r="C136" t="str">
        <f>_xlfn.CONCAT(Merge[[#This Row],[Customer First Name]]," ",Merge[[#This Row],[Customer Last Name]])</f>
        <v>Oscar Bartlett</v>
      </c>
      <c r="D136" t="s">
        <v>298</v>
      </c>
      <c r="E136">
        <v>1368</v>
      </c>
      <c r="F136" t="s">
        <v>37</v>
      </c>
      <c r="G136" s="1">
        <v>45485</v>
      </c>
      <c r="H136">
        <v>1</v>
      </c>
      <c r="I136" t="s">
        <v>38</v>
      </c>
      <c r="J136" t="s">
        <v>64</v>
      </c>
      <c r="K136">
        <v>0.3</v>
      </c>
      <c r="L136">
        <v>74.7</v>
      </c>
      <c r="M136">
        <v>249</v>
      </c>
      <c r="N136">
        <v>174.3</v>
      </c>
      <c r="O136" t="s">
        <v>48</v>
      </c>
      <c r="P136">
        <v>1368</v>
      </c>
      <c r="Q136" t="s">
        <v>37</v>
      </c>
      <c r="R136" s="1">
        <v>45485</v>
      </c>
      <c r="S136">
        <v>3</v>
      </c>
      <c r="T136" t="s">
        <v>38</v>
      </c>
      <c r="U136" t="s">
        <v>64</v>
      </c>
      <c r="V136" t="s">
        <v>1524</v>
      </c>
      <c r="W136" t="s">
        <v>1265</v>
      </c>
      <c r="X136">
        <v>7000</v>
      </c>
      <c r="Y136">
        <v>800</v>
      </c>
      <c r="Z136">
        <v>2400</v>
      </c>
      <c r="AA136" t="s">
        <v>1525</v>
      </c>
    </row>
    <row r="137" spans="1:27" x14ac:dyDescent="0.2">
      <c r="A137">
        <v>3136</v>
      </c>
      <c r="B137" t="s">
        <v>299</v>
      </c>
      <c r="C137" t="str">
        <f>_xlfn.CONCAT(Merge[[#This Row],[Customer First Name]]," ",Merge[[#This Row],[Customer Last Name]])</f>
        <v>Harvey Montgomery</v>
      </c>
      <c r="D137" t="s">
        <v>152</v>
      </c>
      <c r="E137">
        <v>1369</v>
      </c>
      <c r="F137" t="s">
        <v>76</v>
      </c>
      <c r="G137" s="1">
        <v>45546</v>
      </c>
      <c r="H137">
        <v>2</v>
      </c>
      <c r="I137" t="s">
        <v>52</v>
      </c>
      <c r="J137" t="s">
        <v>53</v>
      </c>
      <c r="K137">
        <v>0.25</v>
      </c>
      <c r="L137">
        <v>248.5</v>
      </c>
      <c r="M137">
        <v>994</v>
      </c>
      <c r="N137">
        <v>745.5</v>
      </c>
      <c r="O137" t="s">
        <v>54</v>
      </c>
      <c r="P137">
        <v>1369</v>
      </c>
      <c r="Q137" t="s">
        <v>76</v>
      </c>
      <c r="R137" s="1">
        <v>45546</v>
      </c>
      <c r="S137">
        <v>2</v>
      </c>
      <c r="T137" t="s">
        <v>52</v>
      </c>
      <c r="U137" t="s">
        <v>53</v>
      </c>
      <c r="V137" t="s">
        <v>1526</v>
      </c>
      <c r="W137" t="s">
        <v>1305</v>
      </c>
      <c r="X137">
        <v>4000</v>
      </c>
      <c r="Y137">
        <v>1200</v>
      </c>
      <c r="Z137">
        <v>2400</v>
      </c>
      <c r="AA137" t="s">
        <v>1527</v>
      </c>
    </row>
    <row r="138" spans="1:27" x14ac:dyDescent="0.2">
      <c r="A138">
        <v>3137</v>
      </c>
      <c r="B138" t="s">
        <v>300</v>
      </c>
      <c r="C138" t="str">
        <f>_xlfn.CONCAT(Merge[[#This Row],[Customer First Name]]," ",Merge[[#This Row],[Customer Last Name]])</f>
        <v>Kai Vo</v>
      </c>
      <c r="D138" t="s">
        <v>301</v>
      </c>
      <c r="E138">
        <v>1370</v>
      </c>
      <c r="F138" t="s">
        <v>76</v>
      </c>
      <c r="G138" s="1">
        <v>45568</v>
      </c>
      <c r="H138">
        <v>3</v>
      </c>
      <c r="I138" t="s">
        <v>38</v>
      </c>
      <c r="J138" t="s">
        <v>81</v>
      </c>
      <c r="K138">
        <v>0.25</v>
      </c>
      <c r="L138">
        <v>264.75</v>
      </c>
      <c r="M138">
        <v>1059</v>
      </c>
      <c r="N138">
        <v>794.25</v>
      </c>
      <c r="O138" t="s">
        <v>34</v>
      </c>
      <c r="P138">
        <v>1370</v>
      </c>
      <c r="Q138" t="s">
        <v>76</v>
      </c>
      <c r="R138" s="1">
        <v>45568</v>
      </c>
      <c r="S138">
        <v>2</v>
      </c>
      <c r="T138" t="s">
        <v>38</v>
      </c>
      <c r="U138" t="s">
        <v>81</v>
      </c>
      <c r="V138" t="s">
        <v>1528</v>
      </c>
      <c r="W138" t="s">
        <v>1361</v>
      </c>
      <c r="X138">
        <v>870</v>
      </c>
      <c r="Y138">
        <v>1200</v>
      </c>
      <c r="Z138">
        <v>2400</v>
      </c>
      <c r="AA138" t="s">
        <v>1529</v>
      </c>
    </row>
    <row r="139" spans="1:27" x14ac:dyDescent="0.2">
      <c r="A139">
        <v>3138</v>
      </c>
      <c r="B139" t="s">
        <v>302</v>
      </c>
      <c r="C139" t="str">
        <f>_xlfn.CONCAT(Merge[[#This Row],[Customer First Name]]," ",Merge[[#This Row],[Customer Last Name]])</f>
        <v>Nico Velazquez</v>
      </c>
      <c r="D139" t="s">
        <v>303</v>
      </c>
      <c r="E139">
        <v>1371</v>
      </c>
      <c r="F139" t="s">
        <v>92</v>
      </c>
      <c r="G139" s="1">
        <v>45429</v>
      </c>
      <c r="H139">
        <v>1</v>
      </c>
      <c r="I139" t="s">
        <v>32</v>
      </c>
      <c r="J139" t="s">
        <v>43</v>
      </c>
      <c r="K139">
        <v>0.3</v>
      </c>
      <c r="L139">
        <v>51.3</v>
      </c>
      <c r="M139">
        <v>171</v>
      </c>
      <c r="N139">
        <v>119.7</v>
      </c>
      <c r="O139" t="s">
        <v>34</v>
      </c>
      <c r="P139">
        <v>1371</v>
      </c>
      <c r="Q139" t="s">
        <v>92</v>
      </c>
      <c r="R139" s="1">
        <v>45429</v>
      </c>
      <c r="S139">
        <v>3</v>
      </c>
      <c r="T139" t="s">
        <v>32</v>
      </c>
      <c r="U139" t="s">
        <v>43</v>
      </c>
      <c r="V139" t="s">
        <v>1530</v>
      </c>
      <c r="W139" t="s">
        <v>1299</v>
      </c>
      <c r="X139">
        <v>2500</v>
      </c>
      <c r="Y139">
        <v>600</v>
      </c>
      <c r="Z139">
        <v>1800</v>
      </c>
      <c r="AA139" t="s">
        <v>1531</v>
      </c>
    </row>
    <row r="140" spans="1:27" x14ac:dyDescent="0.2">
      <c r="A140">
        <v>3139</v>
      </c>
      <c r="B140" t="s">
        <v>304</v>
      </c>
      <c r="C140" t="str">
        <f>_xlfn.CONCAT(Merge[[#This Row],[Customer First Name]]," ",Merge[[#This Row],[Customer Last Name]])</f>
        <v>Lucy Vasquez</v>
      </c>
      <c r="D140" t="s">
        <v>305</v>
      </c>
      <c r="E140">
        <v>1372</v>
      </c>
      <c r="F140" t="s">
        <v>37</v>
      </c>
      <c r="G140" s="1">
        <v>45466</v>
      </c>
      <c r="H140">
        <v>1</v>
      </c>
      <c r="I140" t="s">
        <v>32</v>
      </c>
      <c r="J140" t="s">
        <v>81</v>
      </c>
      <c r="K140">
        <v>0.3</v>
      </c>
      <c r="L140">
        <v>179.4</v>
      </c>
      <c r="M140">
        <v>598</v>
      </c>
      <c r="N140">
        <v>418.6</v>
      </c>
      <c r="O140" t="s">
        <v>54</v>
      </c>
      <c r="P140">
        <v>1372</v>
      </c>
      <c r="Q140" t="s">
        <v>37</v>
      </c>
      <c r="R140" s="1">
        <v>45466</v>
      </c>
      <c r="S140">
        <v>1</v>
      </c>
      <c r="T140" t="s">
        <v>32</v>
      </c>
      <c r="U140" t="s">
        <v>81</v>
      </c>
      <c r="V140" t="s">
        <v>1532</v>
      </c>
      <c r="W140" t="s">
        <v>1361</v>
      </c>
      <c r="X140">
        <v>870</v>
      </c>
      <c r="Y140">
        <v>800</v>
      </c>
      <c r="Z140">
        <v>800</v>
      </c>
      <c r="AA140" t="s">
        <v>1533</v>
      </c>
    </row>
    <row r="141" spans="1:27" x14ac:dyDescent="0.2">
      <c r="A141">
        <v>3140</v>
      </c>
      <c r="B141" t="s">
        <v>306</v>
      </c>
      <c r="C141" t="str">
        <f>_xlfn.CONCAT(Merge[[#This Row],[Customer First Name]]," ",Merge[[#This Row],[Customer Last Name]])</f>
        <v>Charli Shepherd</v>
      </c>
      <c r="D141" t="s">
        <v>307</v>
      </c>
      <c r="E141">
        <v>1373</v>
      </c>
      <c r="F141" t="s">
        <v>31</v>
      </c>
      <c r="G141" s="1">
        <v>45344</v>
      </c>
      <c r="H141">
        <v>1</v>
      </c>
      <c r="I141" t="s">
        <v>38</v>
      </c>
      <c r="J141" t="s">
        <v>39</v>
      </c>
      <c r="K141">
        <v>0.1</v>
      </c>
      <c r="L141">
        <v>59.1</v>
      </c>
      <c r="M141">
        <v>591</v>
      </c>
      <c r="N141">
        <v>531.9</v>
      </c>
      <c r="O141" t="s">
        <v>54</v>
      </c>
      <c r="P141">
        <v>1373</v>
      </c>
      <c r="Q141" t="s">
        <v>31</v>
      </c>
      <c r="R141" s="1">
        <v>45344</v>
      </c>
      <c r="S141">
        <v>1</v>
      </c>
      <c r="T141" t="s">
        <v>38</v>
      </c>
      <c r="U141" t="s">
        <v>39</v>
      </c>
      <c r="V141" t="s">
        <v>1534</v>
      </c>
      <c r="W141" t="s">
        <v>1241</v>
      </c>
      <c r="X141">
        <v>2600</v>
      </c>
      <c r="Y141">
        <v>250</v>
      </c>
      <c r="Z141">
        <v>250</v>
      </c>
      <c r="AA141" t="s">
        <v>1535</v>
      </c>
    </row>
    <row r="142" spans="1:27" x14ac:dyDescent="0.2">
      <c r="A142">
        <v>3140</v>
      </c>
      <c r="B142" t="s">
        <v>306</v>
      </c>
      <c r="C142" t="str">
        <f>_xlfn.CONCAT(Merge[[#This Row],[Customer First Name]]," ",Merge[[#This Row],[Customer Last Name]])</f>
        <v>Charli Shepherd</v>
      </c>
      <c r="D142" t="s">
        <v>307</v>
      </c>
      <c r="E142">
        <v>1373</v>
      </c>
      <c r="F142" t="s">
        <v>31</v>
      </c>
      <c r="G142" s="1">
        <v>45344</v>
      </c>
      <c r="H142">
        <v>1</v>
      </c>
      <c r="I142" t="s">
        <v>38</v>
      </c>
      <c r="J142" t="s">
        <v>39</v>
      </c>
      <c r="K142">
        <v>0.1</v>
      </c>
      <c r="L142">
        <v>59.1</v>
      </c>
      <c r="M142">
        <v>591</v>
      </c>
      <c r="N142">
        <v>531.9</v>
      </c>
      <c r="O142" t="s">
        <v>54</v>
      </c>
      <c r="P142">
        <v>1373</v>
      </c>
      <c r="Q142" t="s">
        <v>76</v>
      </c>
      <c r="R142" s="1">
        <v>45405</v>
      </c>
      <c r="S142">
        <v>2</v>
      </c>
      <c r="T142" t="s">
        <v>52</v>
      </c>
      <c r="U142" t="s">
        <v>81</v>
      </c>
      <c r="V142" t="s">
        <v>2018</v>
      </c>
      <c r="W142" t="s">
        <v>1361</v>
      </c>
      <c r="X142">
        <v>870</v>
      </c>
      <c r="Y142">
        <v>1200</v>
      </c>
      <c r="Z142">
        <v>2400</v>
      </c>
      <c r="AA142" t="s">
        <v>2019</v>
      </c>
    </row>
    <row r="143" spans="1:27" x14ac:dyDescent="0.2">
      <c r="A143">
        <v>3382</v>
      </c>
      <c r="B143" t="s">
        <v>306</v>
      </c>
      <c r="C143" t="str">
        <f>_xlfn.CONCAT(Merge[[#This Row],[Customer First Name]]," ",Merge[[#This Row],[Customer Last Name]])</f>
        <v>Charli Shepherd</v>
      </c>
      <c r="D143" t="s">
        <v>307</v>
      </c>
      <c r="E143">
        <v>1373</v>
      </c>
      <c r="F143" t="s">
        <v>76</v>
      </c>
      <c r="G143" s="1">
        <v>45405</v>
      </c>
      <c r="H143">
        <v>2</v>
      </c>
      <c r="I143" t="s">
        <v>52</v>
      </c>
      <c r="J143" t="s">
        <v>81</v>
      </c>
      <c r="K143">
        <v>0.25</v>
      </c>
      <c r="L143">
        <v>144.75</v>
      </c>
      <c r="M143">
        <v>579</v>
      </c>
      <c r="N143">
        <v>434.25</v>
      </c>
      <c r="O143" t="s">
        <v>114</v>
      </c>
      <c r="P143">
        <v>1373</v>
      </c>
      <c r="Q143" t="s">
        <v>31</v>
      </c>
      <c r="R143" s="1">
        <v>45344</v>
      </c>
      <c r="S143">
        <v>1</v>
      </c>
      <c r="T143" t="s">
        <v>38</v>
      </c>
      <c r="U143" t="s">
        <v>39</v>
      </c>
      <c r="V143" t="s">
        <v>1534</v>
      </c>
      <c r="W143" t="s">
        <v>1241</v>
      </c>
      <c r="X143">
        <v>2600</v>
      </c>
      <c r="Y143">
        <v>250</v>
      </c>
      <c r="Z143">
        <v>250</v>
      </c>
      <c r="AA143" t="s">
        <v>1535</v>
      </c>
    </row>
    <row r="144" spans="1:27" x14ac:dyDescent="0.2">
      <c r="A144">
        <v>3382</v>
      </c>
      <c r="B144" t="s">
        <v>306</v>
      </c>
      <c r="C144" t="str">
        <f>_xlfn.CONCAT(Merge[[#This Row],[Customer First Name]]," ",Merge[[#This Row],[Customer Last Name]])</f>
        <v>Charli Shepherd</v>
      </c>
      <c r="D144" t="s">
        <v>307</v>
      </c>
      <c r="E144">
        <v>1373</v>
      </c>
      <c r="F144" t="s">
        <v>76</v>
      </c>
      <c r="G144" s="1">
        <v>45405</v>
      </c>
      <c r="H144">
        <v>2</v>
      </c>
      <c r="I144" t="s">
        <v>52</v>
      </c>
      <c r="J144" t="s">
        <v>81</v>
      </c>
      <c r="K144">
        <v>0.25</v>
      </c>
      <c r="L144">
        <v>144.75</v>
      </c>
      <c r="M144">
        <v>579</v>
      </c>
      <c r="N144">
        <v>434.25</v>
      </c>
      <c r="O144" t="s">
        <v>114</v>
      </c>
      <c r="P144">
        <v>1373</v>
      </c>
      <c r="Q144" t="s">
        <v>76</v>
      </c>
      <c r="R144" s="1">
        <v>45405</v>
      </c>
      <c r="S144">
        <v>2</v>
      </c>
      <c r="T144" t="s">
        <v>52</v>
      </c>
      <c r="U144" t="s">
        <v>81</v>
      </c>
      <c r="V144" t="s">
        <v>2018</v>
      </c>
      <c r="W144" t="s">
        <v>1361</v>
      </c>
      <c r="X144">
        <v>870</v>
      </c>
      <c r="Y144">
        <v>1200</v>
      </c>
      <c r="Z144">
        <v>2400</v>
      </c>
      <c r="AA144" t="s">
        <v>2019</v>
      </c>
    </row>
    <row r="145" spans="1:27" x14ac:dyDescent="0.2">
      <c r="A145">
        <v>3141</v>
      </c>
      <c r="B145" t="s">
        <v>308</v>
      </c>
      <c r="C145" t="str">
        <f>_xlfn.CONCAT(Merge[[#This Row],[Customer First Name]]," ",Merge[[#This Row],[Customer Last Name]])</f>
        <v>Evie Meyer</v>
      </c>
      <c r="D145" t="s">
        <v>309</v>
      </c>
      <c r="E145">
        <v>1374</v>
      </c>
      <c r="F145" t="s">
        <v>31</v>
      </c>
      <c r="G145" s="1">
        <v>45354</v>
      </c>
      <c r="H145">
        <v>2</v>
      </c>
      <c r="I145" t="s">
        <v>32</v>
      </c>
      <c r="J145" t="s">
        <v>39</v>
      </c>
      <c r="K145">
        <v>0.1</v>
      </c>
      <c r="L145">
        <v>58.900000000000006</v>
      </c>
      <c r="M145">
        <v>589</v>
      </c>
      <c r="N145">
        <v>530.1</v>
      </c>
      <c r="O145" t="s">
        <v>44</v>
      </c>
      <c r="P145">
        <v>1374</v>
      </c>
      <c r="Q145" t="s">
        <v>31</v>
      </c>
      <c r="R145" s="1">
        <v>45354</v>
      </c>
      <c r="S145">
        <v>2</v>
      </c>
      <c r="T145" t="s">
        <v>32</v>
      </c>
      <c r="U145" t="s">
        <v>39</v>
      </c>
      <c r="V145" t="s">
        <v>1536</v>
      </c>
      <c r="W145" t="s">
        <v>1241</v>
      </c>
      <c r="X145">
        <v>2600</v>
      </c>
      <c r="Y145">
        <v>250</v>
      </c>
      <c r="Z145">
        <v>500</v>
      </c>
      <c r="AA145" t="s">
        <v>1537</v>
      </c>
    </row>
    <row r="146" spans="1:27" x14ac:dyDescent="0.2">
      <c r="A146">
        <v>3142</v>
      </c>
      <c r="B146" t="s">
        <v>310</v>
      </c>
      <c r="C146" t="str">
        <f>_xlfn.CONCAT(Merge[[#This Row],[Customer First Name]]," ",Merge[[#This Row],[Customer Last Name]])</f>
        <v>Brooke Powell</v>
      </c>
      <c r="D146" t="s">
        <v>59</v>
      </c>
      <c r="E146">
        <v>1375</v>
      </c>
      <c r="F146" t="s">
        <v>42</v>
      </c>
      <c r="G146" s="1">
        <v>45500</v>
      </c>
      <c r="H146">
        <v>1</v>
      </c>
      <c r="I146" t="s">
        <v>32</v>
      </c>
      <c r="J146" t="s">
        <v>81</v>
      </c>
      <c r="K146">
        <v>0.25</v>
      </c>
      <c r="L146">
        <v>251.25</v>
      </c>
      <c r="M146">
        <v>1005</v>
      </c>
      <c r="N146">
        <v>753.75</v>
      </c>
      <c r="O146" t="s">
        <v>44</v>
      </c>
      <c r="P146">
        <v>1375</v>
      </c>
      <c r="Q146" t="s">
        <v>42</v>
      </c>
      <c r="R146" s="1">
        <v>45500</v>
      </c>
      <c r="S146">
        <v>3</v>
      </c>
      <c r="T146" t="s">
        <v>32</v>
      </c>
      <c r="U146" t="s">
        <v>81</v>
      </c>
      <c r="V146" t="s">
        <v>1538</v>
      </c>
      <c r="W146" t="s">
        <v>1361</v>
      </c>
      <c r="X146">
        <v>870</v>
      </c>
      <c r="Y146">
        <v>300</v>
      </c>
      <c r="Z146">
        <v>900</v>
      </c>
      <c r="AA146" t="s">
        <v>1539</v>
      </c>
    </row>
    <row r="147" spans="1:27" x14ac:dyDescent="0.2">
      <c r="A147">
        <v>3143</v>
      </c>
      <c r="B147" t="s">
        <v>311</v>
      </c>
      <c r="C147" t="str">
        <f>_xlfn.CONCAT(Merge[[#This Row],[Customer First Name]]," ",Merge[[#This Row],[Customer Last Name]])</f>
        <v>Erick Walton</v>
      </c>
      <c r="D147" t="s">
        <v>312</v>
      </c>
      <c r="E147">
        <v>1376</v>
      </c>
      <c r="F147" t="s">
        <v>42</v>
      </c>
      <c r="G147" s="1">
        <v>45495</v>
      </c>
      <c r="H147">
        <v>2</v>
      </c>
      <c r="I147" t="s">
        <v>38</v>
      </c>
      <c r="J147" t="s">
        <v>43</v>
      </c>
      <c r="K147">
        <v>0.25</v>
      </c>
      <c r="L147">
        <v>160.25</v>
      </c>
      <c r="M147">
        <v>641</v>
      </c>
      <c r="N147">
        <v>480.75</v>
      </c>
      <c r="O147" t="s">
        <v>44</v>
      </c>
      <c r="P147">
        <v>1376</v>
      </c>
      <c r="Q147" t="s">
        <v>42</v>
      </c>
      <c r="R147" s="1">
        <v>45495</v>
      </c>
      <c r="S147">
        <v>2</v>
      </c>
      <c r="T147" t="s">
        <v>38</v>
      </c>
      <c r="U147" t="s">
        <v>43</v>
      </c>
      <c r="V147" t="s">
        <v>1540</v>
      </c>
      <c r="W147" t="s">
        <v>1244</v>
      </c>
      <c r="X147">
        <v>2300</v>
      </c>
      <c r="Y147">
        <v>300</v>
      </c>
      <c r="Z147">
        <v>600</v>
      </c>
      <c r="AA147" t="s">
        <v>1541</v>
      </c>
    </row>
    <row r="148" spans="1:27" x14ac:dyDescent="0.2">
      <c r="A148">
        <v>3144</v>
      </c>
      <c r="B148" t="s">
        <v>313</v>
      </c>
      <c r="C148" t="str">
        <f>_xlfn.CONCAT(Merge[[#This Row],[Customer First Name]]," ",Merge[[#This Row],[Customer Last Name]])</f>
        <v>Emery Guzman</v>
      </c>
      <c r="D148" t="s">
        <v>314</v>
      </c>
      <c r="E148">
        <v>1377</v>
      </c>
      <c r="F148" t="s">
        <v>92</v>
      </c>
      <c r="G148" s="1">
        <v>45650</v>
      </c>
      <c r="H148">
        <v>2</v>
      </c>
      <c r="I148" t="s">
        <v>52</v>
      </c>
      <c r="J148" t="s">
        <v>81</v>
      </c>
      <c r="K148">
        <v>0.3</v>
      </c>
      <c r="L148">
        <v>443.09999999999997</v>
      </c>
      <c r="M148">
        <v>1477</v>
      </c>
      <c r="N148">
        <v>1033.9000000000001</v>
      </c>
      <c r="O148" t="s">
        <v>54</v>
      </c>
      <c r="P148">
        <v>1377</v>
      </c>
      <c r="Q148" t="s">
        <v>92</v>
      </c>
      <c r="R148" s="1">
        <v>45650</v>
      </c>
      <c r="S148">
        <v>3</v>
      </c>
      <c r="T148" t="s">
        <v>52</v>
      </c>
      <c r="U148" t="s">
        <v>81</v>
      </c>
      <c r="V148" t="s">
        <v>1542</v>
      </c>
      <c r="W148" t="s">
        <v>1280</v>
      </c>
      <c r="X148">
        <v>800</v>
      </c>
      <c r="Y148">
        <v>600</v>
      </c>
      <c r="Z148">
        <v>1800</v>
      </c>
      <c r="AA148" t="s">
        <v>1543</v>
      </c>
    </row>
    <row r="149" spans="1:27" x14ac:dyDescent="0.2">
      <c r="A149">
        <v>3145</v>
      </c>
      <c r="B149" t="s">
        <v>315</v>
      </c>
      <c r="C149" t="str">
        <f>_xlfn.CONCAT(Merge[[#This Row],[Customer First Name]]," ",Merge[[#This Row],[Customer Last Name]])</f>
        <v>Annabelle Rose</v>
      </c>
      <c r="D149" t="s">
        <v>316</v>
      </c>
      <c r="E149">
        <v>1378</v>
      </c>
      <c r="F149" t="s">
        <v>76</v>
      </c>
      <c r="G149" s="1">
        <v>45637</v>
      </c>
      <c r="H149">
        <v>1</v>
      </c>
      <c r="I149" t="s">
        <v>32</v>
      </c>
      <c r="J149" t="s">
        <v>57</v>
      </c>
      <c r="K149">
        <v>0.25</v>
      </c>
      <c r="L149">
        <v>406.75</v>
      </c>
      <c r="M149">
        <v>1627</v>
      </c>
      <c r="N149">
        <v>1220.25</v>
      </c>
      <c r="O149" t="s">
        <v>114</v>
      </c>
      <c r="P149">
        <v>1378</v>
      </c>
      <c r="Q149" t="s">
        <v>76</v>
      </c>
      <c r="R149" s="1">
        <v>45637</v>
      </c>
      <c r="S149">
        <v>3</v>
      </c>
      <c r="T149" t="s">
        <v>32</v>
      </c>
      <c r="U149" t="s">
        <v>57</v>
      </c>
      <c r="V149" t="s">
        <v>1544</v>
      </c>
      <c r="W149" t="s">
        <v>1350</v>
      </c>
      <c r="X149">
        <v>5600</v>
      </c>
      <c r="Y149">
        <v>1200</v>
      </c>
      <c r="Z149">
        <v>3600</v>
      </c>
      <c r="AA149" t="s">
        <v>1545</v>
      </c>
    </row>
    <row r="150" spans="1:27" x14ac:dyDescent="0.2">
      <c r="A150">
        <v>3146</v>
      </c>
      <c r="B150" t="s">
        <v>317</v>
      </c>
      <c r="C150" t="str">
        <f>_xlfn.CONCAT(Merge[[#This Row],[Customer First Name]]," ",Merge[[#This Row],[Customer Last Name]])</f>
        <v>Spencer Schmidt</v>
      </c>
      <c r="D150" t="s">
        <v>318</v>
      </c>
      <c r="E150">
        <v>1379</v>
      </c>
      <c r="F150" t="s">
        <v>42</v>
      </c>
      <c r="G150" s="1">
        <v>45345</v>
      </c>
      <c r="H150">
        <v>3</v>
      </c>
      <c r="I150" t="s">
        <v>32</v>
      </c>
      <c r="J150" t="s">
        <v>81</v>
      </c>
      <c r="K150">
        <v>0.25</v>
      </c>
      <c r="L150">
        <v>219</v>
      </c>
      <c r="M150">
        <v>876</v>
      </c>
      <c r="N150">
        <v>657</v>
      </c>
      <c r="O150" t="s">
        <v>54</v>
      </c>
      <c r="P150">
        <v>1379</v>
      </c>
      <c r="Q150" t="s">
        <v>42</v>
      </c>
      <c r="R150" s="1">
        <v>45345</v>
      </c>
      <c r="S150">
        <v>2</v>
      </c>
      <c r="T150" t="s">
        <v>32</v>
      </c>
      <c r="U150" t="s">
        <v>81</v>
      </c>
      <c r="V150" t="s">
        <v>1546</v>
      </c>
      <c r="W150" t="s">
        <v>1280</v>
      </c>
      <c r="X150">
        <v>800</v>
      </c>
      <c r="Y150">
        <v>300</v>
      </c>
      <c r="Z150">
        <v>600</v>
      </c>
      <c r="AA150" t="s">
        <v>1547</v>
      </c>
    </row>
    <row r="151" spans="1:27" x14ac:dyDescent="0.2">
      <c r="A151">
        <v>3147</v>
      </c>
      <c r="B151" t="s">
        <v>68</v>
      </c>
      <c r="C151" t="str">
        <f>_xlfn.CONCAT(Merge[[#This Row],[Customer First Name]]," ",Merge[[#This Row],[Customer Last Name]])</f>
        <v>Callie Walter</v>
      </c>
      <c r="D151" t="s">
        <v>319</v>
      </c>
      <c r="E151">
        <v>1380</v>
      </c>
      <c r="F151" t="s">
        <v>31</v>
      </c>
      <c r="G151" s="1">
        <v>45309</v>
      </c>
      <c r="H151">
        <v>1</v>
      </c>
      <c r="I151" t="s">
        <v>52</v>
      </c>
      <c r="J151" t="s">
        <v>47</v>
      </c>
      <c r="K151">
        <v>0.1</v>
      </c>
      <c r="L151">
        <v>110.5</v>
      </c>
      <c r="M151">
        <v>1105</v>
      </c>
      <c r="N151">
        <v>994.5</v>
      </c>
      <c r="O151" t="s">
        <v>44</v>
      </c>
      <c r="P151">
        <v>1380</v>
      </c>
      <c r="Q151" t="s">
        <v>31</v>
      </c>
      <c r="R151" s="1">
        <v>45309</v>
      </c>
      <c r="S151">
        <v>3</v>
      </c>
      <c r="T151" t="s">
        <v>52</v>
      </c>
      <c r="U151" t="s">
        <v>47</v>
      </c>
      <c r="V151" t="s">
        <v>1548</v>
      </c>
      <c r="W151" t="s">
        <v>1247</v>
      </c>
      <c r="X151">
        <v>3350</v>
      </c>
      <c r="Y151">
        <v>250</v>
      </c>
      <c r="Z151">
        <v>750</v>
      </c>
      <c r="AA151" t="s">
        <v>1549</v>
      </c>
    </row>
    <row r="152" spans="1:27" x14ac:dyDescent="0.2">
      <c r="A152">
        <v>3148</v>
      </c>
      <c r="B152" t="s">
        <v>320</v>
      </c>
      <c r="C152" t="str">
        <f>_xlfn.CONCAT(Merge[[#This Row],[Customer First Name]]," ",Merge[[#This Row],[Customer Last Name]])</f>
        <v>Cecilia Chavez</v>
      </c>
      <c r="D152" t="s">
        <v>321</v>
      </c>
      <c r="E152">
        <v>1381</v>
      </c>
      <c r="F152" t="s">
        <v>37</v>
      </c>
      <c r="G152" s="1">
        <v>45540</v>
      </c>
      <c r="H152">
        <v>2</v>
      </c>
      <c r="I152" t="s">
        <v>52</v>
      </c>
      <c r="J152" t="s">
        <v>43</v>
      </c>
      <c r="K152">
        <v>0.3</v>
      </c>
      <c r="L152">
        <v>291.59999999999997</v>
      </c>
      <c r="M152">
        <v>972</v>
      </c>
      <c r="N152">
        <v>680.40000000000009</v>
      </c>
      <c r="O152" t="s">
        <v>54</v>
      </c>
      <c r="P152">
        <v>1381</v>
      </c>
      <c r="Q152" t="s">
        <v>37</v>
      </c>
      <c r="R152" s="1">
        <v>45540</v>
      </c>
      <c r="S152">
        <v>3</v>
      </c>
      <c r="T152" t="s">
        <v>52</v>
      </c>
      <c r="U152" t="s">
        <v>43</v>
      </c>
      <c r="V152" t="s">
        <v>1550</v>
      </c>
      <c r="W152" t="s">
        <v>865</v>
      </c>
      <c r="X152">
        <v>2000</v>
      </c>
      <c r="Y152">
        <v>800</v>
      </c>
      <c r="Z152">
        <v>2400</v>
      </c>
      <c r="AA152" t="s">
        <v>1551</v>
      </c>
    </row>
    <row r="153" spans="1:27" x14ac:dyDescent="0.2">
      <c r="A153">
        <v>3149</v>
      </c>
      <c r="B153" t="s">
        <v>322</v>
      </c>
      <c r="C153" t="str">
        <f>_xlfn.CONCAT(Merge[[#This Row],[Customer First Name]]," ",Merge[[#This Row],[Customer Last Name]])</f>
        <v>Finley Blackwell</v>
      </c>
      <c r="D153" t="s">
        <v>323</v>
      </c>
      <c r="E153">
        <v>1382</v>
      </c>
      <c r="F153" t="s">
        <v>76</v>
      </c>
      <c r="G153" s="1">
        <v>45614</v>
      </c>
      <c r="H153">
        <v>2</v>
      </c>
      <c r="I153" t="s">
        <v>52</v>
      </c>
      <c r="J153" t="s">
        <v>43</v>
      </c>
      <c r="K153">
        <v>0.25</v>
      </c>
      <c r="L153">
        <v>196.75</v>
      </c>
      <c r="M153">
        <v>787</v>
      </c>
      <c r="N153">
        <v>590.25</v>
      </c>
      <c r="O153" t="s">
        <v>48</v>
      </c>
      <c r="P153">
        <v>1382</v>
      </c>
      <c r="Q153" t="s">
        <v>76</v>
      </c>
      <c r="R153" s="1">
        <v>45614</v>
      </c>
      <c r="S153">
        <v>2</v>
      </c>
      <c r="T153" t="s">
        <v>52</v>
      </c>
      <c r="U153" t="s">
        <v>43</v>
      </c>
      <c r="V153" t="s">
        <v>1552</v>
      </c>
      <c r="W153" t="s">
        <v>865</v>
      </c>
      <c r="X153">
        <v>2000</v>
      </c>
      <c r="Y153">
        <v>1200</v>
      </c>
      <c r="Z153">
        <v>2400</v>
      </c>
      <c r="AA153" t="s">
        <v>1553</v>
      </c>
    </row>
    <row r="154" spans="1:27" x14ac:dyDescent="0.2">
      <c r="A154">
        <v>3150</v>
      </c>
      <c r="B154" t="s">
        <v>275</v>
      </c>
      <c r="C154" t="str">
        <f>_xlfn.CONCAT(Merge[[#This Row],[Customer First Name]]," ",Merge[[#This Row],[Customer Last Name]])</f>
        <v>Faith Johnston</v>
      </c>
      <c r="D154" t="s">
        <v>324</v>
      </c>
      <c r="E154">
        <v>1383</v>
      </c>
      <c r="F154" t="s">
        <v>42</v>
      </c>
      <c r="G154" s="1">
        <v>45543</v>
      </c>
      <c r="H154">
        <v>3</v>
      </c>
      <c r="I154" t="s">
        <v>52</v>
      </c>
      <c r="J154" t="s">
        <v>43</v>
      </c>
      <c r="K154">
        <v>0.25</v>
      </c>
      <c r="L154">
        <v>27.25</v>
      </c>
      <c r="M154">
        <v>109</v>
      </c>
      <c r="N154">
        <v>81.75</v>
      </c>
      <c r="O154" t="s">
        <v>44</v>
      </c>
      <c r="P154">
        <v>1383</v>
      </c>
      <c r="Q154" t="s">
        <v>42</v>
      </c>
      <c r="R154" s="1">
        <v>45543</v>
      </c>
      <c r="S154">
        <v>3</v>
      </c>
      <c r="T154" t="s">
        <v>52</v>
      </c>
      <c r="U154" t="s">
        <v>43</v>
      </c>
      <c r="V154" t="s">
        <v>1554</v>
      </c>
      <c r="W154" t="s">
        <v>1299</v>
      </c>
      <c r="X154">
        <v>2500</v>
      </c>
      <c r="Y154">
        <v>300</v>
      </c>
      <c r="Z154">
        <v>900</v>
      </c>
      <c r="AA154" t="s">
        <v>1555</v>
      </c>
    </row>
    <row r="155" spans="1:27" x14ac:dyDescent="0.2">
      <c r="A155">
        <v>3151</v>
      </c>
      <c r="B155" t="s">
        <v>325</v>
      </c>
      <c r="C155" t="str">
        <f>_xlfn.CONCAT(Merge[[#This Row],[Customer First Name]]," ",Merge[[#This Row],[Customer Last Name]])</f>
        <v>Mary Solis</v>
      </c>
      <c r="D155" t="s">
        <v>326</v>
      </c>
      <c r="E155">
        <v>1384</v>
      </c>
      <c r="F155" t="s">
        <v>76</v>
      </c>
      <c r="G155" s="1">
        <v>45520</v>
      </c>
      <c r="H155">
        <v>1</v>
      </c>
      <c r="I155" t="s">
        <v>52</v>
      </c>
      <c r="J155" t="s">
        <v>43</v>
      </c>
      <c r="K155">
        <v>0.25</v>
      </c>
      <c r="L155">
        <v>133.25</v>
      </c>
      <c r="M155">
        <v>533</v>
      </c>
      <c r="N155">
        <v>399.75</v>
      </c>
      <c r="O155" t="s">
        <v>114</v>
      </c>
      <c r="P155">
        <v>1384</v>
      </c>
      <c r="Q155" t="s">
        <v>76</v>
      </c>
      <c r="R155" s="1">
        <v>45520</v>
      </c>
      <c r="S155">
        <v>1</v>
      </c>
      <c r="T155" t="s">
        <v>52</v>
      </c>
      <c r="U155" t="s">
        <v>43</v>
      </c>
      <c r="V155" t="s">
        <v>1556</v>
      </c>
      <c r="W155" t="s">
        <v>1244</v>
      </c>
      <c r="X155">
        <v>2300</v>
      </c>
      <c r="Y155">
        <v>1200</v>
      </c>
      <c r="Z155">
        <v>1200</v>
      </c>
      <c r="AA155" t="s">
        <v>1557</v>
      </c>
    </row>
    <row r="156" spans="1:27" x14ac:dyDescent="0.2">
      <c r="A156">
        <v>3152</v>
      </c>
      <c r="B156" t="s">
        <v>55</v>
      </c>
      <c r="C156" t="str">
        <f>_xlfn.CONCAT(Merge[[#This Row],[Customer First Name]]," ",Merge[[#This Row],[Customer Last Name]])</f>
        <v>Abel Jacobs</v>
      </c>
      <c r="D156" t="s">
        <v>327</v>
      </c>
      <c r="E156">
        <v>1385</v>
      </c>
      <c r="F156" t="s">
        <v>92</v>
      </c>
      <c r="G156" s="1">
        <v>45390</v>
      </c>
      <c r="H156">
        <v>3</v>
      </c>
      <c r="I156" t="s">
        <v>52</v>
      </c>
      <c r="J156" t="s">
        <v>33</v>
      </c>
      <c r="K156">
        <v>0.3</v>
      </c>
      <c r="L156">
        <v>288.89999999999998</v>
      </c>
      <c r="M156">
        <v>963</v>
      </c>
      <c r="N156">
        <v>674.1</v>
      </c>
      <c r="O156" t="s">
        <v>54</v>
      </c>
      <c r="P156">
        <v>1385</v>
      </c>
      <c r="Q156" t="s">
        <v>92</v>
      </c>
      <c r="R156" s="1">
        <v>45390</v>
      </c>
      <c r="S156">
        <v>2</v>
      </c>
      <c r="T156" t="s">
        <v>52</v>
      </c>
      <c r="U156" t="s">
        <v>33</v>
      </c>
      <c r="V156" t="s">
        <v>1558</v>
      </c>
      <c r="W156" t="s">
        <v>1238</v>
      </c>
      <c r="X156">
        <v>6725</v>
      </c>
      <c r="Y156">
        <v>600</v>
      </c>
      <c r="Z156">
        <v>1200</v>
      </c>
      <c r="AA156" t="s">
        <v>1559</v>
      </c>
    </row>
    <row r="157" spans="1:27" x14ac:dyDescent="0.2">
      <c r="A157">
        <v>3153</v>
      </c>
      <c r="B157" t="s">
        <v>328</v>
      </c>
      <c r="C157" t="str">
        <f>_xlfn.CONCAT(Merge[[#This Row],[Customer First Name]]," ",Merge[[#This Row],[Customer Last Name]])</f>
        <v>Lewis Acevedo</v>
      </c>
      <c r="D157" t="s">
        <v>30</v>
      </c>
      <c r="E157">
        <v>1386</v>
      </c>
      <c r="F157" t="s">
        <v>42</v>
      </c>
      <c r="G157" s="1">
        <v>45621</v>
      </c>
      <c r="H157">
        <v>2</v>
      </c>
      <c r="I157" t="s">
        <v>32</v>
      </c>
      <c r="J157" t="s">
        <v>39</v>
      </c>
      <c r="K157">
        <v>0.25</v>
      </c>
      <c r="L157">
        <v>112</v>
      </c>
      <c r="M157">
        <v>448</v>
      </c>
      <c r="N157">
        <v>336</v>
      </c>
      <c r="O157" t="s">
        <v>44</v>
      </c>
      <c r="P157">
        <v>1386</v>
      </c>
      <c r="Q157" t="s">
        <v>42</v>
      </c>
      <c r="R157" s="1">
        <v>45621</v>
      </c>
      <c r="S157">
        <v>2</v>
      </c>
      <c r="T157" t="s">
        <v>32</v>
      </c>
      <c r="U157" t="s">
        <v>39</v>
      </c>
      <c r="V157" t="s">
        <v>1560</v>
      </c>
      <c r="W157" t="s">
        <v>1241</v>
      </c>
      <c r="X157">
        <v>2600</v>
      </c>
      <c r="Y157">
        <v>300</v>
      </c>
      <c r="Z157">
        <v>600</v>
      </c>
      <c r="AA157" t="s">
        <v>1561</v>
      </c>
    </row>
    <row r="158" spans="1:27" x14ac:dyDescent="0.2">
      <c r="A158">
        <v>3154</v>
      </c>
      <c r="B158" t="s">
        <v>258</v>
      </c>
      <c r="C158" t="str">
        <f>_xlfn.CONCAT(Merge[[#This Row],[Customer First Name]]," ",Merge[[#This Row],[Customer Last Name]])</f>
        <v>Annalise Keller</v>
      </c>
      <c r="D158" t="s">
        <v>329</v>
      </c>
      <c r="E158">
        <v>1387</v>
      </c>
      <c r="F158" t="s">
        <v>31</v>
      </c>
      <c r="G158" s="1">
        <v>45629</v>
      </c>
      <c r="H158">
        <v>3</v>
      </c>
      <c r="I158" t="s">
        <v>52</v>
      </c>
      <c r="J158" t="s">
        <v>47</v>
      </c>
      <c r="K158">
        <v>0.1</v>
      </c>
      <c r="L158">
        <v>29.900000000000002</v>
      </c>
      <c r="M158">
        <v>299</v>
      </c>
      <c r="N158">
        <v>269.10000000000002</v>
      </c>
      <c r="O158" t="s">
        <v>114</v>
      </c>
      <c r="P158">
        <v>1387</v>
      </c>
      <c r="Q158" t="s">
        <v>31</v>
      </c>
      <c r="R158" s="1">
        <v>45629</v>
      </c>
      <c r="S158">
        <v>2</v>
      </c>
      <c r="T158" t="s">
        <v>52</v>
      </c>
      <c r="U158" t="s">
        <v>47</v>
      </c>
      <c r="V158" t="s">
        <v>1562</v>
      </c>
      <c r="W158" t="s">
        <v>1256</v>
      </c>
      <c r="X158">
        <v>3220</v>
      </c>
      <c r="Y158">
        <v>250</v>
      </c>
      <c r="Z158">
        <v>500</v>
      </c>
      <c r="AA158" t="s">
        <v>1563</v>
      </c>
    </row>
    <row r="159" spans="1:27" x14ac:dyDescent="0.2">
      <c r="A159">
        <v>3155</v>
      </c>
      <c r="B159" t="s">
        <v>330</v>
      </c>
      <c r="C159" t="str">
        <f>_xlfn.CONCAT(Merge[[#This Row],[Customer First Name]]," ",Merge[[#This Row],[Customer Last Name]])</f>
        <v>London Cohen</v>
      </c>
      <c r="D159" t="s">
        <v>331</v>
      </c>
      <c r="E159">
        <v>1388</v>
      </c>
      <c r="F159" t="s">
        <v>42</v>
      </c>
      <c r="G159" s="1">
        <v>45462</v>
      </c>
      <c r="H159">
        <v>3</v>
      </c>
      <c r="I159" t="s">
        <v>71</v>
      </c>
      <c r="J159" t="s">
        <v>81</v>
      </c>
      <c r="K159">
        <v>0.25</v>
      </c>
      <c r="L159">
        <v>457.25</v>
      </c>
      <c r="M159">
        <v>1829</v>
      </c>
      <c r="N159">
        <v>1371.75</v>
      </c>
      <c r="O159" t="s">
        <v>34</v>
      </c>
      <c r="P159">
        <v>1388</v>
      </c>
      <c r="Q159" t="s">
        <v>42</v>
      </c>
      <c r="R159" s="1">
        <v>45462</v>
      </c>
      <c r="S159">
        <v>2</v>
      </c>
      <c r="T159" t="s">
        <v>71</v>
      </c>
      <c r="U159" t="s">
        <v>81</v>
      </c>
      <c r="V159" t="s">
        <v>1564</v>
      </c>
      <c r="W159" t="s">
        <v>1361</v>
      </c>
      <c r="X159">
        <v>870</v>
      </c>
      <c r="Y159">
        <v>300</v>
      </c>
      <c r="Z159">
        <v>600</v>
      </c>
      <c r="AA159" t="s">
        <v>1565</v>
      </c>
    </row>
    <row r="160" spans="1:27" x14ac:dyDescent="0.2">
      <c r="A160">
        <v>3156</v>
      </c>
      <c r="B160" t="s">
        <v>332</v>
      </c>
      <c r="C160" t="str">
        <f>_xlfn.CONCAT(Merge[[#This Row],[Customer First Name]]," ",Merge[[#This Row],[Customer Last Name]])</f>
        <v>Myla Espinosa</v>
      </c>
      <c r="D160" t="s">
        <v>333</v>
      </c>
      <c r="E160">
        <v>1389</v>
      </c>
      <c r="F160" t="s">
        <v>92</v>
      </c>
      <c r="G160" s="1">
        <v>45310</v>
      </c>
      <c r="H160">
        <v>2</v>
      </c>
      <c r="I160" t="s">
        <v>52</v>
      </c>
      <c r="J160" t="s">
        <v>33</v>
      </c>
      <c r="K160">
        <v>0.3</v>
      </c>
      <c r="L160">
        <v>210.6</v>
      </c>
      <c r="M160">
        <v>702</v>
      </c>
      <c r="N160">
        <v>491.4</v>
      </c>
      <c r="O160" t="s">
        <v>44</v>
      </c>
      <c r="P160">
        <v>1389</v>
      </c>
      <c r="Q160" t="s">
        <v>92</v>
      </c>
      <c r="R160" s="1">
        <v>45310</v>
      </c>
      <c r="S160">
        <v>2</v>
      </c>
      <c r="T160" t="s">
        <v>52</v>
      </c>
      <c r="U160" t="s">
        <v>33</v>
      </c>
      <c r="V160" t="s">
        <v>1566</v>
      </c>
      <c r="W160" t="s">
        <v>1302</v>
      </c>
      <c r="X160">
        <v>6000</v>
      </c>
      <c r="Y160">
        <v>600</v>
      </c>
      <c r="Z160">
        <v>1200</v>
      </c>
      <c r="AA160" t="s">
        <v>1567</v>
      </c>
    </row>
    <row r="161" spans="1:27" x14ac:dyDescent="0.2">
      <c r="A161">
        <v>3157</v>
      </c>
      <c r="B161" t="s">
        <v>169</v>
      </c>
      <c r="C161" t="str">
        <f>_xlfn.CONCAT(Merge[[#This Row],[Customer First Name]]," ",Merge[[#This Row],[Customer Last Name]])</f>
        <v>Dakota Watts</v>
      </c>
      <c r="D161" t="s">
        <v>245</v>
      </c>
      <c r="E161">
        <v>1390</v>
      </c>
      <c r="F161" t="s">
        <v>42</v>
      </c>
      <c r="G161" s="1">
        <v>45577</v>
      </c>
      <c r="H161">
        <v>2</v>
      </c>
      <c r="I161" t="s">
        <v>32</v>
      </c>
      <c r="J161" t="s">
        <v>64</v>
      </c>
      <c r="K161">
        <v>0.25</v>
      </c>
      <c r="L161">
        <v>112.75</v>
      </c>
      <c r="M161">
        <v>451</v>
      </c>
      <c r="N161">
        <v>338.25</v>
      </c>
      <c r="O161" t="s">
        <v>114</v>
      </c>
      <c r="P161">
        <v>1390</v>
      </c>
      <c r="Q161" t="s">
        <v>42</v>
      </c>
      <c r="R161" s="1">
        <v>45577</v>
      </c>
      <c r="S161">
        <v>2</v>
      </c>
      <c r="T161" t="s">
        <v>32</v>
      </c>
      <c r="U161" t="s">
        <v>64</v>
      </c>
      <c r="V161" t="s">
        <v>1568</v>
      </c>
      <c r="W161" t="s">
        <v>1262</v>
      </c>
      <c r="X161">
        <v>7250</v>
      </c>
      <c r="Y161">
        <v>300</v>
      </c>
      <c r="Z161">
        <v>600</v>
      </c>
      <c r="AA161" t="s">
        <v>1569</v>
      </c>
    </row>
    <row r="162" spans="1:27" x14ac:dyDescent="0.2">
      <c r="A162">
        <v>3158</v>
      </c>
      <c r="B162" t="s">
        <v>334</v>
      </c>
      <c r="C162" t="str">
        <f>_xlfn.CONCAT(Merge[[#This Row],[Customer First Name]]," ",Merge[[#This Row],[Customer Last Name]])</f>
        <v>Bodie Thornton</v>
      </c>
      <c r="D162" t="s">
        <v>335</v>
      </c>
      <c r="E162">
        <v>1391</v>
      </c>
      <c r="F162" t="s">
        <v>76</v>
      </c>
      <c r="G162" s="1">
        <v>45634</v>
      </c>
      <c r="H162">
        <v>3</v>
      </c>
      <c r="I162" t="s">
        <v>32</v>
      </c>
      <c r="J162" t="s">
        <v>64</v>
      </c>
      <c r="K162">
        <v>0.25</v>
      </c>
      <c r="L162">
        <v>191.5</v>
      </c>
      <c r="M162">
        <v>766</v>
      </c>
      <c r="N162">
        <v>574.5</v>
      </c>
      <c r="O162" t="s">
        <v>48</v>
      </c>
      <c r="P162">
        <v>1391</v>
      </c>
      <c r="Q162" t="s">
        <v>76</v>
      </c>
      <c r="R162" s="1">
        <v>45634</v>
      </c>
      <c r="S162">
        <v>2</v>
      </c>
      <c r="T162" t="s">
        <v>32</v>
      </c>
      <c r="U162" t="s">
        <v>64</v>
      </c>
      <c r="V162" t="s">
        <v>1570</v>
      </c>
      <c r="W162" t="s">
        <v>1262</v>
      </c>
      <c r="X162">
        <v>7250</v>
      </c>
      <c r="Y162">
        <v>1200</v>
      </c>
      <c r="Z162">
        <v>2400</v>
      </c>
      <c r="AA162" t="s">
        <v>1571</v>
      </c>
    </row>
    <row r="163" spans="1:27" x14ac:dyDescent="0.2">
      <c r="A163">
        <v>3159</v>
      </c>
      <c r="B163" t="s">
        <v>154</v>
      </c>
      <c r="C163" t="str">
        <f>_xlfn.CONCAT(Merge[[#This Row],[Customer First Name]]," ",Merge[[#This Row],[Customer Last Name]])</f>
        <v>Abigail Hunter</v>
      </c>
      <c r="D163" t="s">
        <v>151</v>
      </c>
      <c r="E163">
        <v>1392</v>
      </c>
      <c r="F163" t="s">
        <v>31</v>
      </c>
      <c r="G163" s="1">
        <v>45570</v>
      </c>
      <c r="H163">
        <v>2</v>
      </c>
      <c r="I163" t="s">
        <v>52</v>
      </c>
      <c r="J163" t="s">
        <v>53</v>
      </c>
      <c r="K163">
        <v>0.1</v>
      </c>
      <c r="L163">
        <v>95.5</v>
      </c>
      <c r="M163">
        <v>955</v>
      </c>
      <c r="N163">
        <v>859.5</v>
      </c>
      <c r="O163" t="s">
        <v>34</v>
      </c>
      <c r="P163">
        <v>1392</v>
      </c>
      <c r="Q163" t="s">
        <v>31</v>
      </c>
      <c r="R163" s="1">
        <v>45570</v>
      </c>
      <c r="S163">
        <v>3</v>
      </c>
      <c r="T163" t="s">
        <v>52</v>
      </c>
      <c r="U163" t="s">
        <v>53</v>
      </c>
      <c r="V163" t="s">
        <v>1572</v>
      </c>
      <c r="W163" t="s">
        <v>1305</v>
      </c>
      <c r="X163">
        <v>4000</v>
      </c>
      <c r="Y163">
        <v>250</v>
      </c>
      <c r="Z163">
        <v>750</v>
      </c>
      <c r="AA163" t="s">
        <v>1573</v>
      </c>
    </row>
    <row r="164" spans="1:27" x14ac:dyDescent="0.2">
      <c r="A164">
        <v>3160</v>
      </c>
      <c r="B164" t="s">
        <v>336</v>
      </c>
      <c r="C164" t="str">
        <f>_xlfn.CONCAT(Merge[[#This Row],[Customer First Name]]," ",Merge[[#This Row],[Customer Last Name]])</f>
        <v>Delilah Ross</v>
      </c>
      <c r="D164" t="s">
        <v>337</v>
      </c>
      <c r="E164">
        <v>1393</v>
      </c>
      <c r="F164" t="s">
        <v>42</v>
      </c>
      <c r="G164" s="1">
        <v>45620</v>
      </c>
      <c r="H164">
        <v>1</v>
      </c>
      <c r="I164" t="s">
        <v>52</v>
      </c>
      <c r="J164" t="s">
        <v>47</v>
      </c>
      <c r="K164">
        <v>0.25</v>
      </c>
      <c r="L164">
        <v>141.25</v>
      </c>
      <c r="M164">
        <v>565</v>
      </c>
      <c r="N164">
        <v>423.75</v>
      </c>
      <c r="O164" t="s">
        <v>114</v>
      </c>
      <c r="P164">
        <v>1393</v>
      </c>
      <c r="Q164" t="s">
        <v>42</v>
      </c>
      <c r="R164" s="1">
        <v>45620</v>
      </c>
      <c r="S164">
        <v>3</v>
      </c>
      <c r="T164" t="s">
        <v>52</v>
      </c>
      <c r="U164" t="s">
        <v>47</v>
      </c>
      <c r="V164" t="s">
        <v>1574</v>
      </c>
      <c r="W164" t="s">
        <v>1247</v>
      </c>
      <c r="X164">
        <v>3350</v>
      </c>
      <c r="Y164">
        <v>300</v>
      </c>
      <c r="Z164">
        <v>900</v>
      </c>
      <c r="AA164" t="s">
        <v>1575</v>
      </c>
    </row>
    <row r="165" spans="1:27" x14ac:dyDescent="0.2">
      <c r="A165">
        <v>3161</v>
      </c>
      <c r="B165" t="s">
        <v>338</v>
      </c>
      <c r="C165" t="str">
        <f>_xlfn.CONCAT(Merge[[#This Row],[Customer First Name]]," ",Merge[[#This Row],[Customer Last Name]])</f>
        <v>Serena Mckay</v>
      </c>
      <c r="D165" t="s">
        <v>339</v>
      </c>
      <c r="E165">
        <v>1394</v>
      </c>
      <c r="F165" t="s">
        <v>92</v>
      </c>
      <c r="G165" s="1">
        <v>45471</v>
      </c>
      <c r="H165">
        <v>1</v>
      </c>
      <c r="I165" t="s">
        <v>32</v>
      </c>
      <c r="J165" t="s">
        <v>43</v>
      </c>
      <c r="K165">
        <v>0.3</v>
      </c>
      <c r="L165">
        <v>478.2</v>
      </c>
      <c r="M165">
        <v>1594</v>
      </c>
      <c r="N165">
        <v>1115.8</v>
      </c>
      <c r="O165" t="s">
        <v>44</v>
      </c>
      <c r="P165">
        <v>1394</v>
      </c>
      <c r="Q165" t="s">
        <v>92</v>
      </c>
      <c r="R165" s="1">
        <v>45471</v>
      </c>
      <c r="S165">
        <v>3</v>
      </c>
      <c r="T165" t="s">
        <v>32</v>
      </c>
      <c r="U165" t="s">
        <v>43</v>
      </c>
      <c r="V165" t="s">
        <v>1576</v>
      </c>
      <c r="W165" t="s">
        <v>1244</v>
      </c>
      <c r="X165">
        <v>2300</v>
      </c>
      <c r="Y165">
        <v>600</v>
      </c>
      <c r="Z165">
        <v>1800</v>
      </c>
      <c r="AA165" t="s">
        <v>1577</v>
      </c>
    </row>
    <row r="166" spans="1:27" x14ac:dyDescent="0.2">
      <c r="A166">
        <v>3162</v>
      </c>
      <c r="B166" t="s">
        <v>195</v>
      </c>
      <c r="C166" t="str">
        <f>_xlfn.CONCAT(Merge[[#This Row],[Customer First Name]]," ",Merge[[#This Row],[Customer Last Name]])</f>
        <v>Asher Rubio</v>
      </c>
      <c r="D166" t="s">
        <v>340</v>
      </c>
      <c r="E166">
        <v>1395</v>
      </c>
      <c r="F166" t="s">
        <v>76</v>
      </c>
      <c r="G166" s="1">
        <v>45389</v>
      </c>
      <c r="H166">
        <v>2</v>
      </c>
      <c r="I166" t="s">
        <v>32</v>
      </c>
      <c r="J166" t="s">
        <v>81</v>
      </c>
      <c r="K166">
        <v>0.25</v>
      </c>
      <c r="L166">
        <v>333</v>
      </c>
      <c r="M166">
        <v>1332</v>
      </c>
      <c r="N166">
        <v>999</v>
      </c>
      <c r="O166" t="s">
        <v>48</v>
      </c>
      <c r="P166">
        <v>1395</v>
      </c>
      <c r="Q166" t="s">
        <v>76</v>
      </c>
      <c r="R166" s="1">
        <v>45389</v>
      </c>
      <c r="S166">
        <v>1</v>
      </c>
      <c r="T166" t="s">
        <v>32</v>
      </c>
      <c r="U166" t="s">
        <v>81</v>
      </c>
      <c r="V166" t="s">
        <v>1578</v>
      </c>
      <c r="W166" t="s">
        <v>1361</v>
      </c>
      <c r="X166">
        <v>870</v>
      </c>
      <c r="Y166">
        <v>1200</v>
      </c>
      <c r="Z166">
        <v>1200</v>
      </c>
      <c r="AA166" t="s">
        <v>1579</v>
      </c>
    </row>
    <row r="167" spans="1:27" x14ac:dyDescent="0.2">
      <c r="A167">
        <v>3163</v>
      </c>
      <c r="B167" t="s">
        <v>341</v>
      </c>
      <c r="C167" t="str">
        <f>_xlfn.CONCAT(Merge[[#This Row],[Customer First Name]]," ",Merge[[#This Row],[Customer Last Name]])</f>
        <v>Shiloh Galindo</v>
      </c>
      <c r="D167" t="s">
        <v>116</v>
      </c>
      <c r="E167">
        <v>1396</v>
      </c>
      <c r="F167" t="s">
        <v>37</v>
      </c>
      <c r="G167" s="1">
        <v>45403</v>
      </c>
      <c r="H167">
        <v>2</v>
      </c>
      <c r="I167" t="s">
        <v>32</v>
      </c>
      <c r="J167" t="s">
        <v>33</v>
      </c>
      <c r="K167">
        <v>0.3</v>
      </c>
      <c r="L167">
        <v>463.79999999999995</v>
      </c>
      <c r="M167">
        <v>1546</v>
      </c>
      <c r="N167">
        <v>1082.2</v>
      </c>
      <c r="O167" t="s">
        <v>44</v>
      </c>
      <c r="P167">
        <v>1396</v>
      </c>
      <c r="Q167" t="s">
        <v>37</v>
      </c>
      <c r="R167" s="1">
        <v>45403</v>
      </c>
      <c r="S167">
        <v>2</v>
      </c>
      <c r="T167" t="s">
        <v>32</v>
      </c>
      <c r="U167" t="s">
        <v>33</v>
      </c>
      <c r="V167" t="s">
        <v>1580</v>
      </c>
      <c r="W167" t="s">
        <v>1259</v>
      </c>
      <c r="X167">
        <v>6160</v>
      </c>
      <c r="Y167">
        <v>800</v>
      </c>
      <c r="Z167">
        <v>1600</v>
      </c>
      <c r="AA167" t="s">
        <v>1581</v>
      </c>
    </row>
    <row r="168" spans="1:27" x14ac:dyDescent="0.2">
      <c r="A168">
        <v>3164</v>
      </c>
      <c r="B168" t="s">
        <v>342</v>
      </c>
      <c r="C168" t="str">
        <f>_xlfn.CONCAT(Merge[[#This Row],[Customer First Name]]," ",Merge[[#This Row],[Customer Last Name]])</f>
        <v>Veronica Aguilar</v>
      </c>
      <c r="D168" t="s">
        <v>343</v>
      </c>
      <c r="E168">
        <v>1397</v>
      </c>
      <c r="F168" t="s">
        <v>76</v>
      </c>
      <c r="G168" s="1">
        <v>45338</v>
      </c>
      <c r="H168">
        <v>2</v>
      </c>
      <c r="I168" t="s">
        <v>52</v>
      </c>
      <c r="J168" t="s">
        <v>81</v>
      </c>
      <c r="K168">
        <v>0.25</v>
      </c>
      <c r="L168">
        <v>294</v>
      </c>
      <c r="M168">
        <v>1176</v>
      </c>
      <c r="N168">
        <v>882</v>
      </c>
      <c r="O168" t="s">
        <v>48</v>
      </c>
      <c r="P168">
        <v>1397</v>
      </c>
      <c r="Q168" t="s">
        <v>76</v>
      </c>
      <c r="R168" s="1">
        <v>45338</v>
      </c>
      <c r="S168">
        <v>1</v>
      </c>
      <c r="T168" t="s">
        <v>52</v>
      </c>
      <c r="U168" t="s">
        <v>81</v>
      </c>
      <c r="V168" t="s">
        <v>1582</v>
      </c>
      <c r="W168" t="s">
        <v>1280</v>
      </c>
      <c r="X168">
        <v>800</v>
      </c>
      <c r="Y168">
        <v>1200</v>
      </c>
      <c r="Z168">
        <v>1200</v>
      </c>
      <c r="AA168" t="s">
        <v>1583</v>
      </c>
    </row>
    <row r="169" spans="1:27" x14ac:dyDescent="0.2">
      <c r="A169">
        <v>3165</v>
      </c>
      <c r="B169" t="s">
        <v>344</v>
      </c>
      <c r="C169" t="str">
        <f>_xlfn.CONCAT(Merge[[#This Row],[Customer First Name]]," ",Merge[[#This Row],[Customer Last Name]])</f>
        <v>Selah Mahoney</v>
      </c>
      <c r="D169" t="s">
        <v>250</v>
      </c>
      <c r="E169">
        <v>1398</v>
      </c>
      <c r="F169" t="s">
        <v>92</v>
      </c>
      <c r="G169" s="1">
        <v>45552</v>
      </c>
      <c r="H169">
        <v>3</v>
      </c>
      <c r="I169" t="s">
        <v>52</v>
      </c>
      <c r="J169" t="s">
        <v>53</v>
      </c>
      <c r="K169">
        <v>0.3</v>
      </c>
      <c r="L169">
        <v>498.9</v>
      </c>
      <c r="M169">
        <v>1663</v>
      </c>
      <c r="N169">
        <v>1164.0999999999999</v>
      </c>
      <c r="O169" t="s">
        <v>34</v>
      </c>
      <c r="P169">
        <v>1398</v>
      </c>
      <c r="Q169" t="s">
        <v>92</v>
      </c>
      <c r="R169" s="1">
        <v>45552</v>
      </c>
      <c r="S169">
        <v>1</v>
      </c>
      <c r="T169" t="s">
        <v>52</v>
      </c>
      <c r="U169" t="s">
        <v>53</v>
      </c>
      <c r="V169" t="s">
        <v>1584</v>
      </c>
      <c r="W169" t="s">
        <v>1305</v>
      </c>
      <c r="X169">
        <v>4000</v>
      </c>
      <c r="Y169">
        <v>600</v>
      </c>
      <c r="Z169">
        <v>600</v>
      </c>
      <c r="AA169" t="s">
        <v>1585</v>
      </c>
    </row>
    <row r="170" spans="1:27" x14ac:dyDescent="0.2">
      <c r="A170">
        <v>3166</v>
      </c>
      <c r="B170" t="s">
        <v>345</v>
      </c>
      <c r="C170" t="str">
        <f>_xlfn.CONCAT(Merge[[#This Row],[Customer First Name]]," ",Merge[[#This Row],[Customer Last Name]])</f>
        <v>Jayden Reed</v>
      </c>
      <c r="D170" t="s">
        <v>346</v>
      </c>
      <c r="E170">
        <v>1399</v>
      </c>
      <c r="F170" t="s">
        <v>31</v>
      </c>
      <c r="G170" s="1">
        <v>45462</v>
      </c>
      <c r="H170">
        <v>2</v>
      </c>
      <c r="I170" t="s">
        <v>32</v>
      </c>
      <c r="J170" t="s">
        <v>33</v>
      </c>
      <c r="K170">
        <v>0.1</v>
      </c>
      <c r="L170">
        <v>49.2</v>
      </c>
      <c r="M170">
        <v>492</v>
      </c>
      <c r="N170">
        <v>442.8</v>
      </c>
      <c r="O170" t="s">
        <v>44</v>
      </c>
      <c r="P170">
        <v>1399</v>
      </c>
      <c r="Q170" t="s">
        <v>31</v>
      </c>
      <c r="R170" s="1">
        <v>45462</v>
      </c>
      <c r="S170">
        <v>2</v>
      </c>
      <c r="T170" t="s">
        <v>32</v>
      </c>
      <c r="U170" t="s">
        <v>33</v>
      </c>
      <c r="V170" t="s">
        <v>1586</v>
      </c>
      <c r="W170" t="s">
        <v>1238</v>
      </c>
      <c r="X170">
        <v>6725</v>
      </c>
      <c r="Y170">
        <v>250</v>
      </c>
      <c r="Z170">
        <v>500</v>
      </c>
      <c r="AA170" t="s">
        <v>1587</v>
      </c>
    </row>
    <row r="171" spans="1:27" x14ac:dyDescent="0.2">
      <c r="A171">
        <v>3167</v>
      </c>
      <c r="B171" t="s">
        <v>347</v>
      </c>
      <c r="C171" t="str">
        <f>_xlfn.CONCAT(Merge[[#This Row],[Customer First Name]]," ",Merge[[#This Row],[Customer Last Name]])</f>
        <v>Jordan Carpenter</v>
      </c>
      <c r="D171" t="s">
        <v>348</v>
      </c>
      <c r="E171">
        <v>1400</v>
      </c>
      <c r="F171" t="s">
        <v>31</v>
      </c>
      <c r="G171" s="1">
        <v>45298</v>
      </c>
      <c r="H171">
        <v>2</v>
      </c>
      <c r="I171" t="s">
        <v>71</v>
      </c>
      <c r="J171" t="s">
        <v>39</v>
      </c>
      <c r="K171">
        <v>0.1</v>
      </c>
      <c r="L171">
        <v>175.10000000000002</v>
      </c>
      <c r="M171">
        <v>1751</v>
      </c>
      <c r="N171">
        <v>1575.9</v>
      </c>
      <c r="O171" t="s">
        <v>54</v>
      </c>
      <c r="P171">
        <v>1400</v>
      </c>
      <c r="Q171" t="s">
        <v>31</v>
      </c>
      <c r="R171" s="1">
        <v>45298</v>
      </c>
      <c r="S171">
        <v>2</v>
      </c>
      <c r="T171" t="s">
        <v>71</v>
      </c>
      <c r="U171" t="s">
        <v>39</v>
      </c>
      <c r="V171" t="s">
        <v>1588</v>
      </c>
      <c r="W171" t="s">
        <v>1241</v>
      </c>
      <c r="X171">
        <v>2600</v>
      </c>
      <c r="Y171">
        <v>250</v>
      </c>
      <c r="Z171">
        <v>500</v>
      </c>
      <c r="AA171" t="s">
        <v>1589</v>
      </c>
    </row>
    <row r="172" spans="1:27" x14ac:dyDescent="0.2">
      <c r="A172">
        <v>3168</v>
      </c>
      <c r="B172" t="s">
        <v>349</v>
      </c>
      <c r="C172" t="str">
        <f>_xlfn.CONCAT(Merge[[#This Row],[Customer First Name]]," ",Merge[[#This Row],[Customer Last Name]])</f>
        <v>Jace Stokes</v>
      </c>
      <c r="D172" t="s">
        <v>350</v>
      </c>
      <c r="E172">
        <v>1401</v>
      </c>
      <c r="F172" t="s">
        <v>76</v>
      </c>
      <c r="G172" s="1">
        <v>45571</v>
      </c>
      <c r="H172">
        <v>2</v>
      </c>
      <c r="I172" t="s">
        <v>32</v>
      </c>
      <c r="J172" t="s">
        <v>81</v>
      </c>
      <c r="K172">
        <v>0.25</v>
      </c>
      <c r="L172">
        <v>229</v>
      </c>
      <c r="M172">
        <v>916</v>
      </c>
      <c r="N172">
        <v>687</v>
      </c>
      <c r="O172" t="s">
        <v>114</v>
      </c>
      <c r="P172">
        <v>1401</v>
      </c>
      <c r="Q172" t="s">
        <v>76</v>
      </c>
      <c r="R172" s="1">
        <v>45571</v>
      </c>
      <c r="S172">
        <v>1</v>
      </c>
      <c r="T172" t="s">
        <v>32</v>
      </c>
      <c r="U172" t="s">
        <v>81</v>
      </c>
      <c r="V172" t="s">
        <v>1590</v>
      </c>
      <c r="W172" t="s">
        <v>1361</v>
      </c>
      <c r="X172">
        <v>870</v>
      </c>
      <c r="Y172">
        <v>1200</v>
      </c>
      <c r="Z172">
        <v>1200</v>
      </c>
      <c r="AA172" t="s">
        <v>1591</v>
      </c>
    </row>
    <row r="173" spans="1:27" x14ac:dyDescent="0.2">
      <c r="A173">
        <v>3169</v>
      </c>
      <c r="B173" t="s">
        <v>351</v>
      </c>
      <c r="C173" t="str">
        <f>_xlfn.CONCAT(Merge[[#This Row],[Customer First Name]]," ",Merge[[#This Row],[Customer Last Name]])</f>
        <v>Ari Barrera</v>
      </c>
      <c r="D173" t="s">
        <v>206</v>
      </c>
      <c r="E173">
        <v>1402</v>
      </c>
      <c r="F173" t="s">
        <v>92</v>
      </c>
      <c r="G173" s="1">
        <v>45639</v>
      </c>
      <c r="H173">
        <v>3</v>
      </c>
      <c r="I173" t="s">
        <v>52</v>
      </c>
      <c r="J173" t="s">
        <v>81</v>
      </c>
      <c r="K173">
        <v>0.3</v>
      </c>
      <c r="L173">
        <v>240.89999999999998</v>
      </c>
      <c r="M173">
        <v>803</v>
      </c>
      <c r="N173">
        <v>562.1</v>
      </c>
      <c r="O173" t="s">
        <v>48</v>
      </c>
      <c r="P173">
        <v>1402</v>
      </c>
      <c r="Q173" t="s">
        <v>92</v>
      </c>
      <c r="R173" s="1">
        <v>45639</v>
      </c>
      <c r="S173">
        <v>2</v>
      </c>
      <c r="T173" t="s">
        <v>52</v>
      </c>
      <c r="U173" t="s">
        <v>81</v>
      </c>
      <c r="V173" t="s">
        <v>1592</v>
      </c>
      <c r="W173" t="s">
        <v>1280</v>
      </c>
      <c r="X173">
        <v>800</v>
      </c>
      <c r="Y173">
        <v>600</v>
      </c>
      <c r="Z173">
        <v>1200</v>
      </c>
      <c r="AA173" t="s">
        <v>1593</v>
      </c>
    </row>
    <row r="174" spans="1:27" x14ac:dyDescent="0.2">
      <c r="A174">
        <v>3170</v>
      </c>
      <c r="B174" t="s">
        <v>352</v>
      </c>
      <c r="C174" t="str">
        <f>_xlfn.CONCAT(Merge[[#This Row],[Customer First Name]]," ",Merge[[#This Row],[Customer Last Name]])</f>
        <v>Michelle Pitts</v>
      </c>
      <c r="D174" t="s">
        <v>353</v>
      </c>
      <c r="E174">
        <v>1403</v>
      </c>
      <c r="F174" t="s">
        <v>51</v>
      </c>
      <c r="G174" s="1">
        <v>45577</v>
      </c>
      <c r="H174">
        <v>1</v>
      </c>
      <c r="I174" t="s">
        <v>52</v>
      </c>
      <c r="J174" t="s">
        <v>81</v>
      </c>
      <c r="K174">
        <v>0.2</v>
      </c>
      <c r="L174">
        <v>325.40000000000003</v>
      </c>
      <c r="M174">
        <v>1627</v>
      </c>
      <c r="N174">
        <v>1301.5999999999999</v>
      </c>
      <c r="O174" t="s">
        <v>54</v>
      </c>
      <c r="P174">
        <v>1403</v>
      </c>
      <c r="Q174" t="s">
        <v>51</v>
      </c>
      <c r="R174" s="1">
        <v>45577</v>
      </c>
      <c r="S174">
        <v>1</v>
      </c>
      <c r="T174" t="s">
        <v>52</v>
      </c>
      <c r="U174" t="s">
        <v>81</v>
      </c>
      <c r="V174" t="s">
        <v>1594</v>
      </c>
      <c r="W174" t="s">
        <v>1361</v>
      </c>
      <c r="X174">
        <v>870</v>
      </c>
      <c r="Y174">
        <v>250</v>
      </c>
      <c r="Z174">
        <v>250</v>
      </c>
      <c r="AA174" t="s">
        <v>1595</v>
      </c>
    </row>
    <row r="175" spans="1:27" x14ac:dyDescent="0.2">
      <c r="A175">
        <v>3171</v>
      </c>
      <c r="B175" t="s">
        <v>354</v>
      </c>
      <c r="C175" t="str">
        <f>_xlfn.CONCAT(Merge[[#This Row],[Customer First Name]]," ",Merge[[#This Row],[Customer Last Name]])</f>
        <v>Brantley Christian</v>
      </c>
      <c r="D175" t="s">
        <v>183</v>
      </c>
      <c r="E175">
        <v>1404</v>
      </c>
      <c r="F175" t="s">
        <v>51</v>
      </c>
      <c r="G175" s="1">
        <v>45385</v>
      </c>
      <c r="H175">
        <v>1</v>
      </c>
      <c r="I175" t="s">
        <v>38</v>
      </c>
      <c r="J175" t="s">
        <v>47</v>
      </c>
      <c r="K175">
        <v>0.2</v>
      </c>
      <c r="L175">
        <v>28.8</v>
      </c>
      <c r="M175">
        <v>144</v>
      </c>
      <c r="N175">
        <v>115.2</v>
      </c>
      <c r="O175" t="s">
        <v>48</v>
      </c>
      <c r="P175">
        <v>1404</v>
      </c>
      <c r="Q175" t="s">
        <v>51</v>
      </c>
      <c r="R175" s="1">
        <v>45385</v>
      </c>
      <c r="S175">
        <v>3</v>
      </c>
      <c r="T175" t="s">
        <v>38</v>
      </c>
      <c r="U175" t="s">
        <v>47</v>
      </c>
      <c r="V175" t="s">
        <v>1596</v>
      </c>
      <c r="W175" t="s">
        <v>1256</v>
      </c>
      <c r="X175">
        <v>3220</v>
      </c>
      <c r="Y175">
        <v>250</v>
      </c>
      <c r="Z175">
        <v>750</v>
      </c>
      <c r="AA175" t="s">
        <v>1597</v>
      </c>
    </row>
    <row r="176" spans="1:27" x14ac:dyDescent="0.2">
      <c r="A176">
        <v>3172</v>
      </c>
      <c r="B176" t="s">
        <v>355</v>
      </c>
      <c r="C176" t="str">
        <f>_xlfn.CONCAT(Merge[[#This Row],[Customer First Name]]," ",Merge[[#This Row],[Customer Last Name]])</f>
        <v>Saylor Mccall</v>
      </c>
      <c r="D176" t="s">
        <v>356</v>
      </c>
      <c r="E176">
        <v>1405</v>
      </c>
      <c r="F176" t="s">
        <v>37</v>
      </c>
      <c r="G176" s="1">
        <v>45372</v>
      </c>
      <c r="H176">
        <v>1</v>
      </c>
      <c r="I176" t="s">
        <v>38</v>
      </c>
      <c r="J176" t="s">
        <v>43</v>
      </c>
      <c r="K176">
        <v>0.3</v>
      </c>
      <c r="L176">
        <v>173.7</v>
      </c>
      <c r="M176">
        <v>579</v>
      </c>
      <c r="N176">
        <v>405.3</v>
      </c>
      <c r="O176" t="s">
        <v>48</v>
      </c>
      <c r="P176">
        <v>1405</v>
      </c>
      <c r="Q176" t="s">
        <v>37</v>
      </c>
      <c r="R176" s="1">
        <v>45372</v>
      </c>
      <c r="S176">
        <v>3</v>
      </c>
      <c r="T176" t="s">
        <v>38</v>
      </c>
      <c r="U176" t="s">
        <v>43</v>
      </c>
      <c r="V176" t="s">
        <v>1598</v>
      </c>
      <c r="W176" t="s">
        <v>865</v>
      </c>
      <c r="X176">
        <v>2000</v>
      </c>
      <c r="Y176">
        <v>800</v>
      </c>
      <c r="Z176">
        <v>2400</v>
      </c>
      <c r="AA176" t="s">
        <v>1599</v>
      </c>
    </row>
    <row r="177" spans="1:27" x14ac:dyDescent="0.2">
      <c r="A177">
        <v>3173</v>
      </c>
      <c r="B177" t="s">
        <v>357</v>
      </c>
      <c r="C177" t="str">
        <f>_xlfn.CONCAT(Merge[[#This Row],[Customer First Name]]," ",Merge[[#This Row],[Customer Last Name]])</f>
        <v>Samantha Martinez</v>
      </c>
      <c r="D177" t="s">
        <v>358</v>
      </c>
      <c r="E177">
        <v>1406</v>
      </c>
      <c r="F177" t="s">
        <v>31</v>
      </c>
      <c r="G177" s="1">
        <v>45491</v>
      </c>
      <c r="H177">
        <v>3</v>
      </c>
      <c r="I177" t="s">
        <v>32</v>
      </c>
      <c r="J177" t="s">
        <v>43</v>
      </c>
      <c r="K177">
        <v>0.1</v>
      </c>
      <c r="L177">
        <v>138.5</v>
      </c>
      <c r="M177">
        <v>1385</v>
      </c>
      <c r="N177">
        <v>1246.5</v>
      </c>
      <c r="O177" t="s">
        <v>34</v>
      </c>
      <c r="P177">
        <v>1406</v>
      </c>
      <c r="Q177" t="s">
        <v>31</v>
      </c>
      <c r="R177" s="1">
        <v>45491</v>
      </c>
      <c r="S177">
        <v>3</v>
      </c>
      <c r="T177" t="s">
        <v>32</v>
      </c>
      <c r="U177" t="s">
        <v>43</v>
      </c>
      <c r="V177" t="s">
        <v>1600</v>
      </c>
      <c r="W177" t="s">
        <v>1299</v>
      </c>
      <c r="X177">
        <v>2500</v>
      </c>
      <c r="Y177">
        <v>250</v>
      </c>
      <c r="Z177">
        <v>750</v>
      </c>
      <c r="AA177" t="s">
        <v>1601</v>
      </c>
    </row>
    <row r="178" spans="1:27" x14ac:dyDescent="0.2">
      <c r="A178">
        <v>3174</v>
      </c>
      <c r="B178" t="s">
        <v>359</v>
      </c>
      <c r="C178" t="str">
        <f>_xlfn.CONCAT(Merge[[#This Row],[Customer First Name]]," ",Merge[[#This Row],[Customer Last Name]])</f>
        <v>Willa Acosta</v>
      </c>
      <c r="D178" t="s">
        <v>201</v>
      </c>
      <c r="E178">
        <v>1407</v>
      </c>
      <c r="F178" t="s">
        <v>42</v>
      </c>
      <c r="G178" s="1">
        <v>45607</v>
      </c>
      <c r="H178">
        <v>3</v>
      </c>
      <c r="I178" t="s">
        <v>71</v>
      </c>
      <c r="J178" t="s">
        <v>57</v>
      </c>
      <c r="K178">
        <v>0.25</v>
      </c>
      <c r="L178">
        <v>27.25</v>
      </c>
      <c r="M178">
        <v>109</v>
      </c>
      <c r="N178">
        <v>81.75</v>
      </c>
      <c r="O178" t="s">
        <v>54</v>
      </c>
      <c r="P178">
        <v>1407</v>
      </c>
      <c r="Q178" t="s">
        <v>42</v>
      </c>
      <c r="R178" s="1">
        <v>45607</v>
      </c>
      <c r="S178">
        <v>1</v>
      </c>
      <c r="T178" t="s">
        <v>71</v>
      </c>
      <c r="U178" t="s">
        <v>57</v>
      </c>
      <c r="V178" t="s">
        <v>1602</v>
      </c>
      <c r="W178" t="s">
        <v>1095</v>
      </c>
      <c r="X178">
        <v>5000</v>
      </c>
      <c r="Y178">
        <v>300</v>
      </c>
      <c r="Z178">
        <v>300</v>
      </c>
      <c r="AA178" t="s">
        <v>1603</v>
      </c>
    </row>
    <row r="179" spans="1:27" x14ac:dyDescent="0.2">
      <c r="A179">
        <v>3175</v>
      </c>
      <c r="B179" t="s">
        <v>227</v>
      </c>
      <c r="C179" t="str">
        <f>_xlfn.CONCAT(Merge[[#This Row],[Customer First Name]]," ",Merge[[#This Row],[Customer Last Name]])</f>
        <v>Camilla Jaramillo</v>
      </c>
      <c r="D179" t="s">
        <v>360</v>
      </c>
      <c r="E179">
        <v>1408</v>
      </c>
      <c r="F179" t="s">
        <v>37</v>
      </c>
      <c r="G179" s="1">
        <v>45598</v>
      </c>
      <c r="H179">
        <v>3</v>
      </c>
      <c r="I179" t="s">
        <v>71</v>
      </c>
      <c r="J179" t="s">
        <v>43</v>
      </c>
      <c r="K179">
        <v>0.3</v>
      </c>
      <c r="L179">
        <v>159.29999999999998</v>
      </c>
      <c r="M179">
        <v>531</v>
      </c>
      <c r="N179">
        <v>371.70000000000005</v>
      </c>
      <c r="O179" t="s">
        <v>54</v>
      </c>
      <c r="P179">
        <v>1408</v>
      </c>
      <c r="Q179" t="s">
        <v>37</v>
      </c>
      <c r="R179" s="1">
        <v>45598</v>
      </c>
      <c r="S179">
        <v>1</v>
      </c>
      <c r="T179" t="s">
        <v>71</v>
      </c>
      <c r="U179" t="s">
        <v>43</v>
      </c>
      <c r="V179" t="s">
        <v>1604</v>
      </c>
      <c r="W179" t="s">
        <v>1244</v>
      </c>
      <c r="X179">
        <v>2300</v>
      </c>
      <c r="Y179">
        <v>800</v>
      </c>
      <c r="Z179">
        <v>800</v>
      </c>
      <c r="AA179" t="s">
        <v>1605</v>
      </c>
    </row>
    <row r="180" spans="1:27" x14ac:dyDescent="0.2">
      <c r="A180">
        <v>3176</v>
      </c>
      <c r="B180" t="s">
        <v>361</v>
      </c>
      <c r="C180" t="str">
        <f>_xlfn.CONCAT(Merge[[#This Row],[Customer First Name]]," ",Merge[[#This Row],[Customer Last Name]])</f>
        <v>Devin Rivers</v>
      </c>
      <c r="D180" t="s">
        <v>75</v>
      </c>
      <c r="E180">
        <v>1409</v>
      </c>
      <c r="F180" t="s">
        <v>37</v>
      </c>
      <c r="G180" s="1">
        <v>45324</v>
      </c>
      <c r="H180">
        <v>3</v>
      </c>
      <c r="I180" t="s">
        <v>52</v>
      </c>
      <c r="J180" t="s">
        <v>47</v>
      </c>
      <c r="K180">
        <v>0.3</v>
      </c>
      <c r="L180">
        <v>312.3</v>
      </c>
      <c r="M180">
        <v>1041</v>
      </c>
      <c r="N180">
        <v>728.7</v>
      </c>
      <c r="O180" t="s">
        <v>44</v>
      </c>
      <c r="P180">
        <v>1409</v>
      </c>
      <c r="Q180" t="s">
        <v>37</v>
      </c>
      <c r="R180" s="1">
        <v>45324</v>
      </c>
      <c r="S180">
        <v>2</v>
      </c>
      <c r="T180" t="s">
        <v>52</v>
      </c>
      <c r="U180" t="s">
        <v>47</v>
      </c>
      <c r="V180" t="s">
        <v>1606</v>
      </c>
      <c r="W180" t="s">
        <v>1247</v>
      </c>
      <c r="X180">
        <v>3350</v>
      </c>
      <c r="Y180">
        <v>800</v>
      </c>
      <c r="Z180">
        <v>1600</v>
      </c>
      <c r="AA180" t="s">
        <v>1607</v>
      </c>
    </row>
    <row r="181" spans="1:27" x14ac:dyDescent="0.2">
      <c r="A181">
        <v>3177</v>
      </c>
      <c r="B181" t="s">
        <v>362</v>
      </c>
      <c r="C181" t="str">
        <f>_xlfn.CONCAT(Merge[[#This Row],[Customer First Name]]," ",Merge[[#This Row],[Customer Last Name]])</f>
        <v>Melissa Hoffman</v>
      </c>
      <c r="D181" t="s">
        <v>363</v>
      </c>
      <c r="E181">
        <v>1410</v>
      </c>
      <c r="F181" t="s">
        <v>37</v>
      </c>
      <c r="G181" s="1">
        <v>45386</v>
      </c>
      <c r="H181">
        <v>3</v>
      </c>
      <c r="I181" t="s">
        <v>32</v>
      </c>
      <c r="J181" t="s">
        <v>39</v>
      </c>
      <c r="K181">
        <v>0.3</v>
      </c>
      <c r="L181">
        <v>51.6</v>
      </c>
      <c r="M181">
        <v>172</v>
      </c>
      <c r="N181">
        <v>120.4</v>
      </c>
      <c r="O181" t="s">
        <v>44</v>
      </c>
      <c r="P181">
        <v>1410</v>
      </c>
      <c r="Q181" t="s">
        <v>37</v>
      </c>
      <c r="R181" s="1">
        <v>45386</v>
      </c>
      <c r="S181">
        <v>3</v>
      </c>
      <c r="T181" t="s">
        <v>32</v>
      </c>
      <c r="U181" t="s">
        <v>39</v>
      </c>
      <c r="V181" t="s">
        <v>1608</v>
      </c>
      <c r="W181" t="s">
        <v>1241</v>
      </c>
      <c r="X181">
        <v>2600</v>
      </c>
      <c r="Y181">
        <v>800</v>
      </c>
      <c r="Z181">
        <v>2400</v>
      </c>
      <c r="AA181" t="s">
        <v>1609</v>
      </c>
    </row>
    <row r="182" spans="1:27" x14ac:dyDescent="0.2">
      <c r="A182">
        <v>3178</v>
      </c>
      <c r="B182" t="s">
        <v>364</v>
      </c>
      <c r="C182" t="str">
        <f>_xlfn.CONCAT(Merge[[#This Row],[Customer First Name]]," ",Merge[[#This Row],[Customer Last Name]])</f>
        <v>Mabel Horn</v>
      </c>
      <c r="D182" t="s">
        <v>365</v>
      </c>
      <c r="E182">
        <v>1411</v>
      </c>
      <c r="F182" t="s">
        <v>51</v>
      </c>
      <c r="G182" s="1">
        <v>45637</v>
      </c>
      <c r="H182">
        <v>2</v>
      </c>
      <c r="I182" t="s">
        <v>38</v>
      </c>
      <c r="J182" t="s">
        <v>57</v>
      </c>
      <c r="K182">
        <v>0.2</v>
      </c>
      <c r="L182">
        <v>115.2</v>
      </c>
      <c r="M182">
        <v>576</v>
      </c>
      <c r="N182">
        <v>460.8</v>
      </c>
      <c r="O182" t="s">
        <v>44</v>
      </c>
      <c r="P182">
        <v>1411</v>
      </c>
      <c r="Q182" t="s">
        <v>51</v>
      </c>
      <c r="R182" s="1">
        <v>45637</v>
      </c>
      <c r="S182">
        <v>2</v>
      </c>
      <c r="T182" t="s">
        <v>38</v>
      </c>
      <c r="U182" t="s">
        <v>57</v>
      </c>
      <c r="V182" t="s">
        <v>1610</v>
      </c>
      <c r="W182" t="s">
        <v>1095</v>
      </c>
      <c r="X182">
        <v>5000</v>
      </c>
      <c r="Y182">
        <v>250</v>
      </c>
      <c r="Z182">
        <v>500</v>
      </c>
      <c r="AA182" t="s">
        <v>1611</v>
      </c>
    </row>
    <row r="183" spans="1:27" x14ac:dyDescent="0.2">
      <c r="A183">
        <v>3179</v>
      </c>
      <c r="B183" t="s">
        <v>288</v>
      </c>
      <c r="C183" t="str">
        <f>_xlfn.CONCAT(Merge[[#This Row],[Customer First Name]]," ",Merge[[#This Row],[Customer Last Name]])</f>
        <v>Daniela Schmitt</v>
      </c>
      <c r="D183" t="s">
        <v>366</v>
      </c>
      <c r="E183">
        <v>1412</v>
      </c>
      <c r="F183" t="s">
        <v>51</v>
      </c>
      <c r="G183" s="1">
        <v>45607</v>
      </c>
      <c r="H183">
        <v>3</v>
      </c>
      <c r="I183" t="s">
        <v>52</v>
      </c>
      <c r="J183" t="s">
        <v>33</v>
      </c>
      <c r="K183">
        <v>0.2</v>
      </c>
      <c r="L183">
        <v>105.60000000000001</v>
      </c>
      <c r="M183">
        <v>528</v>
      </c>
      <c r="N183">
        <v>422.4</v>
      </c>
      <c r="O183" t="s">
        <v>48</v>
      </c>
      <c r="P183">
        <v>1412</v>
      </c>
      <c r="Q183" t="s">
        <v>51</v>
      </c>
      <c r="R183" s="1">
        <v>45607</v>
      </c>
      <c r="S183">
        <v>3</v>
      </c>
      <c r="T183" t="s">
        <v>52</v>
      </c>
      <c r="U183" t="s">
        <v>33</v>
      </c>
      <c r="V183" t="s">
        <v>1612</v>
      </c>
      <c r="W183" t="s">
        <v>1238</v>
      </c>
      <c r="X183">
        <v>6725</v>
      </c>
      <c r="Y183">
        <v>250</v>
      </c>
      <c r="Z183">
        <v>750</v>
      </c>
      <c r="AA183" t="s">
        <v>1613</v>
      </c>
    </row>
    <row r="184" spans="1:27" x14ac:dyDescent="0.2">
      <c r="A184">
        <v>3180</v>
      </c>
      <c r="B184" t="s">
        <v>367</v>
      </c>
      <c r="C184" t="str">
        <f>_xlfn.CONCAT(Merge[[#This Row],[Customer First Name]]," ",Merge[[#This Row],[Customer Last Name]])</f>
        <v>Dax Bradshaw</v>
      </c>
      <c r="D184" t="s">
        <v>368</v>
      </c>
      <c r="E184">
        <v>1413</v>
      </c>
      <c r="F184" t="s">
        <v>42</v>
      </c>
      <c r="G184" s="1">
        <v>45599</v>
      </c>
      <c r="H184">
        <v>1</v>
      </c>
      <c r="I184" t="s">
        <v>32</v>
      </c>
      <c r="J184" t="s">
        <v>57</v>
      </c>
      <c r="K184">
        <v>0.25</v>
      </c>
      <c r="L184">
        <v>242</v>
      </c>
      <c r="M184">
        <v>968</v>
      </c>
      <c r="N184">
        <v>726</v>
      </c>
      <c r="O184" t="s">
        <v>54</v>
      </c>
      <c r="P184">
        <v>1413</v>
      </c>
      <c r="Q184" t="s">
        <v>42</v>
      </c>
      <c r="R184" s="1">
        <v>45599</v>
      </c>
      <c r="S184">
        <v>3</v>
      </c>
      <c r="T184" t="s">
        <v>32</v>
      </c>
      <c r="U184" t="s">
        <v>57</v>
      </c>
      <c r="V184" t="s">
        <v>1614</v>
      </c>
      <c r="W184" t="s">
        <v>1095</v>
      </c>
      <c r="X184">
        <v>5000</v>
      </c>
      <c r="Y184">
        <v>300</v>
      </c>
      <c r="Z184">
        <v>900</v>
      </c>
      <c r="AA184" t="s">
        <v>1615</v>
      </c>
    </row>
    <row r="185" spans="1:27" x14ac:dyDescent="0.2">
      <c r="A185">
        <v>3181</v>
      </c>
      <c r="B185" t="s">
        <v>369</v>
      </c>
      <c r="C185" t="str">
        <f>_xlfn.CONCAT(Merge[[#This Row],[Customer First Name]]," ",Merge[[#This Row],[Customer Last Name]])</f>
        <v>Aitana Boone</v>
      </c>
      <c r="D185" t="s">
        <v>370</v>
      </c>
      <c r="E185">
        <v>1414</v>
      </c>
      <c r="F185" t="s">
        <v>37</v>
      </c>
      <c r="G185" s="1">
        <v>45355</v>
      </c>
      <c r="H185">
        <v>2</v>
      </c>
      <c r="I185" t="s">
        <v>32</v>
      </c>
      <c r="J185" t="s">
        <v>57</v>
      </c>
      <c r="K185">
        <v>0.3</v>
      </c>
      <c r="L185">
        <v>558</v>
      </c>
      <c r="M185">
        <v>1860</v>
      </c>
      <c r="N185">
        <v>1302</v>
      </c>
      <c r="O185" t="s">
        <v>34</v>
      </c>
      <c r="P185">
        <v>1414</v>
      </c>
      <c r="Q185" t="s">
        <v>37</v>
      </c>
      <c r="R185" s="1">
        <v>45355</v>
      </c>
      <c r="S185">
        <v>2</v>
      </c>
      <c r="T185" t="s">
        <v>32</v>
      </c>
      <c r="U185" t="s">
        <v>57</v>
      </c>
      <c r="V185" t="s">
        <v>1616</v>
      </c>
      <c r="W185" t="s">
        <v>1350</v>
      </c>
      <c r="X185">
        <v>5600</v>
      </c>
      <c r="Y185">
        <v>800</v>
      </c>
      <c r="Z185">
        <v>1600</v>
      </c>
      <c r="AA185" t="s">
        <v>1617</v>
      </c>
    </row>
    <row r="186" spans="1:27" x14ac:dyDescent="0.2">
      <c r="A186">
        <v>3182</v>
      </c>
      <c r="B186" t="s">
        <v>371</v>
      </c>
      <c r="C186" t="str">
        <f>_xlfn.CONCAT(Merge[[#This Row],[Customer First Name]]," ",Merge[[#This Row],[Customer Last Name]])</f>
        <v>Patrick Roy</v>
      </c>
      <c r="D186" t="s">
        <v>372</v>
      </c>
      <c r="E186">
        <v>1415</v>
      </c>
      <c r="F186" t="s">
        <v>31</v>
      </c>
      <c r="G186" s="1">
        <v>45391</v>
      </c>
      <c r="H186">
        <v>1</v>
      </c>
      <c r="I186" t="s">
        <v>32</v>
      </c>
      <c r="J186" t="s">
        <v>53</v>
      </c>
      <c r="K186">
        <v>0.1</v>
      </c>
      <c r="L186">
        <v>90.800000000000011</v>
      </c>
      <c r="M186">
        <v>908</v>
      </c>
      <c r="N186">
        <v>817.2</v>
      </c>
      <c r="O186" t="s">
        <v>114</v>
      </c>
      <c r="P186">
        <v>1415</v>
      </c>
      <c r="Q186" t="s">
        <v>31</v>
      </c>
      <c r="R186" s="1">
        <v>45391</v>
      </c>
      <c r="S186">
        <v>2</v>
      </c>
      <c r="T186" t="s">
        <v>32</v>
      </c>
      <c r="U186" t="s">
        <v>53</v>
      </c>
      <c r="V186" t="s">
        <v>1618</v>
      </c>
      <c r="W186" t="s">
        <v>1268</v>
      </c>
      <c r="X186">
        <v>4870</v>
      </c>
      <c r="Y186">
        <v>250</v>
      </c>
      <c r="Z186">
        <v>500</v>
      </c>
      <c r="AA186" t="s">
        <v>1619</v>
      </c>
    </row>
    <row r="187" spans="1:27" x14ac:dyDescent="0.2">
      <c r="A187">
        <v>3183</v>
      </c>
      <c r="B187" t="s">
        <v>373</v>
      </c>
      <c r="C187" t="str">
        <f>_xlfn.CONCAT(Merge[[#This Row],[Customer First Name]]," ",Merge[[#This Row],[Customer Last Name]])</f>
        <v>Calvin Mccarthy</v>
      </c>
      <c r="D187" t="s">
        <v>374</v>
      </c>
      <c r="E187">
        <v>1416</v>
      </c>
      <c r="F187" t="s">
        <v>76</v>
      </c>
      <c r="G187" s="1">
        <v>45476</v>
      </c>
      <c r="H187">
        <v>1</v>
      </c>
      <c r="I187" t="s">
        <v>52</v>
      </c>
      <c r="J187" t="s">
        <v>57</v>
      </c>
      <c r="K187">
        <v>0.25</v>
      </c>
      <c r="L187">
        <v>16.75</v>
      </c>
      <c r="M187">
        <v>67</v>
      </c>
      <c r="N187">
        <v>50.25</v>
      </c>
      <c r="O187" t="s">
        <v>44</v>
      </c>
      <c r="P187">
        <v>1416</v>
      </c>
      <c r="Q187" t="s">
        <v>76</v>
      </c>
      <c r="R187" s="1">
        <v>45476</v>
      </c>
      <c r="S187">
        <v>1</v>
      </c>
      <c r="T187" t="s">
        <v>52</v>
      </c>
      <c r="U187" t="s">
        <v>57</v>
      </c>
      <c r="V187" t="s">
        <v>1620</v>
      </c>
      <c r="W187" t="s">
        <v>1350</v>
      </c>
      <c r="X187">
        <v>5600</v>
      </c>
      <c r="Y187">
        <v>1200</v>
      </c>
      <c r="Z187">
        <v>1200</v>
      </c>
      <c r="AA187" t="s">
        <v>1621</v>
      </c>
    </row>
    <row r="188" spans="1:27" x14ac:dyDescent="0.2">
      <c r="A188">
        <v>3184</v>
      </c>
      <c r="B188" t="s">
        <v>375</v>
      </c>
      <c r="C188" t="str">
        <f>_xlfn.CONCAT(Merge[[#This Row],[Customer First Name]]," ",Merge[[#This Row],[Customer Last Name]])</f>
        <v>Lyra Everett</v>
      </c>
      <c r="D188" t="s">
        <v>376</v>
      </c>
      <c r="E188">
        <v>1417</v>
      </c>
      <c r="F188" t="s">
        <v>31</v>
      </c>
      <c r="G188" s="1">
        <v>45363</v>
      </c>
      <c r="H188">
        <v>3</v>
      </c>
      <c r="I188" t="s">
        <v>32</v>
      </c>
      <c r="J188" t="s">
        <v>53</v>
      </c>
      <c r="K188">
        <v>0.1</v>
      </c>
      <c r="L188">
        <v>56.1</v>
      </c>
      <c r="M188">
        <v>561</v>
      </c>
      <c r="N188">
        <v>504.9</v>
      </c>
      <c r="O188" t="s">
        <v>44</v>
      </c>
      <c r="P188">
        <v>1417</v>
      </c>
      <c r="Q188" t="s">
        <v>31</v>
      </c>
      <c r="R188" s="1">
        <v>45363</v>
      </c>
      <c r="S188">
        <v>2</v>
      </c>
      <c r="T188" t="s">
        <v>32</v>
      </c>
      <c r="U188" t="s">
        <v>53</v>
      </c>
      <c r="V188" t="s">
        <v>1622</v>
      </c>
      <c r="W188" t="s">
        <v>1268</v>
      </c>
      <c r="X188">
        <v>4870</v>
      </c>
      <c r="Y188">
        <v>250</v>
      </c>
      <c r="Z188">
        <v>500</v>
      </c>
      <c r="AA188" t="s">
        <v>1623</v>
      </c>
    </row>
    <row r="189" spans="1:27" x14ac:dyDescent="0.2">
      <c r="A189">
        <v>3185</v>
      </c>
      <c r="B189" t="s">
        <v>377</v>
      </c>
      <c r="C189" t="str">
        <f>_xlfn.CONCAT(Merge[[#This Row],[Customer First Name]]," ",Merge[[#This Row],[Customer Last Name]])</f>
        <v>Zayn Alvarado</v>
      </c>
      <c r="D189" t="s">
        <v>378</v>
      </c>
      <c r="E189">
        <v>1418</v>
      </c>
      <c r="F189" t="s">
        <v>31</v>
      </c>
      <c r="G189" s="1">
        <v>45337</v>
      </c>
      <c r="H189">
        <v>1</v>
      </c>
      <c r="I189" t="s">
        <v>32</v>
      </c>
      <c r="J189" t="s">
        <v>47</v>
      </c>
      <c r="K189">
        <v>0.1</v>
      </c>
      <c r="L189">
        <v>178.20000000000002</v>
      </c>
      <c r="M189">
        <v>1782</v>
      </c>
      <c r="N189">
        <v>1603.8</v>
      </c>
      <c r="O189" t="s">
        <v>44</v>
      </c>
      <c r="P189">
        <v>1418</v>
      </c>
      <c r="Q189" t="s">
        <v>31</v>
      </c>
      <c r="R189" s="1">
        <v>45337</v>
      </c>
      <c r="S189">
        <v>3</v>
      </c>
      <c r="T189" t="s">
        <v>32</v>
      </c>
      <c r="U189" t="s">
        <v>47</v>
      </c>
      <c r="V189" t="s">
        <v>1624</v>
      </c>
      <c r="W189" t="s">
        <v>1256</v>
      </c>
      <c r="X189">
        <v>3220</v>
      </c>
      <c r="Y189">
        <v>250</v>
      </c>
      <c r="Z189">
        <v>750</v>
      </c>
      <c r="AA189" t="s">
        <v>1625</v>
      </c>
    </row>
    <row r="190" spans="1:27" x14ac:dyDescent="0.2">
      <c r="A190">
        <v>3186</v>
      </c>
      <c r="B190" t="s">
        <v>379</v>
      </c>
      <c r="C190" t="str">
        <f>_xlfn.CONCAT(Merge[[#This Row],[Customer First Name]]," ",Merge[[#This Row],[Customer Last Name]])</f>
        <v>Xander Lynch</v>
      </c>
      <c r="D190" t="s">
        <v>380</v>
      </c>
      <c r="E190">
        <v>1419</v>
      </c>
      <c r="F190" t="s">
        <v>76</v>
      </c>
      <c r="G190" s="1">
        <v>45500</v>
      </c>
      <c r="H190">
        <v>3</v>
      </c>
      <c r="I190" t="s">
        <v>52</v>
      </c>
      <c r="J190" t="s">
        <v>64</v>
      </c>
      <c r="K190">
        <v>0.25</v>
      </c>
      <c r="L190">
        <v>360</v>
      </c>
      <c r="M190">
        <v>1440</v>
      </c>
      <c r="N190">
        <v>1080</v>
      </c>
      <c r="O190" t="s">
        <v>34</v>
      </c>
      <c r="P190">
        <v>1419</v>
      </c>
      <c r="Q190" t="s">
        <v>76</v>
      </c>
      <c r="R190" s="1">
        <v>45500</v>
      </c>
      <c r="S190">
        <v>1</v>
      </c>
      <c r="T190" t="s">
        <v>52</v>
      </c>
      <c r="U190" t="s">
        <v>64</v>
      </c>
      <c r="V190" t="s">
        <v>1626</v>
      </c>
      <c r="W190" t="s">
        <v>1262</v>
      </c>
      <c r="X190">
        <v>7250</v>
      </c>
      <c r="Y190">
        <v>1200</v>
      </c>
      <c r="Z190">
        <v>1200</v>
      </c>
      <c r="AA190" t="s">
        <v>1627</v>
      </c>
    </row>
    <row r="191" spans="1:27" x14ac:dyDescent="0.2">
      <c r="A191">
        <v>3187</v>
      </c>
      <c r="B191" t="s">
        <v>381</v>
      </c>
      <c r="C191" t="str">
        <f>_xlfn.CONCAT(Merge[[#This Row],[Customer First Name]]," ",Merge[[#This Row],[Customer Last Name]])</f>
        <v>Declan Escobar</v>
      </c>
      <c r="D191" t="s">
        <v>382</v>
      </c>
      <c r="E191">
        <v>1420</v>
      </c>
      <c r="F191" t="s">
        <v>42</v>
      </c>
      <c r="G191" s="1">
        <v>45639</v>
      </c>
      <c r="H191">
        <v>1</v>
      </c>
      <c r="I191" t="s">
        <v>52</v>
      </c>
      <c r="J191" t="s">
        <v>53</v>
      </c>
      <c r="K191">
        <v>0.25</v>
      </c>
      <c r="L191">
        <v>151.75</v>
      </c>
      <c r="M191">
        <v>607</v>
      </c>
      <c r="N191">
        <v>455.25</v>
      </c>
      <c r="O191" t="s">
        <v>44</v>
      </c>
      <c r="P191">
        <v>1420</v>
      </c>
      <c r="Q191" t="s">
        <v>42</v>
      </c>
      <c r="R191" s="1">
        <v>45639</v>
      </c>
      <c r="S191">
        <v>3</v>
      </c>
      <c r="T191" t="s">
        <v>52</v>
      </c>
      <c r="U191" t="s">
        <v>53</v>
      </c>
      <c r="V191" t="s">
        <v>1628</v>
      </c>
      <c r="W191" t="s">
        <v>1305</v>
      </c>
      <c r="X191">
        <v>4000</v>
      </c>
      <c r="Y191">
        <v>300</v>
      </c>
      <c r="Z191">
        <v>900</v>
      </c>
      <c r="AA191" t="s">
        <v>1629</v>
      </c>
    </row>
    <row r="192" spans="1:27" x14ac:dyDescent="0.2">
      <c r="A192">
        <v>3188</v>
      </c>
      <c r="B192" t="s">
        <v>383</v>
      </c>
      <c r="C192" t="str">
        <f>_xlfn.CONCAT(Merge[[#This Row],[Customer First Name]]," ",Merge[[#This Row],[Customer Last Name]])</f>
        <v>Zara Fisher</v>
      </c>
      <c r="D192" t="s">
        <v>384</v>
      </c>
      <c r="E192">
        <v>1421</v>
      </c>
      <c r="F192" t="s">
        <v>76</v>
      </c>
      <c r="G192" s="1">
        <v>45644</v>
      </c>
      <c r="H192">
        <v>2</v>
      </c>
      <c r="I192" t="s">
        <v>38</v>
      </c>
      <c r="J192" t="s">
        <v>57</v>
      </c>
      <c r="K192">
        <v>0.25</v>
      </c>
      <c r="L192">
        <v>135.25</v>
      </c>
      <c r="M192">
        <v>541</v>
      </c>
      <c r="N192">
        <v>405.75</v>
      </c>
      <c r="O192" t="s">
        <v>54</v>
      </c>
      <c r="P192">
        <v>1421</v>
      </c>
      <c r="Q192" t="s">
        <v>76</v>
      </c>
      <c r="R192" s="1">
        <v>45644</v>
      </c>
      <c r="S192">
        <v>3</v>
      </c>
      <c r="T192" t="s">
        <v>38</v>
      </c>
      <c r="U192" t="s">
        <v>57</v>
      </c>
      <c r="V192" t="s">
        <v>1630</v>
      </c>
      <c r="W192" t="s">
        <v>1350</v>
      </c>
      <c r="X192">
        <v>5600</v>
      </c>
      <c r="Y192">
        <v>1200</v>
      </c>
      <c r="Z192">
        <v>3600</v>
      </c>
      <c r="AA192" t="s">
        <v>1631</v>
      </c>
    </row>
    <row r="193" spans="1:27" x14ac:dyDescent="0.2">
      <c r="A193">
        <v>3189</v>
      </c>
      <c r="B193" t="s">
        <v>385</v>
      </c>
      <c r="C193" t="str">
        <f>_xlfn.CONCAT(Merge[[#This Row],[Customer First Name]]," ",Merge[[#This Row],[Customer Last Name]])</f>
        <v>Lyra Gould</v>
      </c>
      <c r="D193" t="s">
        <v>376</v>
      </c>
      <c r="E193">
        <v>1422</v>
      </c>
      <c r="F193" t="s">
        <v>51</v>
      </c>
      <c r="G193" s="1">
        <v>45498</v>
      </c>
      <c r="H193">
        <v>2</v>
      </c>
      <c r="I193" t="s">
        <v>71</v>
      </c>
      <c r="J193" t="s">
        <v>81</v>
      </c>
      <c r="K193">
        <v>0.2</v>
      </c>
      <c r="L193">
        <v>188.8</v>
      </c>
      <c r="M193">
        <v>944</v>
      </c>
      <c r="N193">
        <v>755.2</v>
      </c>
      <c r="O193" t="s">
        <v>34</v>
      </c>
      <c r="P193">
        <v>1422</v>
      </c>
      <c r="Q193" t="s">
        <v>51</v>
      </c>
      <c r="R193" s="1">
        <v>45498</v>
      </c>
      <c r="S193">
        <v>1</v>
      </c>
      <c r="T193" t="s">
        <v>71</v>
      </c>
      <c r="U193" t="s">
        <v>81</v>
      </c>
      <c r="V193" t="s">
        <v>1632</v>
      </c>
      <c r="W193" t="s">
        <v>1280</v>
      </c>
      <c r="X193">
        <v>800</v>
      </c>
      <c r="Y193">
        <v>250</v>
      </c>
      <c r="Z193">
        <v>250</v>
      </c>
      <c r="AA193" t="s">
        <v>1633</v>
      </c>
    </row>
    <row r="194" spans="1:27" x14ac:dyDescent="0.2">
      <c r="A194">
        <v>3190</v>
      </c>
      <c r="B194" t="s">
        <v>386</v>
      </c>
      <c r="C194" t="str">
        <f>_xlfn.CONCAT(Merge[[#This Row],[Customer First Name]]," ",Merge[[#This Row],[Customer Last Name]])</f>
        <v>Addison Contreras</v>
      </c>
      <c r="D194" t="s">
        <v>387</v>
      </c>
      <c r="E194">
        <v>1423</v>
      </c>
      <c r="F194" t="s">
        <v>76</v>
      </c>
      <c r="G194" s="1">
        <v>45369</v>
      </c>
      <c r="H194">
        <v>1</v>
      </c>
      <c r="I194" t="s">
        <v>52</v>
      </c>
      <c r="J194" t="s">
        <v>39</v>
      </c>
      <c r="K194">
        <v>0.25</v>
      </c>
      <c r="L194">
        <v>25.75</v>
      </c>
      <c r="M194">
        <v>103</v>
      </c>
      <c r="N194">
        <v>77.25</v>
      </c>
      <c r="O194" t="s">
        <v>44</v>
      </c>
      <c r="P194">
        <v>1423</v>
      </c>
      <c r="Q194" t="s">
        <v>76</v>
      </c>
      <c r="R194" s="1">
        <v>45369</v>
      </c>
      <c r="S194">
        <v>1</v>
      </c>
      <c r="T194" t="s">
        <v>52</v>
      </c>
      <c r="U194" t="s">
        <v>39</v>
      </c>
      <c r="V194" t="s">
        <v>1634</v>
      </c>
      <c r="W194" t="s">
        <v>1241</v>
      </c>
      <c r="X194">
        <v>2600</v>
      </c>
      <c r="Y194">
        <v>1200</v>
      </c>
      <c r="Z194">
        <v>1200</v>
      </c>
      <c r="AA194" t="s">
        <v>1635</v>
      </c>
    </row>
    <row r="195" spans="1:27" x14ac:dyDescent="0.2">
      <c r="A195">
        <v>3191</v>
      </c>
      <c r="B195" t="s">
        <v>388</v>
      </c>
      <c r="C195" t="str">
        <f>_xlfn.CONCAT(Merge[[#This Row],[Customer First Name]]," ",Merge[[#This Row],[Customer Last Name]])</f>
        <v>Charles Burke</v>
      </c>
      <c r="D195" t="s">
        <v>268</v>
      </c>
      <c r="E195">
        <v>1424</v>
      </c>
      <c r="F195" t="s">
        <v>37</v>
      </c>
      <c r="G195" s="1">
        <v>45321</v>
      </c>
      <c r="H195">
        <v>2</v>
      </c>
      <c r="I195" t="s">
        <v>38</v>
      </c>
      <c r="J195" t="s">
        <v>81</v>
      </c>
      <c r="K195">
        <v>0.3</v>
      </c>
      <c r="L195">
        <v>39</v>
      </c>
      <c r="M195">
        <v>130</v>
      </c>
      <c r="N195">
        <v>91</v>
      </c>
      <c r="O195" t="s">
        <v>48</v>
      </c>
      <c r="P195">
        <v>1424</v>
      </c>
      <c r="Q195" t="s">
        <v>37</v>
      </c>
      <c r="R195" s="1">
        <v>45321</v>
      </c>
      <c r="S195">
        <v>2</v>
      </c>
      <c r="T195" t="s">
        <v>38</v>
      </c>
      <c r="U195" t="s">
        <v>81</v>
      </c>
      <c r="V195" t="s">
        <v>1636</v>
      </c>
      <c r="W195" t="s">
        <v>1280</v>
      </c>
      <c r="X195">
        <v>800</v>
      </c>
      <c r="Y195">
        <v>800</v>
      </c>
      <c r="Z195">
        <v>1600</v>
      </c>
      <c r="AA195" t="s">
        <v>1637</v>
      </c>
    </row>
    <row r="196" spans="1:27" x14ac:dyDescent="0.2">
      <c r="A196">
        <v>3192</v>
      </c>
      <c r="B196" t="s">
        <v>389</v>
      </c>
      <c r="C196" t="str">
        <f>_xlfn.CONCAT(Merge[[#This Row],[Customer First Name]]," ",Merge[[#This Row],[Customer Last Name]])</f>
        <v>Maximus Owens</v>
      </c>
      <c r="D196" t="s">
        <v>390</v>
      </c>
      <c r="E196">
        <v>1425</v>
      </c>
      <c r="F196" t="s">
        <v>37</v>
      </c>
      <c r="G196" s="1">
        <v>45400</v>
      </c>
      <c r="H196">
        <v>3</v>
      </c>
      <c r="I196" t="s">
        <v>52</v>
      </c>
      <c r="J196" t="s">
        <v>47</v>
      </c>
      <c r="K196">
        <v>0.3</v>
      </c>
      <c r="L196">
        <v>182.4</v>
      </c>
      <c r="M196">
        <v>608</v>
      </c>
      <c r="N196">
        <v>425.6</v>
      </c>
      <c r="O196" t="s">
        <v>54</v>
      </c>
      <c r="P196">
        <v>1425</v>
      </c>
      <c r="Q196" t="s">
        <v>37</v>
      </c>
      <c r="R196" s="1">
        <v>45400</v>
      </c>
      <c r="S196">
        <v>2</v>
      </c>
      <c r="T196" t="s">
        <v>52</v>
      </c>
      <c r="U196" t="s">
        <v>47</v>
      </c>
      <c r="V196" t="s">
        <v>1638</v>
      </c>
      <c r="W196" t="s">
        <v>1247</v>
      </c>
      <c r="X196">
        <v>3350</v>
      </c>
      <c r="Y196">
        <v>800</v>
      </c>
      <c r="Z196">
        <v>1600</v>
      </c>
      <c r="AA196" t="s">
        <v>1639</v>
      </c>
    </row>
    <row r="197" spans="1:27" x14ac:dyDescent="0.2">
      <c r="A197">
        <v>3193</v>
      </c>
      <c r="B197" t="s">
        <v>117</v>
      </c>
      <c r="C197" t="str">
        <f>_xlfn.CONCAT(Merge[[#This Row],[Customer First Name]]," ",Merge[[#This Row],[Customer Last Name]])</f>
        <v>Sadie Foster</v>
      </c>
      <c r="D197" t="s">
        <v>391</v>
      </c>
      <c r="E197">
        <v>1426</v>
      </c>
      <c r="F197" t="s">
        <v>92</v>
      </c>
      <c r="G197" s="1">
        <v>45374</v>
      </c>
      <c r="H197">
        <v>3</v>
      </c>
      <c r="I197" t="s">
        <v>32</v>
      </c>
      <c r="J197" t="s">
        <v>53</v>
      </c>
      <c r="K197">
        <v>0.3</v>
      </c>
      <c r="L197">
        <v>491.09999999999997</v>
      </c>
      <c r="M197">
        <v>1637</v>
      </c>
      <c r="N197">
        <v>1145.9000000000001</v>
      </c>
      <c r="O197" t="s">
        <v>44</v>
      </c>
      <c r="P197">
        <v>1426</v>
      </c>
      <c r="Q197" t="s">
        <v>92</v>
      </c>
      <c r="R197" s="1">
        <v>45374</v>
      </c>
      <c r="S197">
        <v>3</v>
      </c>
      <c r="T197" t="s">
        <v>32</v>
      </c>
      <c r="U197" t="s">
        <v>53</v>
      </c>
      <c r="V197" t="s">
        <v>1640</v>
      </c>
      <c r="W197" t="s">
        <v>1305</v>
      </c>
      <c r="X197">
        <v>4000</v>
      </c>
      <c r="Y197">
        <v>600</v>
      </c>
      <c r="Z197">
        <v>1800</v>
      </c>
      <c r="AA197" t="s">
        <v>1641</v>
      </c>
    </row>
    <row r="198" spans="1:27" x14ac:dyDescent="0.2">
      <c r="A198">
        <v>3194</v>
      </c>
      <c r="B198" t="s">
        <v>347</v>
      </c>
      <c r="C198" t="str">
        <f>_xlfn.CONCAT(Merge[[#This Row],[Customer First Name]]," ",Merge[[#This Row],[Customer Last Name]])</f>
        <v>Sloane Carpenter</v>
      </c>
      <c r="D198" t="s">
        <v>392</v>
      </c>
      <c r="E198">
        <v>1427</v>
      </c>
      <c r="F198" t="s">
        <v>51</v>
      </c>
      <c r="G198" s="1">
        <v>45340</v>
      </c>
      <c r="H198">
        <v>2</v>
      </c>
      <c r="I198" t="s">
        <v>52</v>
      </c>
      <c r="J198" t="s">
        <v>47</v>
      </c>
      <c r="K198">
        <v>0.2</v>
      </c>
      <c r="L198">
        <v>240.4</v>
      </c>
      <c r="M198">
        <v>1202</v>
      </c>
      <c r="N198">
        <v>961.6</v>
      </c>
      <c r="O198" t="s">
        <v>48</v>
      </c>
      <c r="P198">
        <v>1427</v>
      </c>
      <c r="Q198" t="s">
        <v>51</v>
      </c>
      <c r="R198" s="1">
        <v>45340</v>
      </c>
      <c r="S198">
        <v>3</v>
      </c>
      <c r="T198" t="s">
        <v>52</v>
      </c>
      <c r="U198" t="s">
        <v>47</v>
      </c>
      <c r="V198" t="s">
        <v>1642</v>
      </c>
      <c r="W198" t="s">
        <v>1275</v>
      </c>
      <c r="X198">
        <v>3000</v>
      </c>
      <c r="Y198">
        <v>250</v>
      </c>
      <c r="Z198">
        <v>750</v>
      </c>
      <c r="AA198" t="s">
        <v>1643</v>
      </c>
    </row>
    <row r="199" spans="1:27" x14ac:dyDescent="0.2">
      <c r="A199">
        <v>3195</v>
      </c>
      <c r="B199" t="s">
        <v>393</v>
      </c>
      <c r="C199" t="str">
        <f>_xlfn.CONCAT(Merge[[#This Row],[Customer First Name]]," ",Merge[[#This Row],[Customer Last Name]])</f>
        <v>Heidi Reyna</v>
      </c>
      <c r="D199" t="s">
        <v>394</v>
      </c>
      <c r="E199">
        <v>1428</v>
      </c>
      <c r="F199" t="s">
        <v>31</v>
      </c>
      <c r="G199" s="1">
        <v>45427</v>
      </c>
      <c r="H199">
        <v>1</v>
      </c>
      <c r="I199" t="s">
        <v>32</v>
      </c>
      <c r="J199" t="s">
        <v>33</v>
      </c>
      <c r="K199">
        <v>0.1</v>
      </c>
      <c r="L199">
        <v>130.4</v>
      </c>
      <c r="M199">
        <v>1304</v>
      </c>
      <c r="N199">
        <v>1173.5999999999999</v>
      </c>
      <c r="O199" t="s">
        <v>44</v>
      </c>
      <c r="P199">
        <v>1428</v>
      </c>
      <c r="Q199" t="s">
        <v>31</v>
      </c>
      <c r="R199" s="1">
        <v>45427</v>
      </c>
      <c r="S199">
        <v>3</v>
      </c>
      <c r="T199" t="s">
        <v>32</v>
      </c>
      <c r="U199" t="s">
        <v>33</v>
      </c>
      <c r="V199" t="s">
        <v>1644</v>
      </c>
      <c r="W199" t="s">
        <v>1259</v>
      </c>
      <c r="X199">
        <v>6160</v>
      </c>
      <c r="Y199">
        <v>250</v>
      </c>
      <c r="Z199">
        <v>750</v>
      </c>
      <c r="AA199" t="s">
        <v>1645</v>
      </c>
    </row>
    <row r="200" spans="1:27" x14ac:dyDescent="0.2">
      <c r="A200">
        <v>3196</v>
      </c>
      <c r="B200" t="s">
        <v>90</v>
      </c>
      <c r="C200" t="str">
        <f>_xlfn.CONCAT(Merge[[#This Row],[Customer First Name]]," ",Merge[[#This Row],[Customer Last Name]])</f>
        <v>Hallie Weaver</v>
      </c>
      <c r="D200" t="s">
        <v>395</v>
      </c>
      <c r="E200">
        <v>1429</v>
      </c>
      <c r="F200" t="s">
        <v>76</v>
      </c>
      <c r="G200" s="1">
        <v>45545</v>
      </c>
      <c r="H200">
        <v>2</v>
      </c>
      <c r="I200" t="s">
        <v>32</v>
      </c>
      <c r="J200" t="s">
        <v>57</v>
      </c>
      <c r="K200">
        <v>0.25</v>
      </c>
      <c r="L200">
        <v>412</v>
      </c>
      <c r="M200">
        <v>1648</v>
      </c>
      <c r="N200">
        <v>1236</v>
      </c>
      <c r="O200" t="s">
        <v>48</v>
      </c>
      <c r="P200">
        <v>1429</v>
      </c>
      <c r="Q200" t="s">
        <v>76</v>
      </c>
      <c r="R200" s="1">
        <v>45545</v>
      </c>
      <c r="S200">
        <v>3</v>
      </c>
      <c r="T200" t="s">
        <v>32</v>
      </c>
      <c r="U200" t="s">
        <v>57</v>
      </c>
      <c r="V200" t="s">
        <v>1646</v>
      </c>
      <c r="W200" t="s">
        <v>1253</v>
      </c>
      <c r="X200">
        <v>5290</v>
      </c>
      <c r="Y200">
        <v>1200</v>
      </c>
      <c r="Z200">
        <v>3600</v>
      </c>
      <c r="AA200" t="s">
        <v>1647</v>
      </c>
    </row>
    <row r="201" spans="1:27" x14ac:dyDescent="0.2">
      <c r="A201">
        <v>3197</v>
      </c>
      <c r="B201" t="s">
        <v>396</v>
      </c>
      <c r="C201" t="str">
        <f>_xlfn.CONCAT(Merge[[#This Row],[Customer First Name]]," ",Merge[[#This Row],[Customer Last Name]])</f>
        <v>Jason Jensen</v>
      </c>
      <c r="D201" t="s">
        <v>397</v>
      </c>
      <c r="E201">
        <v>1430</v>
      </c>
      <c r="F201" t="s">
        <v>76</v>
      </c>
      <c r="G201" s="1">
        <v>45462</v>
      </c>
      <c r="H201">
        <v>1</v>
      </c>
      <c r="I201" t="s">
        <v>32</v>
      </c>
      <c r="J201" t="s">
        <v>43</v>
      </c>
      <c r="K201">
        <v>0.25</v>
      </c>
      <c r="L201">
        <v>323.25</v>
      </c>
      <c r="M201">
        <v>1293</v>
      </c>
      <c r="N201">
        <v>969.75</v>
      </c>
      <c r="O201" t="s">
        <v>114</v>
      </c>
      <c r="P201">
        <v>1430</v>
      </c>
      <c r="Q201" t="s">
        <v>76</v>
      </c>
      <c r="R201" s="1">
        <v>45462</v>
      </c>
      <c r="S201">
        <v>3</v>
      </c>
      <c r="T201" t="s">
        <v>32</v>
      </c>
      <c r="U201" t="s">
        <v>43</v>
      </c>
      <c r="V201" t="s">
        <v>1648</v>
      </c>
      <c r="W201" t="s">
        <v>865</v>
      </c>
      <c r="X201">
        <v>2000</v>
      </c>
      <c r="Y201">
        <v>1200</v>
      </c>
      <c r="Z201">
        <v>3600</v>
      </c>
      <c r="AA201" t="s">
        <v>1649</v>
      </c>
    </row>
    <row r="202" spans="1:27" x14ac:dyDescent="0.2">
      <c r="A202">
        <v>3198</v>
      </c>
      <c r="B202" t="s">
        <v>398</v>
      </c>
      <c r="C202" t="str">
        <f>_xlfn.CONCAT(Merge[[#This Row],[Customer First Name]]," ",Merge[[#This Row],[Customer Last Name]])</f>
        <v>Elaina Ayala</v>
      </c>
      <c r="D202" t="s">
        <v>399</v>
      </c>
      <c r="E202">
        <v>1431</v>
      </c>
      <c r="F202" t="s">
        <v>76</v>
      </c>
      <c r="G202" s="1">
        <v>45589</v>
      </c>
      <c r="H202">
        <v>2</v>
      </c>
      <c r="I202" t="s">
        <v>52</v>
      </c>
      <c r="J202" t="s">
        <v>81</v>
      </c>
      <c r="K202">
        <v>0.25</v>
      </c>
      <c r="L202">
        <v>303.5</v>
      </c>
      <c r="M202">
        <v>1214</v>
      </c>
      <c r="N202">
        <v>910.5</v>
      </c>
      <c r="O202" t="s">
        <v>44</v>
      </c>
      <c r="P202">
        <v>1431</v>
      </c>
      <c r="Q202" t="s">
        <v>76</v>
      </c>
      <c r="R202" s="1">
        <v>45589</v>
      </c>
      <c r="S202">
        <v>1</v>
      </c>
      <c r="T202" t="s">
        <v>52</v>
      </c>
      <c r="U202" t="s">
        <v>81</v>
      </c>
      <c r="V202" t="s">
        <v>1650</v>
      </c>
      <c r="W202" t="s">
        <v>1361</v>
      </c>
      <c r="X202">
        <v>870</v>
      </c>
      <c r="Y202">
        <v>1200</v>
      </c>
      <c r="Z202">
        <v>1200</v>
      </c>
      <c r="AA202" t="s">
        <v>1651</v>
      </c>
    </row>
    <row r="203" spans="1:27" x14ac:dyDescent="0.2">
      <c r="A203">
        <v>3199</v>
      </c>
      <c r="B203" t="s">
        <v>311</v>
      </c>
      <c r="C203" t="str">
        <f>_xlfn.CONCAT(Merge[[#This Row],[Customer First Name]]," ",Merge[[#This Row],[Customer Last Name]])</f>
        <v>Genevieve Walton</v>
      </c>
      <c r="D203" t="s">
        <v>400</v>
      </c>
      <c r="E203">
        <v>1432</v>
      </c>
      <c r="F203" t="s">
        <v>76</v>
      </c>
      <c r="G203" s="1">
        <v>45462</v>
      </c>
      <c r="H203">
        <v>3</v>
      </c>
      <c r="I203" t="s">
        <v>52</v>
      </c>
      <c r="J203" t="s">
        <v>33</v>
      </c>
      <c r="K203">
        <v>0.25</v>
      </c>
      <c r="L203">
        <v>354.5</v>
      </c>
      <c r="M203">
        <v>1418</v>
      </c>
      <c r="N203">
        <v>1063.5</v>
      </c>
      <c r="O203" t="s">
        <v>48</v>
      </c>
      <c r="P203">
        <v>1432</v>
      </c>
      <c r="Q203" t="s">
        <v>76</v>
      </c>
      <c r="R203" s="1">
        <v>45462</v>
      </c>
      <c r="S203">
        <v>2</v>
      </c>
      <c r="T203" t="s">
        <v>52</v>
      </c>
      <c r="U203" t="s">
        <v>33</v>
      </c>
      <c r="V203" t="s">
        <v>1652</v>
      </c>
      <c r="W203" t="s">
        <v>1238</v>
      </c>
      <c r="X203">
        <v>6725</v>
      </c>
      <c r="Y203">
        <v>1200</v>
      </c>
      <c r="Z203">
        <v>2400</v>
      </c>
      <c r="AA203" t="s">
        <v>1653</v>
      </c>
    </row>
    <row r="204" spans="1:27" x14ac:dyDescent="0.2">
      <c r="A204">
        <v>3200</v>
      </c>
      <c r="B204" t="s">
        <v>401</v>
      </c>
      <c r="C204" t="str">
        <f>_xlfn.CONCAT(Merge[[#This Row],[Customer First Name]]," ",Merge[[#This Row],[Customer Last Name]])</f>
        <v>Mathias Kirk</v>
      </c>
      <c r="D204" t="s">
        <v>402</v>
      </c>
      <c r="E204">
        <v>1433</v>
      </c>
      <c r="F204" t="s">
        <v>92</v>
      </c>
      <c r="G204" s="1">
        <v>45574</v>
      </c>
      <c r="H204">
        <v>2</v>
      </c>
      <c r="I204" t="s">
        <v>52</v>
      </c>
      <c r="J204" t="s">
        <v>43</v>
      </c>
      <c r="K204">
        <v>0.3</v>
      </c>
      <c r="L204">
        <v>465.59999999999997</v>
      </c>
      <c r="M204">
        <v>1552</v>
      </c>
      <c r="N204">
        <v>1086.4000000000001</v>
      </c>
      <c r="O204" t="s">
        <v>34</v>
      </c>
      <c r="P204">
        <v>1433</v>
      </c>
      <c r="Q204" t="s">
        <v>92</v>
      </c>
      <c r="R204" s="1">
        <v>45574</v>
      </c>
      <c r="S204">
        <v>3</v>
      </c>
      <c r="T204" t="s">
        <v>52</v>
      </c>
      <c r="U204" t="s">
        <v>43</v>
      </c>
      <c r="V204" t="s">
        <v>1654</v>
      </c>
      <c r="W204" t="s">
        <v>1299</v>
      </c>
      <c r="X204">
        <v>2500</v>
      </c>
      <c r="Y204">
        <v>600</v>
      </c>
      <c r="Z204">
        <v>1800</v>
      </c>
      <c r="AA204" t="s">
        <v>1655</v>
      </c>
    </row>
    <row r="205" spans="1:27" x14ac:dyDescent="0.2">
      <c r="A205">
        <v>3201</v>
      </c>
      <c r="B205" t="s">
        <v>403</v>
      </c>
      <c r="C205" t="str">
        <f>_xlfn.CONCAT(Merge[[#This Row],[Customer First Name]]," ",Merge[[#This Row],[Customer Last Name]])</f>
        <v>Isabelle Terrell</v>
      </c>
      <c r="D205" t="s">
        <v>109</v>
      </c>
      <c r="E205">
        <v>1434</v>
      </c>
      <c r="F205" t="s">
        <v>31</v>
      </c>
      <c r="G205" s="1">
        <v>45425</v>
      </c>
      <c r="H205">
        <v>1</v>
      </c>
      <c r="I205" t="s">
        <v>71</v>
      </c>
      <c r="J205" t="s">
        <v>47</v>
      </c>
      <c r="K205">
        <v>0.1</v>
      </c>
      <c r="L205">
        <v>5</v>
      </c>
      <c r="M205">
        <v>50</v>
      </c>
      <c r="N205">
        <v>45</v>
      </c>
      <c r="O205" t="s">
        <v>34</v>
      </c>
      <c r="P205">
        <v>1434</v>
      </c>
      <c r="Q205" t="s">
        <v>31</v>
      </c>
      <c r="R205" s="1">
        <v>45425</v>
      </c>
      <c r="S205">
        <v>2</v>
      </c>
      <c r="T205" t="s">
        <v>71</v>
      </c>
      <c r="U205" t="s">
        <v>47</v>
      </c>
      <c r="V205" t="s">
        <v>1656</v>
      </c>
      <c r="W205" t="s">
        <v>1275</v>
      </c>
      <c r="X205">
        <v>3000</v>
      </c>
      <c r="Y205">
        <v>250</v>
      </c>
      <c r="Z205">
        <v>500</v>
      </c>
      <c r="AA205" t="s">
        <v>1657</v>
      </c>
    </row>
    <row r="206" spans="1:27" x14ac:dyDescent="0.2">
      <c r="A206">
        <v>3202</v>
      </c>
      <c r="B206" t="s">
        <v>404</v>
      </c>
      <c r="C206" t="str">
        <f>_xlfn.CONCAT(Merge[[#This Row],[Customer First Name]]," ",Merge[[#This Row],[Customer Last Name]])</f>
        <v>Kobe Norris</v>
      </c>
      <c r="D206" t="s">
        <v>405</v>
      </c>
      <c r="E206">
        <v>1435</v>
      </c>
      <c r="F206" t="s">
        <v>42</v>
      </c>
      <c r="G206" s="1">
        <v>45363</v>
      </c>
      <c r="H206">
        <v>2</v>
      </c>
      <c r="I206" t="s">
        <v>32</v>
      </c>
      <c r="J206" t="s">
        <v>53</v>
      </c>
      <c r="K206">
        <v>0.25</v>
      </c>
      <c r="L206">
        <v>279.25</v>
      </c>
      <c r="M206">
        <v>1117</v>
      </c>
      <c r="N206">
        <v>837.75</v>
      </c>
      <c r="O206" t="s">
        <v>54</v>
      </c>
      <c r="P206">
        <v>1435</v>
      </c>
      <c r="Q206" t="s">
        <v>42</v>
      </c>
      <c r="R206" s="1">
        <v>45363</v>
      </c>
      <c r="S206">
        <v>1</v>
      </c>
      <c r="T206" t="s">
        <v>32</v>
      </c>
      <c r="U206" t="s">
        <v>53</v>
      </c>
      <c r="V206" t="s">
        <v>1658</v>
      </c>
      <c r="W206" t="s">
        <v>1268</v>
      </c>
      <c r="X206">
        <v>4870</v>
      </c>
      <c r="Y206">
        <v>300</v>
      </c>
      <c r="Z206">
        <v>300</v>
      </c>
      <c r="AA206" t="s">
        <v>1659</v>
      </c>
    </row>
    <row r="207" spans="1:27" x14ac:dyDescent="0.2">
      <c r="A207">
        <v>3203</v>
      </c>
      <c r="B207" t="s">
        <v>406</v>
      </c>
      <c r="C207" t="str">
        <f>_xlfn.CONCAT(Merge[[#This Row],[Customer First Name]]," ",Merge[[#This Row],[Customer Last Name]])</f>
        <v>Avianna Huerta</v>
      </c>
      <c r="D207" t="s">
        <v>280</v>
      </c>
      <c r="E207">
        <v>1436</v>
      </c>
      <c r="F207" t="s">
        <v>76</v>
      </c>
      <c r="G207" s="1">
        <v>45596</v>
      </c>
      <c r="H207">
        <v>2</v>
      </c>
      <c r="I207" t="s">
        <v>38</v>
      </c>
      <c r="J207" t="s">
        <v>39</v>
      </c>
      <c r="K207">
        <v>0.25</v>
      </c>
      <c r="L207">
        <v>238.5</v>
      </c>
      <c r="M207">
        <v>954</v>
      </c>
      <c r="N207">
        <v>715.5</v>
      </c>
      <c r="O207" t="s">
        <v>54</v>
      </c>
      <c r="P207">
        <v>1436</v>
      </c>
      <c r="Q207" t="s">
        <v>76</v>
      </c>
      <c r="R207" s="1">
        <v>45596</v>
      </c>
      <c r="S207">
        <v>2</v>
      </c>
      <c r="T207" t="s">
        <v>38</v>
      </c>
      <c r="U207" t="s">
        <v>39</v>
      </c>
      <c r="V207" t="s">
        <v>1660</v>
      </c>
      <c r="W207" t="s">
        <v>1241</v>
      </c>
      <c r="X207">
        <v>2600</v>
      </c>
      <c r="Y207">
        <v>1200</v>
      </c>
      <c r="Z207">
        <v>2400</v>
      </c>
      <c r="AA207" t="s">
        <v>1661</v>
      </c>
    </row>
    <row r="208" spans="1:27" x14ac:dyDescent="0.2">
      <c r="A208">
        <v>3204</v>
      </c>
      <c r="B208" t="s">
        <v>407</v>
      </c>
      <c r="C208" t="str">
        <f>_xlfn.CONCAT(Merge[[#This Row],[Customer First Name]]," ",Merge[[#This Row],[Customer Last Name]])</f>
        <v>Raymond Hail</v>
      </c>
      <c r="D208" t="s">
        <v>408</v>
      </c>
      <c r="E208">
        <v>1437</v>
      </c>
      <c r="F208" t="s">
        <v>51</v>
      </c>
      <c r="G208" s="1">
        <v>45344</v>
      </c>
      <c r="H208">
        <v>1</v>
      </c>
      <c r="I208" t="s">
        <v>32</v>
      </c>
      <c r="J208" t="s">
        <v>81</v>
      </c>
      <c r="K208">
        <v>0.2</v>
      </c>
      <c r="L208">
        <v>138.4</v>
      </c>
      <c r="M208">
        <v>692</v>
      </c>
      <c r="N208">
        <v>553.6</v>
      </c>
      <c r="O208" t="s">
        <v>48</v>
      </c>
      <c r="P208">
        <v>1437</v>
      </c>
      <c r="Q208" t="s">
        <v>51</v>
      </c>
      <c r="R208" s="1">
        <v>45344</v>
      </c>
      <c r="S208">
        <v>2</v>
      </c>
      <c r="T208" t="s">
        <v>32</v>
      </c>
      <c r="U208" t="s">
        <v>81</v>
      </c>
      <c r="V208" t="s">
        <v>1662</v>
      </c>
      <c r="W208" t="s">
        <v>1361</v>
      </c>
      <c r="X208">
        <v>870</v>
      </c>
      <c r="Y208">
        <v>250</v>
      </c>
      <c r="Z208">
        <v>500</v>
      </c>
      <c r="AA208" t="s">
        <v>1663</v>
      </c>
    </row>
    <row r="209" spans="1:27" x14ac:dyDescent="0.2">
      <c r="A209">
        <v>3205</v>
      </c>
      <c r="B209" t="s">
        <v>409</v>
      </c>
      <c r="C209" t="str">
        <f>_xlfn.CONCAT(Merge[[#This Row],[Customer First Name]]," ",Merge[[#This Row],[Customer Last Name]])</f>
        <v>Melanie Bauer</v>
      </c>
      <c r="D209" t="s">
        <v>410</v>
      </c>
      <c r="E209">
        <v>1438</v>
      </c>
      <c r="F209" t="s">
        <v>31</v>
      </c>
      <c r="G209" s="1">
        <v>45575</v>
      </c>
      <c r="H209">
        <v>3</v>
      </c>
      <c r="I209" t="s">
        <v>52</v>
      </c>
      <c r="J209" t="s">
        <v>53</v>
      </c>
      <c r="K209">
        <v>0.1</v>
      </c>
      <c r="L209">
        <v>143.6</v>
      </c>
      <c r="M209">
        <v>1436</v>
      </c>
      <c r="N209">
        <v>1292.4000000000001</v>
      </c>
      <c r="O209" t="s">
        <v>34</v>
      </c>
      <c r="P209">
        <v>1438</v>
      </c>
      <c r="Q209" t="s">
        <v>31</v>
      </c>
      <c r="R209" s="1">
        <v>45575</v>
      </c>
      <c r="S209">
        <v>1</v>
      </c>
      <c r="T209" t="s">
        <v>52</v>
      </c>
      <c r="U209" t="s">
        <v>53</v>
      </c>
      <c r="V209" t="s">
        <v>1664</v>
      </c>
      <c r="W209" t="s">
        <v>1268</v>
      </c>
      <c r="X209">
        <v>4870</v>
      </c>
      <c r="Y209">
        <v>250</v>
      </c>
      <c r="Z209">
        <v>250</v>
      </c>
      <c r="AA209" t="s">
        <v>1665</v>
      </c>
    </row>
    <row r="210" spans="1:27" x14ac:dyDescent="0.2">
      <c r="A210">
        <v>3206</v>
      </c>
      <c r="B210" t="s">
        <v>411</v>
      </c>
      <c r="C210" t="str">
        <f>_xlfn.CONCAT(Merge[[#This Row],[Customer First Name]]," ",Merge[[#This Row],[Customer Last Name]])</f>
        <v>Jordan English</v>
      </c>
      <c r="D210" t="s">
        <v>348</v>
      </c>
      <c r="E210">
        <v>1439</v>
      </c>
      <c r="F210" t="s">
        <v>51</v>
      </c>
      <c r="G210" s="1">
        <v>45518</v>
      </c>
      <c r="H210">
        <v>2</v>
      </c>
      <c r="I210" t="s">
        <v>32</v>
      </c>
      <c r="J210" t="s">
        <v>64</v>
      </c>
      <c r="K210">
        <v>0.2</v>
      </c>
      <c r="L210">
        <v>259.40000000000003</v>
      </c>
      <c r="M210">
        <v>1297</v>
      </c>
      <c r="N210">
        <v>1037.5999999999999</v>
      </c>
      <c r="O210" t="s">
        <v>44</v>
      </c>
      <c r="P210">
        <v>1439</v>
      </c>
      <c r="Q210" t="s">
        <v>51</v>
      </c>
      <c r="R210" s="1">
        <v>45518</v>
      </c>
      <c r="S210">
        <v>2</v>
      </c>
      <c r="T210" t="s">
        <v>32</v>
      </c>
      <c r="U210" t="s">
        <v>64</v>
      </c>
      <c r="V210" t="s">
        <v>1666</v>
      </c>
      <c r="W210" t="s">
        <v>1265</v>
      </c>
      <c r="X210">
        <v>7000</v>
      </c>
      <c r="Y210">
        <v>250</v>
      </c>
      <c r="Z210">
        <v>500</v>
      </c>
      <c r="AA210" t="s">
        <v>1667</v>
      </c>
    </row>
    <row r="211" spans="1:27" x14ac:dyDescent="0.2">
      <c r="A211">
        <v>3207</v>
      </c>
      <c r="B211" t="s">
        <v>412</v>
      </c>
      <c r="C211" t="str">
        <f>_xlfn.CONCAT(Merge[[#This Row],[Customer First Name]]," ",Merge[[#This Row],[Customer Last Name]])</f>
        <v>Dakota Allen</v>
      </c>
      <c r="D211" t="s">
        <v>245</v>
      </c>
      <c r="E211">
        <v>1440</v>
      </c>
      <c r="F211" t="s">
        <v>76</v>
      </c>
      <c r="G211" s="1">
        <v>45535</v>
      </c>
      <c r="H211">
        <v>2</v>
      </c>
      <c r="I211" t="s">
        <v>71</v>
      </c>
      <c r="J211" t="s">
        <v>33</v>
      </c>
      <c r="K211">
        <v>0.25</v>
      </c>
      <c r="L211">
        <v>252.75</v>
      </c>
      <c r="M211">
        <v>1011</v>
      </c>
      <c r="N211">
        <v>758.25</v>
      </c>
      <c r="O211" t="s">
        <v>44</v>
      </c>
      <c r="P211">
        <v>1440</v>
      </c>
      <c r="Q211" t="s">
        <v>76</v>
      </c>
      <c r="R211" s="1">
        <v>45535</v>
      </c>
      <c r="S211">
        <v>3</v>
      </c>
      <c r="T211" t="s">
        <v>71</v>
      </c>
      <c r="U211" t="s">
        <v>33</v>
      </c>
      <c r="V211" t="s">
        <v>1668</v>
      </c>
      <c r="W211" t="s">
        <v>1302</v>
      </c>
      <c r="X211">
        <v>6000</v>
      </c>
      <c r="Y211">
        <v>1200</v>
      </c>
      <c r="Z211">
        <v>3600</v>
      </c>
      <c r="AA211" t="s">
        <v>1669</v>
      </c>
    </row>
    <row r="212" spans="1:27" x14ac:dyDescent="0.2">
      <c r="A212">
        <v>3208</v>
      </c>
      <c r="B212" t="s">
        <v>413</v>
      </c>
      <c r="C212" t="str">
        <f>_xlfn.CONCAT(Merge[[#This Row],[Customer First Name]]," ",Merge[[#This Row],[Customer Last Name]])</f>
        <v>Victor Benson</v>
      </c>
      <c r="D212" t="s">
        <v>414</v>
      </c>
      <c r="E212">
        <v>1441</v>
      </c>
      <c r="F212" t="s">
        <v>31</v>
      </c>
      <c r="G212" s="1">
        <v>45314</v>
      </c>
      <c r="H212">
        <v>1</v>
      </c>
      <c r="I212" t="s">
        <v>52</v>
      </c>
      <c r="J212" t="s">
        <v>53</v>
      </c>
      <c r="K212">
        <v>0.1</v>
      </c>
      <c r="L212">
        <v>122.80000000000001</v>
      </c>
      <c r="M212">
        <v>1228</v>
      </c>
      <c r="N212">
        <v>1105.2</v>
      </c>
      <c r="O212" t="s">
        <v>44</v>
      </c>
      <c r="P212">
        <v>1441</v>
      </c>
      <c r="Q212" t="s">
        <v>31</v>
      </c>
      <c r="R212" s="1">
        <v>45314</v>
      </c>
      <c r="S212">
        <v>2</v>
      </c>
      <c r="T212" t="s">
        <v>52</v>
      </c>
      <c r="U212" t="s">
        <v>53</v>
      </c>
      <c r="V212" t="s">
        <v>1670</v>
      </c>
      <c r="W212" t="s">
        <v>1268</v>
      </c>
      <c r="X212">
        <v>4870</v>
      </c>
      <c r="Y212">
        <v>250</v>
      </c>
      <c r="Z212">
        <v>500</v>
      </c>
      <c r="AA212" t="s">
        <v>1671</v>
      </c>
    </row>
    <row r="213" spans="1:27" x14ac:dyDescent="0.2">
      <c r="A213">
        <v>3209</v>
      </c>
      <c r="B213" t="s">
        <v>415</v>
      </c>
      <c r="C213" t="str">
        <f>_xlfn.CONCAT(Merge[[#This Row],[Customer First Name]]," ",Merge[[#This Row],[Customer Last Name]])</f>
        <v>Gabriel Blankenship</v>
      </c>
      <c r="D213" t="s">
        <v>416</v>
      </c>
      <c r="E213">
        <v>1442</v>
      </c>
      <c r="F213" t="s">
        <v>37</v>
      </c>
      <c r="G213" s="1">
        <v>45357</v>
      </c>
      <c r="H213">
        <v>3</v>
      </c>
      <c r="I213" t="s">
        <v>32</v>
      </c>
      <c r="J213" t="s">
        <v>47</v>
      </c>
      <c r="K213">
        <v>0.3</v>
      </c>
      <c r="L213">
        <v>228.29999999999998</v>
      </c>
      <c r="M213">
        <v>761</v>
      </c>
      <c r="N213">
        <v>532.70000000000005</v>
      </c>
      <c r="O213" t="s">
        <v>114</v>
      </c>
      <c r="P213">
        <v>1442</v>
      </c>
      <c r="Q213" t="s">
        <v>37</v>
      </c>
      <c r="R213" s="1">
        <v>45357</v>
      </c>
      <c r="S213">
        <v>2</v>
      </c>
      <c r="T213" t="s">
        <v>32</v>
      </c>
      <c r="U213" t="s">
        <v>47</v>
      </c>
      <c r="V213" t="s">
        <v>1672</v>
      </c>
      <c r="W213" t="s">
        <v>1275</v>
      </c>
      <c r="X213">
        <v>3000</v>
      </c>
      <c r="Y213">
        <v>800</v>
      </c>
      <c r="Z213">
        <v>1600</v>
      </c>
      <c r="AA213" t="s">
        <v>1673</v>
      </c>
    </row>
    <row r="214" spans="1:27" x14ac:dyDescent="0.2">
      <c r="A214">
        <v>3210</v>
      </c>
      <c r="B214" t="s">
        <v>417</v>
      </c>
      <c r="C214" t="str">
        <f>_xlfn.CONCAT(Merge[[#This Row],[Customer First Name]]," ",Merge[[#This Row],[Customer Last Name]])</f>
        <v>Julia Cunningham</v>
      </c>
      <c r="D214" t="s">
        <v>418</v>
      </c>
      <c r="E214">
        <v>1443</v>
      </c>
      <c r="F214" t="s">
        <v>76</v>
      </c>
      <c r="G214" s="1">
        <v>45356</v>
      </c>
      <c r="H214">
        <v>2</v>
      </c>
      <c r="I214" t="s">
        <v>32</v>
      </c>
      <c r="J214" t="s">
        <v>33</v>
      </c>
      <c r="K214">
        <v>0.25</v>
      </c>
      <c r="L214">
        <v>116.5</v>
      </c>
      <c r="M214">
        <v>466</v>
      </c>
      <c r="N214">
        <v>349.5</v>
      </c>
      <c r="O214" t="s">
        <v>48</v>
      </c>
      <c r="P214">
        <v>1443</v>
      </c>
      <c r="Q214" t="s">
        <v>76</v>
      </c>
      <c r="R214" s="1">
        <v>45356</v>
      </c>
      <c r="S214">
        <v>3</v>
      </c>
      <c r="T214" t="s">
        <v>32</v>
      </c>
      <c r="U214" t="s">
        <v>33</v>
      </c>
      <c r="V214" t="s">
        <v>1674</v>
      </c>
      <c r="W214" t="s">
        <v>1238</v>
      </c>
      <c r="X214">
        <v>6725</v>
      </c>
      <c r="Y214">
        <v>1200</v>
      </c>
      <c r="Z214">
        <v>3600</v>
      </c>
      <c r="AA214" t="s">
        <v>1675</v>
      </c>
    </row>
    <row r="215" spans="1:27" x14ac:dyDescent="0.2">
      <c r="A215">
        <v>3211</v>
      </c>
      <c r="B215" t="s">
        <v>419</v>
      </c>
      <c r="C215" t="str">
        <f>_xlfn.CONCAT(Merge[[#This Row],[Customer First Name]]," ",Merge[[#This Row],[Customer Last Name]])</f>
        <v>Callen Cantu</v>
      </c>
      <c r="D215" t="s">
        <v>210</v>
      </c>
      <c r="E215">
        <v>1444</v>
      </c>
      <c r="F215" t="s">
        <v>42</v>
      </c>
      <c r="G215" s="1">
        <v>45553</v>
      </c>
      <c r="H215">
        <v>2</v>
      </c>
      <c r="I215" t="s">
        <v>32</v>
      </c>
      <c r="J215" t="s">
        <v>33</v>
      </c>
      <c r="K215">
        <v>0.25</v>
      </c>
      <c r="L215">
        <v>79.75</v>
      </c>
      <c r="M215">
        <v>319</v>
      </c>
      <c r="N215">
        <v>239.25</v>
      </c>
      <c r="O215" t="s">
        <v>54</v>
      </c>
      <c r="P215">
        <v>1444</v>
      </c>
      <c r="Q215" t="s">
        <v>42</v>
      </c>
      <c r="R215" s="1">
        <v>45553</v>
      </c>
      <c r="S215">
        <v>2</v>
      </c>
      <c r="T215" t="s">
        <v>32</v>
      </c>
      <c r="U215" t="s">
        <v>33</v>
      </c>
      <c r="V215" t="s">
        <v>1676</v>
      </c>
      <c r="W215" t="s">
        <v>1238</v>
      </c>
      <c r="X215">
        <v>6725</v>
      </c>
      <c r="Y215">
        <v>300</v>
      </c>
      <c r="Z215">
        <v>600</v>
      </c>
      <c r="AA215" t="s">
        <v>1677</v>
      </c>
    </row>
    <row r="216" spans="1:27" x14ac:dyDescent="0.2">
      <c r="A216">
        <v>3212</v>
      </c>
      <c r="B216" t="s">
        <v>420</v>
      </c>
      <c r="C216" t="str">
        <f>_xlfn.CONCAT(Merge[[#This Row],[Customer First Name]]," ",Merge[[#This Row],[Customer Last Name]])</f>
        <v>Nylah Stewart</v>
      </c>
      <c r="D216" t="s">
        <v>421</v>
      </c>
      <c r="E216">
        <v>1445</v>
      </c>
      <c r="F216" t="s">
        <v>92</v>
      </c>
      <c r="G216" s="1">
        <v>45540</v>
      </c>
      <c r="H216">
        <v>3</v>
      </c>
      <c r="I216" t="s">
        <v>52</v>
      </c>
      <c r="J216" t="s">
        <v>81</v>
      </c>
      <c r="K216">
        <v>0.3</v>
      </c>
      <c r="L216">
        <v>17.099999999999998</v>
      </c>
      <c r="M216">
        <v>57</v>
      </c>
      <c r="N216">
        <v>39.900000000000006</v>
      </c>
      <c r="O216" t="s">
        <v>34</v>
      </c>
      <c r="P216">
        <v>1445</v>
      </c>
      <c r="Q216" t="s">
        <v>92</v>
      </c>
      <c r="R216" s="1">
        <v>45540</v>
      </c>
      <c r="S216">
        <v>3</v>
      </c>
      <c r="T216" t="s">
        <v>52</v>
      </c>
      <c r="U216" t="s">
        <v>81</v>
      </c>
      <c r="V216" t="s">
        <v>1678</v>
      </c>
      <c r="W216" t="s">
        <v>1361</v>
      </c>
      <c r="X216">
        <v>870</v>
      </c>
      <c r="Y216">
        <v>600</v>
      </c>
      <c r="Z216">
        <v>1800</v>
      </c>
      <c r="AA216" t="s">
        <v>1679</v>
      </c>
    </row>
    <row r="217" spans="1:27" x14ac:dyDescent="0.2">
      <c r="A217">
        <v>3213</v>
      </c>
      <c r="B217" t="s">
        <v>422</v>
      </c>
      <c r="C217" t="str">
        <f>_xlfn.CONCAT(Merge[[#This Row],[Customer First Name]]," ",Merge[[#This Row],[Customer Last Name]])</f>
        <v>Paul Rich</v>
      </c>
      <c r="D217" t="s">
        <v>423</v>
      </c>
      <c r="E217">
        <v>1446</v>
      </c>
      <c r="F217" t="s">
        <v>37</v>
      </c>
      <c r="G217" s="1">
        <v>45364</v>
      </c>
      <c r="H217">
        <v>3</v>
      </c>
      <c r="I217" t="s">
        <v>32</v>
      </c>
      <c r="J217" t="s">
        <v>57</v>
      </c>
      <c r="K217">
        <v>0.3</v>
      </c>
      <c r="L217">
        <v>451.5</v>
      </c>
      <c r="M217">
        <v>1505</v>
      </c>
      <c r="N217">
        <v>1053.5</v>
      </c>
      <c r="O217" t="s">
        <v>54</v>
      </c>
      <c r="P217">
        <v>1446</v>
      </c>
      <c r="Q217" t="s">
        <v>37</v>
      </c>
      <c r="R217" s="1">
        <v>45364</v>
      </c>
      <c r="S217">
        <v>1</v>
      </c>
      <c r="T217" t="s">
        <v>32</v>
      </c>
      <c r="U217" t="s">
        <v>57</v>
      </c>
      <c r="V217" t="s">
        <v>1680</v>
      </c>
      <c r="W217" t="s">
        <v>1095</v>
      </c>
      <c r="X217">
        <v>5000</v>
      </c>
      <c r="Y217">
        <v>800</v>
      </c>
      <c r="Z217">
        <v>800</v>
      </c>
      <c r="AA217" t="s">
        <v>1681</v>
      </c>
    </row>
    <row r="218" spans="1:27" x14ac:dyDescent="0.2">
      <c r="A218">
        <v>3214</v>
      </c>
      <c r="B218" t="s">
        <v>424</v>
      </c>
      <c r="C218" t="str">
        <f>_xlfn.CONCAT(Merge[[#This Row],[Customer First Name]]," ",Merge[[#This Row],[Customer Last Name]])</f>
        <v>Marco Monroe</v>
      </c>
      <c r="D218" t="s">
        <v>425</v>
      </c>
      <c r="E218">
        <v>1447</v>
      </c>
      <c r="F218" t="s">
        <v>51</v>
      </c>
      <c r="G218" s="1">
        <v>45520</v>
      </c>
      <c r="H218">
        <v>3</v>
      </c>
      <c r="I218" t="s">
        <v>32</v>
      </c>
      <c r="J218" t="s">
        <v>53</v>
      </c>
      <c r="K218">
        <v>0.2</v>
      </c>
      <c r="L218">
        <v>147.80000000000001</v>
      </c>
      <c r="M218">
        <v>739</v>
      </c>
      <c r="N218">
        <v>591.20000000000005</v>
      </c>
      <c r="O218" t="s">
        <v>114</v>
      </c>
      <c r="P218">
        <v>1447</v>
      </c>
      <c r="Q218" t="s">
        <v>51</v>
      </c>
      <c r="R218" s="1">
        <v>45520</v>
      </c>
      <c r="S218">
        <v>2</v>
      </c>
      <c r="T218" t="s">
        <v>32</v>
      </c>
      <c r="U218" t="s">
        <v>53</v>
      </c>
      <c r="V218" t="s">
        <v>1682</v>
      </c>
      <c r="W218" t="s">
        <v>1305</v>
      </c>
      <c r="X218">
        <v>4000</v>
      </c>
      <c r="Y218">
        <v>250</v>
      </c>
      <c r="Z218">
        <v>500</v>
      </c>
      <c r="AA218" t="s">
        <v>1683</v>
      </c>
    </row>
    <row r="219" spans="1:27" x14ac:dyDescent="0.2">
      <c r="A219">
        <v>3215</v>
      </c>
      <c r="B219" t="s">
        <v>426</v>
      </c>
      <c r="C219" t="str">
        <f>_xlfn.CONCAT(Merge[[#This Row],[Customer First Name]]," ",Merge[[#This Row],[Customer Last Name]])</f>
        <v>Diego Cherry</v>
      </c>
      <c r="D219" t="s">
        <v>427</v>
      </c>
      <c r="E219">
        <v>1448</v>
      </c>
      <c r="F219" t="s">
        <v>42</v>
      </c>
      <c r="G219" s="1">
        <v>45510</v>
      </c>
      <c r="H219">
        <v>3</v>
      </c>
      <c r="I219" t="s">
        <v>52</v>
      </c>
      <c r="J219" t="s">
        <v>47</v>
      </c>
      <c r="K219">
        <v>0.25</v>
      </c>
      <c r="L219">
        <v>443</v>
      </c>
      <c r="M219">
        <v>1772</v>
      </c>
      <c r="N219">
        <v>1329</v>
      </c>
      <c r="O219" t="s">
        <v>44</v>
      </c>
      <c r="P219">
        <v>1448</v>
      </c>
      <c r="Q219" t="s">
        <v>42</v>
      </c>
      <c r="R219" s="1">
        <v>45510</v>
      </c>
      <c r="S219">
        <v>2</v>
      </c>
      <c r="T219" t="s">
        <v>52</v>
      </c>
      <c r="U219" t="s">
        <v>47</v>
      </c>
      <c r="V219" t="s">
        <v>1684</v>
      </c>
      <c r="W219" t="s">
        <v>1247</v>
      </c>
      <c r="X219">
        <v>3350</v>
      </c>
      <c r="Y219">
        <v>300</v>
      </c>
      <c r="Z219">
        <v>600</v>
      </c>
      <c r="AA219" t="s">
        <v>1685</v>
      </c>
    </row>
    <row r="220" spans="1:27" x14ac:dyDescent="0.2">
      <c r="A220">
        <v>3216</v>
      </c>
      <c r="B220" t="s">
        <v>428</v>
      </c>
      <c r="C220" t="str">
        <f>_xlfn.CONCAT(Merge[[#This Row],[Customer First Name]]," ",Merge[[#This Row],[Customer Last Name]])</f>
        <v>Ailani Mitchell</v>
      </c>
      <c r="D220" t="s">
        <v>429</v>
      </c>
      <c r="E220">
        <v>1449</v>
      </c>
      <c r="F220" t="s">
        <v>76</v>
      </c>
      <c r="G220" s="1">
        <v>45560</v>
      </c>
      <c r="H220">
        <v>1</v>
      </c>
      <c r="I220" t="s">
        <v>52</v>
      </c>
      <c r="J220" t="s">
        <v>81</v>
      </c>
      <c r="K220">
        <v>0.25</v>
      </c>
      <c r="L220">
        <v>83.75</v>
      </c>
      <c r="M220">
        <v>335</v>
      </c>
      <c r="N220">
        <v>251.25</v>
      </c>
      <c r="O220" t="s">
        <v>34</v>
      </c>
      <c r="P220">
        <v>1449</v>
      </c>
      <c r="Q220" t="s">
        <v>76</v>
      </c>
      <c r="R220" s="1">
        <v>45560</v>
      </c>
      <c r="S220">
        <v>3</v>
      </c>
      <c r="T220" t="s">
        <v>52</v>
      </c>
      <c r="U220" t="s">
        <v>81</v>
      </c>
      <c r="V220" t="s">
        <v>1686</v>
      </c>
      <c r="W220" t="s">
        <v>1361</v>
      </c>
      <c r="X220">
        <v>870</v>
      </c>
      <c r="Y220">
        <v>1200</v>
      </c>
      <c r="Z220">
        <v>3600</v>
      </c>
      <c r="AA220" t="s">
        <v>1687</v>
      </c>
    </row>
    <row r="221" spans="1:27" x14ac:dyDescent="0.2">
      <c r="A221">
        <v>3217</v>
      </c>
      <c r="B221" t="s">
        <v>430</v>
      </c>
      <c r="C221" t="str">
        <f>_xlfn.CONCAT(Merge[[#This Row],[Customer First Name]]," ",Merge[[#This Row],[Customer Last Name]])</f>
        <v>Amira Dunlap</v>
      </c>
      <c r="D221" t="s">
        <v>252</v>
      </c>
      <c r="E221">
        <v>1450</v>
      </c>
      <c r="F221" t="s">
        <v>76</v>
      </c>
      <c r="G221" s="1">
        <v>45611</v>
      </c>
      <c r="H221">
        <v>2</v>
      </c>
      <c r="I221" t="s">
        <v>38</v>
      </c>
      <c r="J221" t="s">
        <v>81</v>
      </c>
      <c r="K221">
        <v>0.25</v>
      </c>
      <c r="L221">
        <v>407</v>
      </c>
      <c r="M221">
        <v>1628</v>
      </c>
      <c r="N221">
        <v>1221</v>
      </c>
      <c r="O221" t="s">
        <v>48</v>
      </c>
      <c r="P221">
        <v>1450</v>
      </c>
      <c r="Q221" t="s">
        <v>76</v>
      </c>
      <c r="R221" s="1">
        <v>45611</v>
      </c>
      <c r="S221">
        <v>1</v>
      </c>
      <c r="T221" t="s">
        <v>38</v>
      </c>
      <c r="U221" t="s">
        <v>81</v>
      </c>
      <c r="V221" t="s">
        <v>1688</v>
      </c>
      <c r="W221" t="s">
        <v>1280</v>
      </c>
      <c r="X221">
        <v>800</v>
      </c>
      <c r="Y221">
        <v>1200</v>
      </c>
      <c r="Z221">
        <v>1200</v>
      </c>
      <c r="AA221" t="s">
        <v>1689</v>
      </c>
    </row>
    <row r="222" spans="1:27" x14ac:dyDescent="0.2">
      <c r="A222">
        <v>3218</v>
      </c>
      <c r="B222" t="s">
        <v>334</v>
      </c>
      <c r="C222" t="str">
        <f>_xlfn.CONCAT(Merge[[#This Row],[Customer First Name]]," ",Merge[[#This Row],[Customer Last Name]])</f>
        <v>Alaina Thornton</v>
      </c>
      <c r="D222" t="s">
        <v>431</v>
      </c>
      <c r="E222">
        <v>1451</v>
      </c>
      <c r="F222" t="s">
        <v>76</v>
      </c>
      <c r="G222" s="1">
        <v>45554</v>
      </c>
      <c r="H222">
        <v>2</v>
      </c>
      <c r="I222" t="s">
        <v>52</v>
      </c>
      <c r="J222" t="s">
        <v>57</v>
      </c>
      <c r="K222">
        <v>0.25</v>
      </c>
      <c r="L222">
        <v>404.5</v>
      </c>
      <c r="M222">
        <v>1618</v>
      </c>
      <c r="N222">
        <v>1213.5</v>
      </c>
      <c r="O222" t="s">
        <v>44</v>
      </c>
      <c r="P222">
        <v>1451</v>
      </c>
      <c r="Q222" t="s">
        <v>76</v>
      </c>
      <c r="R222" s="1">
        <v>45554</v>
      </c>
      <c r="S222">
        <v>3</v>
      </c>
      <c r="T222" t="s">
        <v>52</v>
      </c>
      <c r="U222" t="s">
        <v>57</v>
      </c>
      <c r="V222" t="s">
        <v>1690</v>
      </c>
      <c r="W222" t="s">
        <v>1253</v>
      </c>
      <c r="X222">
        <v>5290</v>
      </c>
      <c r="Y222">
        <v>1200</v>
      </c>
      <c r="Z222">
        <v>3600</v>
      </c>
      <c r="AA222" t="s">
        <v>1691</v>
      </c>
    </row>
    <row r="223" spans="1:27" x14ac:dyDescent="0.2">
      <c r="A223">
        <v>3219</v>
      </c>
      <c r="B223" t="s">
        <v>432</v>
      </c>
      <c r="C223" t="str">
        <f>_xlfn.CONCAT(Merge[[#This Row],[Customer First Name]]," ",Merge[[#This Row],[Customer Last Name]])</f>
        <v>King Baker</v>
      </c>
      <c r="D223" t="s">
        <v>433</v>
      </c>
      <c r="E223">
        <v>1452</v>
      </c>
      <c r="F223" t="s">
        <v>42</v>
      </c>
      <c r="G223" s="1">
        <v>45631</v>
      </c>
      <c r="H223">
        <v>1</v>
      </c>
      <c r="I223" t="s">
        <v>32</v>
      </c>
      <c r="J223" t="s">
        <v>47</v>
      </c>
      <c r="K223">
        <v>0.25</v>
      </c>
      <c r="L223">
        <v>420.75</v>
      </c>
      <c r="M223">
        <v>1683</v>
      </c>
      <c r="N223">
        <v>1262.25</v>
      </c>
      <c r="O223" t="s">
        <v>54</v>
      </c>
      <c r="P223">
        <v>1452</v>
      </c>
      <c r="Q223" t="s">
        <v>42</v>
      </c>
      <c r="R223" s="1">
        <v>45631</v>
      </c>
      <c r="S223">
        <v>2</v>
      </c>
      <c r="T223" t="s">
        <v>32</v>
      </c>
      <c r="U223" t="s">
        <v>47</v>
      </c>
      <c r="V223" t="s">
        <v>1692</v>
      </c>
      <c r="W223" t="s">
        <v>1247</v>
      </c>
      <c r="X223">
        <v>3350</v>
      </c>
      <c r="Y223">
        <v>300</v>
      </c>
      <c r="Z223">
        <v>600</v>
      </c>
      <c r="AA223" t="s">
        <v>1693</v>
      </c>
    </row>
    <row r="224" spans="1:27" x14ac:dyDescent="0.2">
      <c r="A224">
        <v>3220</v>
      </c>
      <c r="B224" t="s">
        <v>434</v>
      </c>
      <c r="C224" t="str">
        <f>_xlfn.CONCAT(Merge[[#This Row],[Customer First Name]]," ",Merge[[#This Row],[Customer Last Name]])</f>
        <v>Dante Sierra</v>
      </c>
      <c r="D224" t="s">
        <v>435</v>
      </c>
      <c r="E224">
        <v>1453</v>
      </c>
      <c r="F224" t="s">
        <v>76</v>
      </c>
      <c r="G224" s="1">
        <v>45410</v>
      </c>
      <c r="H224">
        <v>2</v>
      </c>
      <c r="I224" t="s">
        <v>52</v>
      </c>
      <c r="J224" t="s">
        <v>64</v>
      </c>
      <c r="K224">
        <v>0.25</v>
      </c>
      <c r="L224">
        <v>396.5</v>
      </c>
      <c r="M224">
        <v>1586</v>
      </c>
      <c r="N224">
        <v>1189.5</v>
      </c>
      <c r="O224" t="s">
        <v>54</v>
      </c>
      <c r="P224">
        <v>1453</v>
      </c>
      <c r="Q224" t="s">
        <v>76</v>
      </c>
      <c r="R224" s="1">
        <v>45410</v>
      </c>
      <c r="S224">
        <v>2</v>
      </c>
      <c r="T224" t="s">
        <v>52</v>
      </c>
      <c r="U224" t="s">
        <v>64</v>
      </c>
      <c r="V224" t="s">
        <v>1694</v>
      </c>
      <c r="W224" t="s">
        <v>1265</v>
      </c>
      <c r="X224">
        <v>7000</v>
      </c>
      <c r="Y224">
        <v>1200</v>
      </c>
      <c r="Z224">
        <v>2400</v>
      </c>
      <c r="AA224" t="s">
        <v>1695</v>
      </c>
    </row>
    <row r="225" spans="1:27" x14ac:dyDescent="0.2">
      <c r="A225">
        <v>3221</v>
      </c>
      <c r="B225" t="s">
        <v>436</v>
      </c>
      <c r="C225" t="str">
        <f>_xlfn.CONCAT(Merge[[#This Row],[Customer First Name]]," ",Merge[[#This Row],[Customer Last Name]])</f>
        <v>Kashton Griffith</v>
      </c>
      <c r="D225" t="s">
        <v>437</v>
      </c>
      <c r="E225">
        <v>1454</v>
      </c>
      <c r="F225" t="s">
        <v>92</v>
      </c>
      <c r="G225" s="1">
        <v>45599</v>
      </c>
      <c r="H225">
        <v>1</v>
      </c>
      <c r="I225" t="s">
        <v>38</v>
      </c>
      <c r="J225" t="s">
        <v>57</v>
      </c>
      <c r="K225">
        <v>0.3</v>
      </c>
      <c r="L225">
        <v>26.099999999999998</v>
      </c>
      <c r="M225">
        <v>87</v>
      </c>
      <c r="N225">
        <v>60.900000000000006</v>
      </c>
      <c r="O225" t="s">
        <v>114</v>
      </c>
      <c r="P225">
        <v>1454</v>
      </c>
      <c r="Q225" t="s">
        <v>92</v>
      </c>
      <c r="R225" s="1">
        <v>45599</v>
      </c>
      <c r="S225">
        <v>1</v>
      </c>
      <c r="T225" t="s">
        <v>38</v>
      </c>
      <c r="U225" t="s">
        <v>57</v>
      </c>
      <c r="V225" t="s">
        <v>1696</v>
      </c>
      <c r="W225" t="s">
        <v>1350</v>
      </c>
      <c r="X225">
        <v>5600</v>
      </c>
      <c r="Y225">
        <v>600</v>
      </c>
      <c r="Z225">
        <v>600</v>
      </c>
      <c r="AA225" t="s">
        <v>1697</v>
      </c>
    </row>
    <row r="226" spans="1:27" x14ac:dyDescent="0.2">
      <c r="A226">
        <v>3222</v>
      </c>
      <c r="B226" t="s">
        <v>105</v>
      </c>
      <c r="C226" t="str">
        <f>_xlfn.CONCAT(Merge[[#This Row],[Customer First Name]]," ",Merge[[#This Row],[Customer Last Name]])</f>
        <v>Madison James</v>
      </c>
      <c r="D226" t="s">
        <v>438</v>
      </c>
      <c r="E226">
        <v>1455</v>
      </c>
      <c r="F226" t="s">
        <v>51</v>
      </c>
      <c r="G226" s="1">
        <v>45524</v>
      </c>
      <c r="H226">
        <v>2</v>
      </c>
      <c r="I226" t="s">
        <v>32</v>
      </c>
      <c r="J226" t="s">
        <v>43</v>
      </c>
      <c r="K226">
        <v>0.2</v>
      </c>
      <c r="L226">
        <v>291.60000000000002</v>
      </c>
      <c r="M226">
        <v>1458</v>
      </c>
      <c r="N226">
        <v>1166.4000000000001</v>
      </c>
      <c r="O226" t="s">
        <v>34</v>
      </c>
      <c r="P226">
        <v>1455</v>
      </c>
      <c r="Q226" t="s">
        <v>51</v>
      </c>
      <c r="R226" s="1">
        <v>45524</v>
      </c>
      <c r="S226">
        <v>2</v>
      </c>
      <c r="T226" t="s">
        <v>32</v>
      </c>
      <c r="U226" t="s">
        <v>43</v>
      </c>
      <c r="V226" t="s">
        <v>1698</v>
      </c>
      <c r="W226" t="s">
        <v>865</v>
      </c>
      <c r="X226">
        <v>2000</v>
      </c>
      <c r="Y226">
        <v>250</v>
      </c>
      <c r="Z226">
        <v>500</v>
      </c>
      <c r="AA226" t="s">
        <v>1699</v>
      </c>
    </row>
    <row r="227" spans="1:27" x14ac:dyDescent="0.2">
      <c r="A227">
        <v>3223</v>
      </c>
      <c r="B227" t="s">
        <v>439</v>
      </c>
      <c r="C227" t="str">
        <f>_xlfn.CONCAT(Merge[[#This Row],[Customer First Name]]," ",Merge[[#This Row],[Customer Last Name]])</f>
        <v>Lewis Miles</v>
      </c>
      <c r="D227" t="s">
        <v>30</v>
      </c>
      <c r="E227">
        <v>1456</v>
      </c>
      <c r="F227" t="s">
        <v>51</v>
      </c>
      <c r="G227" s="1">
        <v>45333</v>
      </c>
      <c r="H227">
        <v>1</v>
      </c>
      <c r="I227" t="s">
        <v>38</v>
      </c>
      <c r="J227" t="s">
        <v>57</v>
      </c>
      <c r="K227">
        <v>0.2</v>
      </c>
      <c r="L227">
        <v>296.40000000000003</v>
      </c>
      <c r="M227">
        <v>1482</v>
      </c>
      <c r="N227">
        <v>1185.5999999999999</v>
      </c>
      <c r="O227" t="s">
        <v>34</v>
      </c>
      <c r="P227">
        <v>1456</v>
      </c>
      <c r="Q227" t="s">
        <v>51</v>
      </c>
      <c r="R227" s="1">
        <v>45333</v>
      </c>
      <c r="S227">
        <v>3</v>
      </c>
      <c r="T227" t="s">
        <v>38</v>
      </c>
      <c r="U227" t="s">
        <v>57</v>
      </c>
      <c r="V227" t="s">
        <v>1700</v>
      </c>
      <c r="W227" t="s">
        <v>1253</v>
      </c>
      <c r="X227">
        <v>5290</v>
      </c>
      <c r="Y227">
        <v>250</v>
      </c>
      <c r="Z227">
        <v>750</v>
      </c>
      <c r="AA227" t="s">
        <v>1701</v>
      </c>
    </row>
    <row r="228" spans="1:27" x14ac:dyDescent="0.2">
      <c r="A228">
        <v>3224</v>
      </c>
      <c r="B228" t="s">
        <v>440</v>
      </c>
      <c r="C228" t="str">
        <f>_xlfn.CONCAT(Merge[[#This Row],[Customer First Name]]," ",Merge[[#This Row],[Customer Last Name]])</f>
        <v>Karter Booth</v>
      </c>
      <c r="D228" t="s">
        <v>441</v>
      </c>
      <c r="E228">
        <v>1457</v>
      </c>
      <c r="F228" t="s">
        <v>76</v>
      </c>
      <c r="G228" s="1">
        <v>45469</v>
      </c>
      <c r="H228">
        <v>3</v>
      </c>
      <c r="I228" t="s">
        <v>38</v>
      </c>
      <c r="J228" t="s">
        <v>53</v>
      </c>
      <c r="K228">
        <v>0.25</v>
      </c>
      <c r="L228">
        <v>363.25</v>
      </c>
      <c r="M228">
        <v>1453</v>
      </c>
      <c r="N228">
        <v>1089.75</v>
      </c>
      <c r="O228" t="s">
        <v>114</v>
      </c>
      <c r="P228">
        <v>1457</v>
      </c>
      <c r="Q228" t="s">
        <v>76</v>
      </c>
      <c r="R228" s="1">
        <v>45469</v>
      </c>
      <c r="S228">
        <v>1</v>
      </c>
      <c r="T228" t="s">
        <v>38</v>
      </c>
      <c r="U228" t="s">
        <v>53</v>
      </c>
      <c r="V228" t="s">
        <v>1702</v>
      </c>
      <c r="W228" t="s">
        <v>1305</v>
      </c>
      <c r="X228">
        <v>4000</v>
      </c>
      <c r="Y228">
        <v>1200</v>
      </c>
      <c r="Z228">
        <v>1200</v>
      </c>
      <c r="AA228" t="s">
        <v>1703</v>
      </c>
    </row>
    <row r="229" spans="1:27" x14ac:dyDescent="0.2">
      <c r="A229">
        <v>3225</v>
      </c>
      <c r="B229" t="s">
        <v>348</v>
      </c>
      <c r="C229" t="str">
        <f>_xlfn.CONCAT(Merge[[#This Row],[Customer First Name]]," ",Merge[[#This Row],[Customer Last Name]])</f>
        <v>Fernando Jordan</v>
      </c>
      <c r="D229" t="s">
        <v>442</v>
      </c>
      <c r="E229">
        <v>1458</v>
      </c>
      <c r="F229" t="s">
        <v>76</v>
      </c>
      <c r="G229" s="1">
        <v>45476</v>
      </c>
      <c r="H229">
        <v>2</v>
      </c>
      <c r="I229" t="s">
        <v>52</v>
      </c>
      <c r="J229" t="s">
        <v>47</v>
      </c>
      <c r="K229">
        <v>0.25</v>
      </c>
      <c r="L229">
        <v>220.5</v>
      </c>
      <c r="M229">
        <v>882</v>
      </c>
      <c r="N229">
        <v>661.5</v>
      </c>
      <c r="O229" t="s">
        <v>54</v>
      </c>
      <c r="P229">
        <v>1458</v>
      </c>
      <c r="Q229" t="s">
        <v>76</v>
      </c>
      <c r="R229" s="1">
        <v>45476</v>
      </c>
      <c r="S229">
        <v>2</v>
      </c>
      <c r="T229" t="s">
        <v>52</v>
      </c>
      <c r="U229" t="s">
        <v>47</v>
      </c>
      <c r="V229" t="s">
        <v>1704</v>
      </c>
      <c r="W229" t="s">
        <v>1247</v>
      </c>
      <c r="X229">
        <v>3350</v>
      </c>
      <c r="Y229">
        <v>1200</v>
      </c>
      <c r="Z229">
        <v>2400</v>
      </c>
      <c r="AA229" t="s">
        <v>1705</v>
      </c>
    </row>
    <row r="230" spans="1:27" x14ac:dyDescent="0.2">
      <c r="A230">
        <v>3226</v>
      </c>
      <c r="B230" t="s">
        <v>432</v>
      </c>
      <c r="C230" t="str">
        <f>_xlfn.CONCAT(Merge[[#This Row],[Customer First Name]]," ",Merge[[#This Row],[Customer Last Name]])</f>
        <v>Marley Baker</v>
      </c>
      <c r="D230" t="s">
        <v>443</v>
      </c>
      <c r="E230">
        <v>1459</v>
      </c>
      <c r="F230" t="s">
        <v>37</v>
      </c>
      <c r="G230" s="1">
        <v>45414</v>
      </c>
      <c r="H230">
        <v>1</v>
      </c>
      <c r="I230" t="s">
        <v>52</v>
      </c>
      <c r="J230" t="s">
        <v>64</v>
      </c>
      <c r="K230">
        <v>0.3</v>
      </c>
      <c r="L230">
        <v>457.2</v>
      </c>
      <c r="M230">
        <v>1524</v>
      </c>
      <c r="N230">
        <v>1066.8</v>
      </c>
      <c r="O230" t="s">
        <v>34</v>
      </c>
      <c r="P230">
        <v>1459</v>
      </c>
      <c r="Q230" t="s">
        <v>37</v>
      </c>
      <c r="R230" s="1">
        <v>45414</v>
      </c>
      <c r="S230">
        <v>2</v>
      </c>
      <c r="T230" t="s">
        <v>52</v>
      </c>
      <c r="U230" t="s">
        <v>64</v>
      </c>
      <c r="V230" t="s">
        <v>1706</v>
      </c>
      <c r="W230" t="s">
        <v>1400</v>
      </c>
      <c r="X230">
        <v>7310</v>
      </c>
      <c r="Y230">
        <v>800</v>
      </c>
      <c r="Z230">
        <v>1600</v>
      </c>
      <c r="AA230" t="s">
        <v>1707</v>
      </c>
    </row>
    <row r="231" spans="1:27" x14ac:dyDescent="0.2">
      <c r="A231">
        <v>3227</v>
      </c>
      <c r="B231" t="s">
        <v>444</v>
      </c>
      <c r="C231" t="str">
        <f>_xlfn.CONCAT(Merge[[#This Row],[Customer First Name]]," ",Merge[[#This Row],[Customer Last Name]])</f>
        <v>Lukas Sanders</v>
      </c>
      <c r="D231" t="s">
        <v>445</v>
      </c>
      <c r="E231">
        <v>1460</v>
      </c>
      <c r="F231" t="s">
        <v>92</v>
      </c>
      <c r="G231" s="1">
        <v>45298</v>
      </c>
      <c r="H231">
        <v>1</v>
      </c>
      <c r="I231" t="s">
        <v>52</v>
      </c>
      <c r="J231" t="s">
        <v>53</v>
      </c>
      <c r="K231">
        <v>0.3</v>
      </c>
      <c r="L231">
        <v>290.39999999999998</v>
      </c>
      <c r="M231">
        <v>968</v>
      </c>
      <c r="N231">
        <v>677.6</v>
      </c>
      <c r="O231" t="s">
        <v>54</v>
      </c>
      <c r="P231">
        <v>1460</v>
      </c>
      <c r="Q231" t="s">
        <v>92</v>
      </c>
      <c r="R231" s="1">
        <v>45298</v>
      </c>
      <c r="S231">
        <v>1</v>
      </c>
      <c r="T231" t="s">
        <v>52</v>
      </c>
      <c r="U231" t="s">
        <v>53</v>
      </c>
      <c r="V231" t="s">
        <v>1708</v>
      </c>
      <c r="W231" t="s">
        <v>1305</v>
      </c>
      <c r="X231">
        <v>4000</v>
      </c>
      <c r="Y231">
        <v>600</v>
      </c>
      <c r="Z231">
        <v>600</v>
      </c>
      <c r="AA231" t="s">
        <v>1709</v>
      </c>
    </row>
    <row r="232" spans="1:27" x14ac:dyDescent="0.2">
      <c r="A232">
        <v>3228</v>
      </c>
      <c r="B232" t="s">
        <v>446</v>
      </c>
      <c r="C232" t="str">
        <f>_xlfn.CONCAT(Merge[[#This Row],[Customer First Name]]," ",Merge[[#This Row],[Customer Last Name]])</f>
        <v>River Orozco</v>
      </c>
      <c r="D232" t="s">
        <v>447</v>
      </c>
      <c r="E232">
        <v>1461</v>
      </c>
      <c r="F232" t="s">
        <v>51</v>
      </c>
      <c r="G232" s="1">
        <v>45391</v>
      </c>
      <c r="H232">
        <v>3</v>
      </c>
      <c r="I232" t="s">
        <v>52</v>
      </c>
      <c r="J232" t="s">
        <v>33</v>
      </c>
      <c r="K232">
        <v>0.2</v>
      </c>
      <c r="L232">
        <v>145</v>
      </c>
      <c r="M232">
        <v>725</v>
      </c>
      <c r="N232">
        <v>580</v>
      </c>
      <c r="O232" t="s">
        <v>114</v>
      </c>
      <c r="P232">
        <v>1461</v>
      </c>
      <c r="Q232" t="s">
        <v>51</v>
      </c>
      <c r="R232" s="1">
        <v>45391</v>
      </c>
      <c r="S232">
        <v>3</v>
      </c>
      <c r="T232" t="s">
        <v>52</v>
      </c>
      <c r="U232" t="s">
        <v>33</v>
      </c>
      <c r="V232" t="s">
        <v>1710</v>
      </c>
      <c r="W232" t="s">
        <v>1302</v>
      </c>
      <c r="X232">
        <v>6000</v>
      </c>
      <c r="Y232">
        <v>250</v>
      </c>
      <c r="Z232">
        <v>750</v>
      </c>
      <c r="AA232" t="s">
        <v>1711</v>
      </c>
    </row>
    <row r="233" spans="1:27" x14ac:dyDescent="0.2">
      <c r="A233">
        <v>3229</v>
      </c>
      <c r="B233" t="s">
        <v>448</v>
      </c>
      <c r="C233" t="str">
        <f>_xlfn.CONCAT(Merge[[#This Row],[Customer First Name]]," ",Merge[[#This Row],[Customer Last Name]])</f>
        <v>Mackenzie Nuñez</v>
      </c>
      <c r="D233" t="s">
        <v>449</v>
      </c>
      <c r="E233">
        <v>1462</v>
      </c>
      <c r="F233" t="s">
        <v>31</v>
      </c>
      <c r="G233" s="1">
        <v>45330</v>
      </c>
      <c r="H233">
        <v>2</v>
      </c>
      <c r="I233" t="s">
        <v>32</v>
      </c>
      <c r="J233" t="s">
        <v>57</v>
      </c>
      <c r="K233">
        <v>0.1</v>
      </c>
      <c r="L233">
        <v>138.4</v>
      </c>
      <c r="M233">
        <v>1384</v>
      </c>
      <c r="N233">
        <v>1245.5999999999999</v>
      </c>
      <c r="O233" t="s">
        <v>44</v>
      </c>
      <c r="P233">
        <v>1462</v>
      </c>
      <c r="Q233" t="s">
        <v>31</v>
      </c>
      <c r="R233" s="1">
        <v>45330</v>
      </c>
      <c r="S233">
        <v>3</v>
      </c>
      <c r="T233" t="s">
        <v>32</v>
      </c>
      <c r="U233" t="s">
        <v>57</v>
      </c>
      <c r="V233" t="s">
        <v>1712</v>
      </c>
      <c r="W233" t="s">
        <v>1350</v>
      </c>
      <c r="X233">
        <v>5600</v>
      </c>
      <c r="Y233">
        <v>250</v>
      </c>
      <c r="Z233">
        <v>750</v>
      </c>
      <c r="AA233" t="s">
        <v>1713</v>
      </c>
    </row>
    <row r="234" spans="1:27" x14ac:dyDescent="0.2">
      <c r="A234">
        <v>3230</v>
      </c>
      <c r="B234" t="s">
        <v>450</v>
      </c>
      <c r="C234" t="str">
        <f>_xlfn.CONCAT(Merge[[#This Row],[Customer First Name]]," ",Merge[[#This Row],[Customer Last Name]])</f>
        <v>Stevie Dixon</v>
      </c>
      <c r="D234" t="s">
        <v>451</v>
      </c>
      <c r="E234">
        <v>1463</v>
      </c>
      <c r="F234" t="s">
        <v>37</v>
      </c>
      <c r="G234" s="1">
        <v>45481</v>
      </c>
      <c r="H234">
        <v>3</v>
      </c>
      <c r="I234" t="s">
        <v>32</v>
      </c>
      <c r="J234" t="s">
        <v>47</v>
      </c>
      <c r="K234">
        <v>0.3</v>
      </c>
      <c r="L234">
        <v>139.79999999999998</v>
      </c>
      <c r="M234">
        <v>466</v>
      </c>
      <c r="N234">
        <v>326.20000000000005</v>
      </c>
      <c r="O234" t="s">
        <v>48</v>
      </c>
      <c r="P234">
        <v>1463</v>
      </c>
      <c r="Q234" t="s">
        <v>37</v>
      </c>
      <c r="R234" s="1">
        <v>45481</v>
      </c>
      <c r="S234">
        <v>2</v>
      </c>
      <c r="T234" t="s">
        <v>32</v>
      </c>
      <c r="U234" t="s">
        <v>47</v>
      </c>
      <c r="V234" t="s">
        <v>1714</v>
      </c>
      <c r="W234" t="s">
        <v>1247</v>
      </c>
      <c r="X234">
        <v>3350</v>
      </c>
      <c r="Y234">
        <v>800</v>
      </c>
      <c r="Z234">
        <v>1600</v>
      </c>
      <c r="AA234" t="s">
        <v>1715</v>
      </c>
    </row>
    <row r="235" spans="1:27" x14ac:dyDescent="0.2">
      <c r="A235">
        <v>3231</v>
      </c>
      <c r="B235" t="s">
        <v>318</v>
      </c>
      <c r="C235" t="str">
        <f>_xlfn.CONCAT(Merge[[#This Row],[Customer First Name]]," ",Merge[[#This Row],[Customer Last Name]])</f>
        <v>Rosemary Spencer</v>
      </c>
      <c r="D235" t="s">
        <v>452</v>
      </c>
      <c r="E235">
        <v>1464</v>
      </c>
      <c r="F235" t="s">
        <v>42</v>
      </c>
      <c r="G235" s="1">
        <v>45554</v>
      </c>
      <c r="H235">
        <v>3</v>
      </c>
      <c r="I235" t="s">
        <v>52</v>
      </c>
      <c r="J235" t="s">
        <v>39</v>
      </c>
      <c r="K235">
        <v>0.25</v>
      </c>
      <c r="L235">
        <v>56.75</v>
      </c>
      <c r="M235">
        <v>227</v>
      </c>
      <c r="N235">
        <v>170.25</v>
      </c>
      <c r="O235" t="s">
        <v>114</v>
      </c>
      <c r="P235">
        <v>1464</v>
      </c>
      <c r="Q235" t="s">
        <v>42</v>
      </c>
      <c r="R235" s="1">
        <v>45554</v>
      </c>
      <c r="S235">
        <v>3</v>
      </c>
      <c r="T235" t="s">
        <v>52</v>
      </c>
      <c r="U235" t="s">
        <v>39</v>
      </c>
      <c r="V235" t="s">
        <v>1716</v>
      </c>
      <c r="W235" t="s">
        <v>1241</v>
      </c>
      <c r="X235">
        <v>2600</v>
      </c>
      <c r="Y235">
        <v>300</v>
      </c>
      <c r="Z235">
        <v>900</v>
      </c>
      <c r="AA235" t="s">
        <v>1717</v>
      </c>
    </row>
    <row r="236" spans="1:27" x14ac:dyDescent="0.2">
      <c r="A236">
        <v>3232</v>
      </c>
      <c r="B236" t="s">
        <v>453</v>
      </c>
      <c r="C236" t="str">
        <f>_xlfn.CONCAT(Merge[[#This Row],[Customer First Name]]," ",Merge[[#This Row],[Customer Last Name]])</f>
        <v>Zayn Ellison</v>
      </c>
      <c r="D236" t="s">
        <v>378</v>
      </c>
      <c r="E236">
        <v>1465</v>
      </c>
      <c r="F236" t="s">
        <v>76</v>
      </c>
      <c r="G236" s="1">
        <v>45541</v>
      </c>
      <c r="H236">
        <v>1</v>
      </c>
      <c r="I236" t="s">
        <v>52</v>
      </c>
      <c r="J236" t="s">
        <v>64</v>
      </c>
      <c r="K236">
        <v>0.25</v>
      </c>
      <c r="L236">
        <v>296.75</v>
      </c>
      <c r="M236">
        <v>1187</v>
      </c>
      <c r="N236">
        <v>890.25</v>
      </c>
      <c r="O236" t="s">
        <v>44</v>
      </c>
      <c r="P236">
        <v>1465</v>
      </c>
      <c r="Q236" t="s">
        <v>76</v>
      </c>
      <c r="R236" s="1">
        <v>45541</v>
      </c>
      <c r="S236">
        <v>2</v>
      </c>
      <c r="T236" t="s">
        <v>52</v>
      </c>
      <c r="U236" t="s">
        <v>64</v>
      </c>
      <c r="V236" t="s">
        <v>1718</v>
      </c>
      <c r="W236" t="s">
        <v>1400</v>
      </c>
      <c r="X236">
        <v>7310</v>
      </c>
      <c r="Y236">
        <v>1200</v>
      </c>
      <c r="Z236">
        <v>2400</v>
      </c>
      <c r="AA236" t="s">
        <v>1719</v>
      </c>
    </row>
    <row r="237" spans="1:27" x14ac:dyDescent="0.2">
      <c r="A237">
        <v>3233</v>
      </c>
      <c r="B237" t="s">
        <v>454</v>
      </c>
      <c r="C237" t="str">
        <f>_xlfn.CONCAT(Merge[[#This Row],[Customer First Name]]," ",Merge[[#This Row],[Customer Last Name]])</f>
        <v>Kobe Santiago</v>
      </c>
      <c r="D237" t="s">
        <v>405</v>
      </c>
      <c r="E237">
        <v>1466</v>
      </c>
      <c r="F237" t="s">
        <v>31</v>
      </c>
      <c r="G237" s="1">
        <v>45599</v>
      </c>
      <c r="H237">
        <v>2</v>
      </c>
      <c r="I237" t="s">
        <v>32</v>
      </c>
      <c r="J237" t="s">
        <v>39</v>
      </c>
      <c r="K237">
        <v>0.1</v>
      </c>
      <c r="L237">
        <v>54.300000000000004</v>
      </c>
      <c r="M237">
        <v>543</v>
      </c>
      <c r="N237">
        <v>488.7</v>
      </c>
      <c r="O237" t="s">
        <v>48</v>
      </c>
      <c r="P237">
        <v>1466</v>
      </c>
      <c r="Q237" t="s">
        <v>31</v>
      </c>
      <c r="R237" s="1">
        <v>45599</v>
      </c>
      <c r="S237">
        <v>3</v>
      </c>
      <c r="T237" t="s">
        <v>32</v>
      </c>
      <c r="U237" t="s">
        <v>39</v>
      </c>
      <c r="V237" t="s">
        <v>1720</v>
      </c>
      <c r="W237" t="s">
        <v>1241</v>
      </c>
      <c r="X237">
        <v>2600</v>
      </c>
      <c r="Y237">
        <v>250</v>
      </c>
      <c r="Z237">
        <v>750</v>
      </c>
      <c r="AA237" t="s">
        <v>1721</v>
      </c>
    </row>
    <row r="238" spans="1:27" x14ac:dyDescent="0.2">
      <c r="A238">
        <v>3234</v>
      </c>
      <c r="B238" t="s">
        <v>455</v>
      </c>
      <c r="C238" t="str">
        <f>_xlfn.CONCAT(Merge[[#This Row],[Customer First Name]]," ",Merge[[#This Row],[Customer Last Name]])</f>
        <v>Cataleya Bean</v>
      </c>
      <c r="D238" t="s">
        <v>456</v>
      </c>
      <c r="E238">
        <v>1467</v>
      </c>
      <c r="F238" t="s">
        <v>31</v>
      </c>
      <c r="G238" s="1">
        <v>45338</v>
      </c>
      <c r="H238">
        <v>3</v>
      </c>
      <c r="I238" t="s">
        <v>52</v>
      </c>
      <c r="J238" t="s">
        <v>57</v>
      </c>
      <c r="K238">
        <v>0.1</v>
      </c>
      <c r="L238">
        <v>91.100000000000009</v>
      </c>
      <c r="M238">
        <v>911</v>
      </c>
      <c r="N238">
        <v>819.9</v>
      </c>
      <c r="O238" t="s">
        <v>44</v>
      </c>
      <c r="P238">
        <v>1467</v>
      </c>
      <c r="Q238" t="s">
        <v>31</v>
      </c>
      <c r="R238" s="1">
        <v>45338</v>
      </c>
      <c r="S238">
        <v>2</v>
      </c>
      <c r="T238" t="s">
        <v>52</v>
      </c>
      <c r="U238" t="s">
        <v>57</v>
      </c>
      <c r="V238" t="s">
        <v>1722</v>
      </c>
      <c r="W238" t="s">
        <v>1350</v>
      </c>
      <c r="X238">
        <v>5600</v>
      </c>
      <c r="Y238">
        <v>250</v>
      </c>
      <c r="Z238">
        <v>500</v>
      </c>
      <c r="AA238" t="s">
        <v>1723</v>
      </c>
    </row>
    <row r="239" spans="1:27" x14ac:dyDescent="0.2">
      <c r="A239">
        <v>3235</v>
      </c>
      <c r="B239" t="s">
        <v>144</v>
      </c>
      <c r="C239" t="str">
        <f>_xlfn.CONCAT(Merge[[#This Row],[Customer First Name]]," ",Merge[[#This Row],[Customer Last Name]])</f>
        <v>Collin Blevins</v>
      </c>
      <c r="D239" t="s">
        <v>102</v>
      </c>
      <c r="E239">
        <v>1468</v>
      </c>
      <c r="F239" t="s">
        <v>31</v>
      </c>
      <c r="G239" s="1">
        <v>45468</v>
      </c>
      <c r="H239">
        <v>1</v>
      </c>
      <c r="I239" t="s">
        <v>32</v>
      </c>
      <c r="J239" t="s">
        <v>64</v>
      </c>
      <c r="K239">
        <v>0.1</v>
      </c>
      <c r="L239">
        <v>76.5</v>
      </c>
      <c r="M239">
        <v>765</v>
      </c>
      <c r="N239">
        <v>688.5</v>
      </c>
      <c r="O239" t="s">
        <v>54</v>
      </c>
      <c r="P239">
        <v>1468</v>
      </c>
      <c r="Q239" t="s">
        <v>31</v>
      </c>
      <c r="R239" s="1">
        <v>45468</v>
      </c>
      <c r="S239">
        <v>2</v>
      </c>
      <c r="T239" t="s">
        <v>32</v>
      </c>
      <c r="U239" t="s">
        <v>64</v>
      </c>
      <c r="V239" t="s">
        <v>1724</v>
      </c>
      <c r="W239" t="s">
        <v>1262</v>
      </c>
      <c r="X239">
        <v>7250</v>
      </c>
      <c r="Y239">
        <v>250</v>
      </c>
      <c r="Z239">
        <v>500</v>
      </c>
      <c r="AA239" t="s">
        <v>1725</v>
      </c>
    </row>
    <row r="240" spans="1:27" x14ac:dyDescent="0.2">
      <c r="A240">
        <v>3236</v>
      </c>
      <c r="B240" t="s">
        <v>348</v>
      </c>
      <c r="C240" t="str">
        <f>_xlfn.CONCAT(Merge[[#This Row],[Customer First Name]]," ",Merge[[#This Row],[Customer Last Name]])</f>
        <v>Daisy Jordan</v>
      </c>
      <c r="D240" t="s">
        <v>457</v>
      </c>
      <c r="E240">
        <v>1469</v>
      </c>
      <c r="F240" t="s">
        <v>92</v>
      </c>
      <c r="G240" s="1">
        <v>45531</v>
      </c>
      <c r="H240">
        <v>2</v>
      </c>
      <c r="I240" t="s">
        <v>71</v>
      </c>
      <c r="J240" t="s">
        <v>81</v>
      </c>
      <c r="K240">
        <v>0.3</v>
      </c>
      <c r="L240">
        <v>60.3</v>
      </c>
      <c r="M240">
        <v>201</v>
      </c>
      <c r="N240">
        <v>140.69999999999999</v>
      </c>
      <c r="O240" t="s">
        <v>48</v>
      </c>
      <c r="P240">
        <v>1469</v>
      </c>
      <c r="Q240" t="s">
        <v>92</v>
      </c>
      <c r="R240" s="1">
        <v>45531</v>
      </c>
      <c r="S240">
        <v>2</v>
      </c>
      <c r="T240" t="s">
        <v>71</v>
      </c>
      <c r="U240" t="s">
        <v>81</v>
      </c>
      <c r="V240" t="s">
        <v>1726</v>
      </c>
      <c r="W240" t="s">
        <v>1280</v>
      </c>
      <c r="X240">
        <v>800</v>
      </c>
      <c r="Y240">
        <v>600</v>
      </c>
      <c r="Z240">
        <v>1200</v>
      </c>
      <c r="AA240" t="s">
        <v>1727</v>
      </c>
    </row>
    <row r="241" spans="1:27" x14ac:dyDescent="0.2">
      <c r="A241">
        <v>3237</v>
      </c>
      <c r="B241" t="s">
        <v>458</v>
      </c>
      <c r="C241" t="str">
        <f>_xlfn.CONCAT(Merge[[#This Row],[Customer First Name]]," ",Merge[[#This Row],[Customer Last Name]])</f>
        <v>Grady Burton</v>
      </c>
      <c r="D241" t="s">
        <v>459</v>
      </c>
      <c r="E241">
        <v>1470</v>
      </c>
      <c r="F241" t="s">
        <v>42</v>
      </c>
      <c r="G241" s="1">
        <v>45575</v>
      </c>
      <c r="H241">
        <v>1</v>
      </c>
      <c r="I241" t="s">
        <v>32</v>
      </c>
      <c r="J241" t="s">
        <v>64</v>
      </c>
      <c r="K241">
        <v>0.25</v>
      </c>
      <c r="L241">
        <v>111.25</v>
      </c>
      <c r="M241">
        <v>445</v>
      </c>
      <c r="N241">
        <v>333.75</v>
      </c>
      <c r="O241" t="s">
        <v>34</v>
      </c>
      <c r="P241">
        <v>1470</v>
      </c>
      <c r="Q241" t="s">
        <v>42</v>
      </c>
      <c r="R241" s="1">
        <v>45575</v>
      </c>
      <c r="S241">
        <v>1</v>
      </c>
      <c r="T241" t="s">
        <v>32</v>
      </c>
      <c r="U241" t="s">
        <v>64</v>
      </c>
      <c r="V241" t="s">
        <v>1728</v>
      </c>
      <c r="W241" t="s">
        <v>1400</v>
      </c>
      <c r="X241">
        <v>7310</v>
      </c>
      <c r="Y241">
        <v>300</v>
      </c>
      <c r="Z241">
        <v>300</v>
      </c>
      <c r="AA241" t="s">
        <v>1729</v>
      </c>
    </row>
    <row r="242" spans="1:27" x14ac:dyDescent="0.2">
      <c r="A242">
        <v>3238</v>
      </c>
      <c r="B242" t="s">
        <v>55</v>
      </c>
      <c r="C242" t="str">
        <f>_xlfn.CONCAT(Merge[[#This Row],[Customer First Name]]," ",Merge[[#This Row],[Customer Last Name]])</f>
        <v>Thomas Jacobs</v>
      </c>
      <c r="D242" t="s">
        <v>460</v>
      </c>
      <c r="E242">
        <v>1471</v>
      </c>
      <c r="F242" t="s">
        <v>76</v>
      </c>
      <c r="G242" s="1">
        <v>45417</v>
      </c>
      <c r="H242">
        <v>1</v>
      </c>
      <c r="I242" t="s">
        <v>32</v>
      </c>
      <c r="J242" t="s">
        <v>57</v>
      </c>
      <c r="K242">
        <v>0.25</v>
      </c>
      <c r="L242">
        <v>389.5</v>
      </c>
      <c r="M242">
        <v>1558</v>
      </c>
      <c r="N242">
        <v>1168.5</v>
      </c>
      <c r="O242" t="s">
        <v>114</v>
      </c>
      <c r="P242">
        <v>1471</v>
      </c>
      <c r="Q242" t="s">
        <v>76</v>
      </c>
      <c r="R242" s="1">
        <v>45417</v>
      </c>
      <c r="S242">
        <v>2</v>
      </c>
      <c r="T242" t="s">
        <v>32</v>
      </c>
      <c r="U242" t="s">
        <v>57</v>
      </c>
      <c r="V242" t="s">
        <v>1730</v>
      </c>
      <c r="W242" t="s">
        <v>1253</v>
      </c>
      <c r="X242">
        <v>5290</v>
      </c>
      <c r="Y242">
        <v>1200</v>
      </c>
      <c r="Z242">
        <v>2400</v>
      </c>
      <c r="AA242" t="s">
        <v>1731</v>
      </c>
    </row>
    <row r="243" spans="1:27" x14ac:dyDescent="0.2">
      <c r="A243">
        <v>3239</v>
      </c>
      <c r="B243" t="s">
        <v>461</v>
      </c>
      <c r="C243" t="str">
        <f>_xlfn.CONCAT(Merge[[#This Row],[Customer First Name]]," ",Merge[[#This Row],[Customer Last Name]])</f>
        <v>Natalia Garza</v>
      </c>
      <c r="D243" t="s">
        <v>462</v>
      </c>
      <c r="E243">
        <v>1472</v>
      </c>
      <c r="F243" t="s">
        <v>31</v>
      </c>
      <c r="G243" s="1">
        <v>45434</v>
      </c>
      <c r="H243">
        <v>1</v>
      </c>
      <c r="I243" t="s">
        <v>32</v>
      </c>
      <c r="J243" t="s">
        <v>43</v>
      </c>
      <c r="K243">
        <v>0.1</v>
      </c>
      <c r="L243">
        <v>54.400000000000006</v>
      </c>
      <c r="M243">
        <v>544</v>
      </c>
      <c r="N243">
        <v>489.6</v>
      </c>
      <c r="O243" t="s">
        <v>114</v>
      </c>
      <c r="P243">
        <v>1472</v>
      </c>
      <c r="Q243" t="s">
        <v>31</v>
      </c>
      <c r="R243" s="1">
        <v>45434</v>
      </c>
      <c r="S243">
        <v>3</v>
      </c>
      <c r="T243" t="s">
        <v>32</v>
      </c>
      <c r="U243" t="s">
        <v>43</v>
      </c>
      <c r="V243" t="s">
        <v>1732</v>
      </c>
      <c r="W243" t="s">
        <v>865</v>
      </c>
      <c r="X243">
        <v>2000</v>
      </c>
      <c r="Y243">
        <v>250</v>
      </c>
      <c r="Z243">
        <v>750</v>
      </c>
      <c r="AA243" t="s">
        <v>1733</v>
      </c>
    </row>
    <row r="244" spans="1:27" x14ac:dyDescent="0.2">
      <c r="A244">
        <v>3240</v>
      </c>
      <c r="B244" t="s">
        <v>463</v>
      </c>
      <c r="C244" t="str">
        <f>_xlfn.CONCAT(Merge[[#This Row],[Customer First Name]]," ",Merge[[#This Row],[Customer Last Name]])</f>
        <v>Celine Newman</v>
      </c>
      <c r="D244" t="s">
        <v>464</v>
      </c>
      <c r="E244">
        <v>1473</v>
      </c>
      <c r="F244" t="s">
        <v>51</v>
      </c>
      <c r="G244" s="1">
        <v>45519</v>
      </c>
      <c r="H244">
        <v>1</v>
      </c>
      <c r="I244" t="s">
        <v>32</v>
      </c>
      <c r="J244" t="s">
        <v>33</v>
      </c>
      <c r="K244">
        <v>0.2</v>
      </c>
      <c r="L244">
        <v>329.8</v>
      </c>
      <c r="M244">
        <v>1649</v>
      </c>
      <c r="N244">
        <v>1319.2</v>
      </c>
      <c r="O244" t="s">
        <v>48</v>
      </c>
      <c r="P244">
        <v>1473</v>
      </c>
      <c r="Q244" t="s">
        <v>51</v>
      </c>
      <c r="R244" s="1">
        <v>45519</v>
      </c>
      <c r="S244">
        <v>2</v>
      </c>
      <c r="T244" t="s">
        <v>32</v>
      </c>
      <c r="U244" t="s">
        <v>33</v>
      </c>
      <c r="V244" t="s">
        <v>1734</v>
      </c>
      <c r="W244" t="s">
        <v>1259</v>
      </c>
      <c r="X244">
        <v>6160</v>
      </c>
      <c r="Y244">
        <v>250</v>
      </c>
      <c r="Z244">
        <v>500</v>
      </c>
      <c r="AA244" t="s">
        <v>1735</v>
      </c>
    </row>
    <row r="245" spans="1:27" x14ac:dyDescent="0.2">
      <c r="A245">
        <v>3241</v>
      </c>
      <c r="B245" t="s">
        <v>465</v>
      </c>
      <c r="C245" t="str">
        <f>_xlfn.CONCAT(Merge[[#This Row],[Customer First Name]]," ",Merge[[#This Row],[Customer Last Name]])</f>
        <v>Alex Robbins</v>
      </c>
      <c r="D245" t="s">
        <v>466</v>
      </c>
      <c r="E245">
        <v>1474</v>
      </c>
      <c r="F245" t="s">
        <v>37</v>
      </c>
      <c r="G245" s="1">
        <v>45428</v>
      </c>
      <c r="H245">
        <v>2</v>
      </c>
      <c r="I245" t="s">
        <v>52</v>
      </c>
      <c r="J245" t="s">
        <v>53</v>
      </c>
      <c r="K245">
        <v>0.3</v>
      </c>
      <c r="L245">
        <v>240</v>
      </c>
      <c r="M245">
        <v>800</v>
      </c>
      <c r="N245">
        <v>560</v>
      </c>
      <c r="O245" t="s">
        <v>44</v>
      </c>
      <c r="P245">
        <v>1474</v>
      </c>
      <c r="Q245" t="s">
        <v>37</v>
      </c>
      <c r="R245" s="1">
        <v>45428</v>
      </c>
      <c r="S245">
        <v>3</v>
      </c>
      <c r="T245" t="s">
        <v>52</v>
      </c>
      <c r="U245" t="s">
        <v>53</v>
      </c>
      <c r="V245" t="s">
        <v>1736</v>
      </c>
      <c r="W245" t="s">
        <v>1305</v>
      </c>
      <c r="X245">
        <v>4000</v>
      </c>
      <c r="Y245">
        <v>800</v>
      </c>
      <c r="Z245">
        <v>2400</v>
      </c>
      <c r="AA245" t="s">
        <v>1737</v>
      </c>
    </row>
    <row r="246" spans="1:27" x14ac:dyDescent="0.2">
      <c r="A246">
        <v>3242</v>
      </c>
      <c r="B246" t="s">
        <v>467</v>
      </c>
      <c r="C246" t="str">
        <f>_xlfn.CONCAT(Merge[[#This Row],[Customer First Name]]," ",Merge[[#This Row],[Customer Last Name]])</f>
        <v>Meadow Sexton</v>
      </c>
      <c r="D246" t="s">
        <v>468</v>
      </c>
      <c r="E246">
        <v>1475</v>
      </c>
      <c r="F246" t="s">
        <v>31</v>
      </c>
      <c r="G246" s="1">
        <v>45292</v>
      </c>
      <c r="H246">
        <v>3</v>
      </c>
      <c r="I246" t="s">
        <v>32</v>
      </c>
      <c r="J246" t="s">
        <v>43</v>
      </c>
      <c r="K246">
        <v>0.1</v>
      </c>
      <c r="L246">
        <v>179</v>
      </c>
      <c r="M246">
        <v>1790</v>
      </c>
      <c r="N246">
        <v>1611</v>
      </c>
      <c r="O246" t="s">
        <v>34</v>
      </c>
      <c r="P246">
        <v>1475</v>
      </c>
      <c r="Q246" t="s">
        <v>31</v>
      </c>
      <c r="R246" s="1">
        <v>45292</v>
      </c>
      <c r="S246">
        <v>3</v>
      </c>
      <c r="T246" t="s">
        <v>32</v>
      </c>
      <c r="U246" t="s">
        <v>43</v>
      </c>
      <c r="V246" t="s">
        <v>1738</v>
      </c>
      <c r="W246" t="s">
        <v>1244</v>
      </c>
      <c r="X246">
        <v>2300</v>
      </c>
      <c r="Y246">
        <v>250</v>
      </c>
      <c r="Z246">
        <v>750</v>
      </c>
      <c r="AA246" t="s">
        <v>1739</v>
      </c>
    </row>
    <row r="247" spans="1:27" x14ac:dyDescent="0.2">
      <c r="A247">
        <v>3243</v>
      </c>
      <c r="B247" t="s">
        <v>469</v>
      </c>
      <c r="C247" t="str">
        <f>_xlfn.CONCAT(Merge[[#This Row],[Customer First Name]]," ",Merge[[#This Row],[Customer Last Name]])</f>
        <v>Lucille Ponce</v>
      </c>
      <c r="D247" t="s">
        <v>470</v>
      </c>
      <c r="E247">
        <v>1476</v>
      </c>
      <c r="F247" t="s">
        <v>42</v>
      </c>
      <c r="G247" s="1">
        <v>45648</v>
      </c>
      <c r="H247">
        <v>2</v>
      </c>
      <c r="I247" t="s">
        <v>32</v>
      </c>
      <c r="J247" t="s">
        <v>53</v>
      </c>
      <c r="K247">
        <v>0.25</v>
      </c>
      <c r="L247">
        <v>219.75</v>
      </c>
      <c r="M247">
        <v>879</v>
      </c>
      <c r="N247">
        <v>659.25</v>
      </c>
      <c r="O247" t="s">
        <v>54</v>
      </c>
      <c r="P247">
        <v>1476</v>
      </c>
      <c r="Q247" t="s">
        <v>42</v>
      </c>
      <c r="R247" s="1">
        <v>45648</v>
      </c>
      <c r="S247">
        <v>1</v>
      </c>
      <c r="T247" t="s">
        <v>32</v>
      </c>
      <c r="U247" t="s">
        <v>53</v>
      </c>
      <c r="V247" t="s">
        <v>1740</v>
      </c>
      <c r="W247" t="s">
        <v>1250</v>
      </c>
      <c r="X247">
        <v>4217</v>
      </c>
      <c r="Y247">
        <v>300</v>
      </c>
      <c r="Z247">
        <v>300</v>
      </c>
      <c r="AA247" t="s">
        <v>1741</v>
      </c>
    </row>
    <row r="248" spans="1:27" x14ac:dyDescent="0.2">
      <c r="A248">
        <v>3244</v>
      </c>
      <c r="B248" t="s">
        <v>471</v>
      </c>
      <c r="C248" t="str">
        <f>_xlfn.CONCAT(Merge[[#This Row],[Customer First Name]]," ",Merge[[#This Row],[Customer Last Name]])</f>
        <v>Cairo Gonzales</v>
      </c>
      <c r="D248" t="s">
        <v>472</v>
      </c>
      <c r="E248">
        <v>1477</v>
      </c>
      <c r="F248" t="s">
        <v>31</v>
      </c>
      <c r="G248" s="1">
        <v>45354</v>
      </c>
      <c r="H248">
        <v>2</v>
      </c>
      <c r="I248" t="s">
        <v>32</v>
      </c>
      <c r="J248" t="s">
        <v>39</v>
      </c>
      <c r="K248">
        <v>0.1</v>
      </c>
      <c r="L248">
        <v>173.20000000000002</v>
      </c>
      <c r="M248">
        <v>1732</v>
      </c>
      <c r="N248">
        <v>1558.8</v>
      </c>
      <c r="O248" t="s">
        <v>114</v>
      </c>
      <c r="P248">
        <v>1477</v>
      </c>
      <c r="Q248" t="s">
        <v>31</v>
      </c>
      <c r="R248" s="1">
        <v>45354</v>
      </c>
      <c r="S248">
        <v>3</v>
      </c>
      <c r="T248" t="s">
        <v>32</v>
      </c>
      <c r="U248" t="s">
        <v>39</v>
      </c>
      <c r="V248" t="s">
        <v>1742</v>
      </c>
      <c r="W248" t="s">
        <v>1241</v>
      </c>
      <c r="X248">
        <v>2600</v>
      </c>
      <c r="Y248">
        <v>250</v>
      </c>
      <c r="Z248">
        <v>750</v>
      </c>
      <c r="AA248" t="s">
        <v>1743</v>
      </c>
    </row>
    <row r="249" spans="1:27" x14ac:dyDescent="0.2">
      <c r="A249">
        <v>3245</v>
      </c>
      <c r="B249" t="s">
        <v>473</v>
      </c>
      <c r="C249" t="str">
        <f>_xlfn.CONCAT(Merge[[#This Row],[Customer First Name]]," ",Merge[[#This Row],[Customer Last Name]])</f>
        <v>Desmond Mejia</v>
      </c>
      <c r="D249" t="s">
        <v>474</v>
      </c>
      <c r="E249">
        <v>1478</v>
      </c>
      <c r="F249" t="s">
        <v>76</v>
      </c>
      <c r="G249" s="1">
        <v>45550</v>
      </c>
      <c r="H249">
        <v>1</v>
      </c>
      <c r="I249" t="s">
        <v>38</v>
      </c>
      <c r="J249" t="s">
        <v>33</v>
      </c>
      <c r="K249">
        <v>0.25</v>
      </c>
      <c r="L249">
        <v>368.5</v>
      </c>
      <c r="M249">
        <v>1474</v>
      </c>
      <c r="N249">
        <v>1105.5</v>
      </c>
      <c r="O249" t="s">
        <v>54</v>
      </c>
      <c r="P249">
        <v>1478</v>
      </c>
      <c r="Q249" t="s">
        <v>76</v>
      </c>
      <c r="R249" s="1">
        <v>45550</v>
      </c>
      <c r="S249">
        <v>2</v>
      </c>
      <c r="T249" t="s">
        <v>38</v>
      </c>
      <c r="U249" t="s">
        <v>33</v>
      </c>
      <c r="V249" t="s">
        <v>1744</v>
      </c>
      <c r="W249" t="s">
        <v>1238</v>
      </c>
      <c r="X249">
        <v>6725</v>
      </c>
      <c r="Y249">
        <v>1200</v>
      </c>
      <c r="Z249">
        <v>2400</v>
      </c>
      <c r="AA249" t="s">
        <v>1745</v>
      </c>
    </row>
    <row r="250" spans="1:27" x14ac:dyDescent="0.2">
      <c r="A250">
        <v>3246</v>
      </c>
      <c r="B250" t="s">
        <v>117</v>
      </c>
      <c r="C250" t="str">
        <f>_xlfn.CONCAT(Merge[[#This Row],[Customer First Name]]," ",Merge[[#This Row],[Customer Last Name]])</f>
        <v>Joy Foster</v>
      </c>
      <c r="D250" t="s">
        <v>475</v>
      </c>
      <c r="E250">
        <v>1479</v>
      </c>
      <c r="F250" t="s">
        <v>31</v>
      </c>
      <c r="G250" s="1">
        <v>45622</v>
      </c>
      <c r="H250">
        <v>2</v>
      </c>
      <c r="I250" t="s">
        <v>38</v>
      </c>
      <c r="J250" t="s">
        <v>53</v>
      </c>
      <c r="K250">
        <v>0.1</v>
      </c>
      <c r="L250">
        <v>103.4</v>
      </c>
      <c r="M250">
        <v>1034</v>
      </c>
      <c r="N250">
        <v>930.6</v>
      </c>
      <c r="O250" t="s">
        <v>54</v>
      </c>
      <c r="P250">
        <v>1479</v>
      </c>
      <c r="Q250" t="s">
        <v>31</v>
      </c>
      <c r="R250" s="1">
        <v>45622</v>
      </c>
      <c r="S250">
        <v>2</v>
      </c>
      <c r="T250" t="s">
        <v>38</v>
      </c>
      <c r="U250" t="s">
        <v>53</v>
      </c>
      <c r="V250" t="s">
        <v>1746</v>
      </c>
      <c r="W250" t="s">
        <v>1305</v>
      </c>
      <c r="X250">
        <v>4000</v>
      </c>
      <c r="Y250">
        <v>250</v>
      </c>
      <c r="Z250">
        <v>500</v>
      </c>
      <c r="AA250" t="s">
        <v>1747</v>
      </c>
    </row>
    <row r="251" spans="1:27" x14ac:dyDescent="0.2">
      <c r="A251">
        <v>3247</v>
      </c>
      <c r="B251" t="s">
        <v>476</v>
      </c>
      <c r="C251" t="str">
        <f>_xlfn.CONCAT(Merge[[#This Row],[Customer First Name]]," ",Merge[[#This Row],[Customer Last Name]])</f>
        <v>Elaina Bowers</v>
      </c>
      <c r="D251" t="s">
        <v>399</v>
      </c>
      <c r="E251">
        <v>1480</v>
      </c>
      <c r="F251" t="s">
        <v>37</v>
      </c>
      <c r="G251" s="1">
        <v>45457</v>
      </c>
      <c r="H251">
        <v>3</v>
      </c>
      <c r="I251" t="s">
        <v>32</v>
      </c>
      <c r="J251" t="s">
        <v>53</v>
      </c>
      <c r="K251">
        <v>0.3</v>
      </c>
      <c r="L251">
        <v>355.5</v>
      </c>
      <c r="M251">
        <v>1185</v>
      </c>
      <c r="N251">
        <v>829.5</v>
      </c>
      <c r="O251" t="s">
        <v>54</v>
      </c>
      <c r="P251">
        <v>1480</v>
      </c>
      <c r="Q251" t="s">
        <v>37</v>
      </c>
      <c r="R251" s="1">
        <v>45457</v>
      </c>
      <c r="S251">
        <v>2</v>
      </c>
      <c r="T251" t="s">
        <v>32</v>
      </c>
      <c r="U251" t="s">
        <v>53</v>
      </c>
      <c r="V251" t="s">
        <v>1748</v>
      </c>
      <c r="W251" t="s">
        <v>1250</v>
      </c>
      <c r="X251">
        <v>4217</v>
      </c>
      <c r="Y251">
        <v>800</v>
      </c>
      <c r="Z251">
        <v>1600</v>
      </c>
      <c r="AA251" t="s">
        <v>1749</v>
      </c>
    </row>
    <row r="252" spans="1:27" x14ac:dyDescent="0.2">
      <c r="A252">
        <v>3248</v>
      </c>
      <c r="B252" t="s">
        <v>477</v>
      </c>
      <c r="C252" t="str">
        <f>_xlfn.CONCAT(Merge[[#This Row],[Customer First Name]]," ",Merge[[#This Row],[Customer Last Name]])</f>
        <v>Ella Frazier</v>
      </c>
      <c r="D252" t="s">
        <v>478</v>
      </c>
      <c r="E252">
        <v>1481</v>
      </c>
      <c r="F252" t="s">
        <v>76</v>
      </c>
      <c r="G252" s="1">
        <v>45603</v>
      </c>
      <c r="H252">
        <v>1</v>
      </c>
      <c r="I252" t="s">
        <v>52</v>
      </c>
      <c r="J252" t="s">
        <v>81</v>
      </c>
      <c r="K252">
        <v>0.25</v>
      </c>
      <c r="L252">
        <v>211.5</v>
      </c>
      <c r="M252">
        <v>846</v>
      </c>
      <c r="N252">
        <v>634.5</v>
      </c>
      <c r="O252" t="s">
        <v>114</v>
      </c>
      <c r="P252">
        <v>1481</v>
      </c>
      <c r="Q252" t="s">
        <v>76</v>
      </c>
      <c r="R252" s="1">
        <v>45603</v>
      </c>
      <c r="S252">
        <v>1</v>
      </c>
      <c r="T252" t="s">
        <v>52</v>
      </c>
      <c r="U252" t="s">
        <v>81</v>
      </c>
      <c r="V252" t="s">
        <v>1750</v>
      </c>
      <c r="W252" t="s">
        <v>1280</v>
      </c>
      <c r="X252">
        <v>800</v>
      </c>
      <c r="Y252">
        <v>1200</v>
      </c>
      <c r="Z252">
        <v>1200</v>
      </c>
      <c r="AA252" t="s">
        <v>1751</v>
      </c>
    </row>
    <row r="253" spans="1:27" x14ac:dyDescent="0.2">
      <c r="A253">
        <v>3249</v>
      </c>
      <c r="B253" t="s">
        <v>479</v>
      </c>
      <c r="C253" t="str">
        <f>_xlfn.CONCAT(Merge[[#This Row],[Customer First Name]]," ",Merge[[#This Row],[Customer Last Name]])</f>
        <v>Christian Sparks</v>
      </c>
      <c r="D253" t="s">
        <v>354</v>
      </c>
      <c r="E253">
        <v>1482</v>
      </c>
      <c r="F253" t="s">
        <v>51</v>
      </c>
      <c r="G253" s="1">
        <v>45619</v>
      </c>
      <c r="H253">
        <v>2</v>
      </c>
      <c r="I253" t="s">
        <v>32</v>
      </c>
      <c r="J253" t="s">
        <v>47</v>
      </c>
      <c r="K253">
        <v>0.2</v>
      </c>
      <c r="L253">
        <v>238</v>
      </c>
      <c r="M253">
        <v>1190</v>
      </c>
      <c r="N253">
        <v>952</v>
      </c>
      <c r="O253" t="s">
        <v>44</v>
      </c>
      <c r="P253">
        <v>1482</v>
      </c>
      <c r="Q253" t="s">
        <v>51</v>
      </c>
      <c r="R253" s="1">
        <v>45619</v>
      </c>
      <c r="S253">
        <v>2</v>
      </c>
      <c r="T253" t="s">
        <v>32</v>
      </c>
      <c r="U253" t="s">
        <v>47</v>
      </c>
      <c r="V253" t="s">
        <v>1752</v>
      </c>
      <c r="W253" t="s">
        <v>1256</v>
      </c>
      <c r="X253">
        <v>3220</v>
      </c>
      <c r="Y253">
        <v>250</v>
      </c>
      <c r="Z253">
        <v>500</v>
      </c>
      <c r="AA253" t="s">
        <v>1753</v>
      </c>
    </row>
    <row r="254" spans="1:27" x14ac:dyDescent="0.2">
      <c r="A254">
        <v>3250</v>
      </c>
      <c r="B254" t="s">
        <v>480</v>
      </c>
      <c r="C254" t="str">
        <f>_xlfn.CONCAT(Merge[[#This Row],[Customer First Name]]," ",Merge[[#This Row],[Customer Last Name]])</f>
        <v>Damian Villarreal</v>
      </c>
      <c r="D254" t="s">
        <v>481</v>
      </c>
      <c r="E254">
        <v>1483</v>
      </c>
      <c r="F254" t="s">
        <v>51</v>
      </c>
      <c r="G254" s="1">
        <v>45436</v>
      </c>
      <c r="H254">
        <v>3</v>
      </c>
      <c r="I254" t="s">
        <v>32</v>
      </c>
      <c r="J254" t="s">
        <v>81</v>
      </c>
      <c r="K254">
        <v>0.2</v>
      </c>
      <c r="L254">
        <v>155.80000000000001</v>
      </c>
      <c r="M254">
        <v>779</v>
      </c>
      <c r="N254">
        <v>623.20000000000005</v>
      </c>
      <c r="O254" t="s">
        <v>44</v>
      </c>
      <c r="P254">
        <v>1483</v>
      </c>
      <c r="Q254" t="s">
        <v>51</v>
      </c>
      <c r="R254" s="1">
        <v>45436</v>
      </c>
      <c r="S254">
        <v>2</v>
      </c>
      <c r="T254" t="s">
        <v>32</v>
      </c>
      <c r="U254" t="s">
        <v>81</v>
      </c>
      <c r="V254" t="s">
        <v>1754</v>
      </c>
      <c r="W254" t="s">
        <v>1361</v>
      </c>
      <c r="X254">
        <v>870</v>
      </c>
      <c r="Y254">
        <v>250</v>
      </c>
      <c r="Z254">
        <v>500</v>
      </c>
      <c r="AA254" t="s">
        <v>1755</v>
      </c>
    </row>
    <row r="255" spans="1:27" x14ac:dyDescent="0.2">
      <c r="A255">
        <v>3251</v>
      </c>
      <c r="B255" t="s">
        <v>328</v>
      </c>
      <c r="C255" t="str">
        <f>_xlfn.CONCAT(Merge[[#This Row],[Customer First Name]]," ",Merge[[#This Row],[Customer Last Name]])</f>
        <v>King Acevedo</v>
      </c>
      <c r="D255" t="s">
        <v>433</v>
      </c>
      <c r="E255">
        <v>1484</v>
      </c>
      <c r="F255" t="s">
        <v>76</v>
      </c>
      <c r="G255" s="1">
        <v>45350</v>
      </c>
      <c r="H255">
        <v>1</v>
      </c>
      <c r="I255" t="s">
        <v>32</v>
      </c>
      <c r="J255" t="s">
        <v>53</v>
      </c>
      <c r="K255">
        <v>0.25</v>
      </c>
      <c r="L255">
        <v>80.25</v>
      </c>
      <c r="M255">
        <v>321</v>
      </c>
      <c r="N255">
        <v>240.75</v>
      </c>
      <c r="O255" t="s">
        <v>44</v>
      </c>
      <c r="P255">
        <v>1484</v>
      </c>
      <c r="Q255" t="s">
        <v>76</v>
      </c>
      <c r="R255" s="1">
        <v>45350</v>
      </c>
      <c r="S255">
        <v>3</v>
      </c>
      <c r="T255" t="s">
        <v>32</v>
      </c>
      <c r="U255" t="s">
        <v>53</v>
      </c>
      <c r="V255" t="s">
        <v>1756</v>
      </c>
      <c r="W255" t="s">
        <v>1305</v>
      </c>
      <c r="X255">
        <v>4000</v>
      </c>
      <c r="Y255">
        <v>1200</v>
      </c>
      <c r="Z255">
        <v>3600</v>
      </c>
      <c r="AA255" t="s">
        <v>1757</v>
      </c>
    </row>
    <row r="256" spans="1:27" x14ac:dyDescent="0.2">
      <c r="A256">
        <v>3252</v>
      </c>
      <c r="B256" t="s">
        <v>482</v>
      </c>
      <c r="C256" t="str">
        <f>_xlfn.CONCAT(Merge[[#This Row],[Customer First Name]]," ",Merge[[#This Row],[Customer Last Name]])</f>
        <v>Lorenzo Lozano</v>
      </c>
      <c r="D256" t="s">
        <v>483</v>
      </c>
      <c r="E256">
        <v>1485</v>
      </c>
      <c r="F256" t="s">
        <v>31</v>
      </c>
      <c r="G256" s="1">
        <v>45409</v>
      </c>
      <c r="H256">
        <v>1</v>
      </c>
      <c r="I256" t="s">
        <v>52</v>
      </c>
      <c r="J256" t="s">
        <v>53</v>
      </c>
      <c r="K256">
        <v>0.1</v>
      </c>
      <c r="L256">
        <v>23.5</v>
      </c>
      <c r="M256">
        <v>235</v>
      </c>
      <c r="N256">
        <v>211.5</v>
      </c>
      <c r="O256" t="s">
        <v>44</v>
      </c>
      <c r="P256">
        <v>1485</v>
      </c>
      <c r="Q256" t="s">
        <v>31</v>
      </c>
      <c r="R256" s="1">
        <v>45409</v>
      </c>
      <c r="S256">
        <v>2</v>
      </c>
      <c r="T256" t="s">
        <v>52</v>
      </c>
      <c r="U256" t="s">
        <v>53</v>
      </c>
      <c r="V256" t="s">
        <v>1758</v>
      </c>
      <c r="W256" t="s">
        <v>1305</v>
      </c>
      <c r="X256">
        <v>4000</v>
      </c>
      <c r="Y256">
        <v>250</v>
      </c>
      <c r="Z256">
        <v>500</v>
      </c>
      <c r="AA256" t="s">
        <v>1759</v>
      </c>
    </row>
    <row r="257" spans="1:27" x14ac:dyDescent="0.2">
      <c r="A257">
        <v>3253</v>
      </c>
      <c r="B257" t="s">
        <v>484</v>
      </c>
      <c r="C257" t="str">
        <f>_xlfn.CONCAT(Merge[[#This Row],[Customer First Name]]," ",Merge[[#This Row],[Customer Last Name]])</f>
        <v>Tucker Mcpherson</v>
      </c>
      <c r="D257" t="s">
        <v>485</v>
      </c>
      <c r="E257">
        <v>1486</v>
      </c>
      <c r="F257" t="s">
        <v>92</v>
      </c>
      <c r="G257" s="1">
        <v>45612</v>
      </c>
      <c r="H257">
        <v>3</v>
      </c>
      <c r="I257" t="s">
        <v>52</v>
      </c>
      <c r="J257" t="s">
        <v>33</v>
      </c>
      <c r="K257">
        <v>0.3</v>
      </c>
      <c r="L257">
        <v>375.3</v>
      </c>
      <c r="M257">
        <v>1251</v>
      </c>
      <c r="N257">
        <v>875.7</v>
      </c>
      <c r="O257" t="s">
        <v>48</v>
      </c>
      <c r="P257">
        <v>1486</v>
      </c>
      <c r="Q257" t="s">
        <v>92</v>
      </c>
      <c r="R257" s="1">
        <v>45612</v>
      </c>
      <c r="S257">
        <v>1</v>
      </c>
      <c r="T257" t="s">
        <v>52</v>
      </c>
      <c r="U257" t="s">
        <v>33</v>
      </c>
      <c r="V257" t="s">
        <v>1760</v>
      </c>
      <c r="W257" t="s">
        <v>1302</v>
      </c>
      <c r="X257">
        <v>6000</v>
      </c>
      <c r="Y257">
        <v>600</v>
      </c>
      <c r="Z257">
        <v>600</v>
      </c>
      <c r="AA257" t="s">
        <v>1761</v>
      </c>
    </row>
    <row r="258" spans="1:27" x14ac:dyDescent="0.2">
      <c r="A258">
        <v>3254</v>
      </c>
      <c r="B258" t="s">
        <v>415</v>
      </c>
      <c r="C258" t="str">
        <f>_xlfn.CONCAT(Merge[[#This Row],[Customer First Name]]," ",Merge[[#This Row],[Customer Last Name]])</f>
        <v>Jade Blankenship</v>
      </c>
      <c r="D258" t="s">
        <v>486</v>
      </c>
      <c r="E258">
        <v>1487</v>
      </c>
      <c r="F258" t="s">
        <v>42</v>
      </c>
      <c r="G258" s="1">
        <v>45537</v>
      </c>
      <c r="H258">
        <v>1</v>
      </c>
      <c r="I258" t="s">
        <v>32</v>
      </c>
      <c r="J258" t="s">
        <v>47</v>
      </c>
      <c r="K258">
        <v>0.25</v>
      </c>
      <c r="L258">
        <v>326.25</v>
      </c>
      <c r="M258">
        <v>1305</v>
      </c>
      <c r="N258">
        <v>978.75</v>
      </c>
      <c r="O258" t="s">
        <v>34</v>
      </c>
      <c r="P258">
        <v>1487</v>
      </c>
      <c r="Q258" t="s">
        <v>42</v>
      </c>
      <c r="R258" s="1">
        <v>45537</v>
      </c>
      <c r="S258">
        <v>3</v>
      </c>
      <c r="T258" t="s">
        <v>32</v>
      </c>
      <c r="U258" t="s">
        <v>47</v>
      </c>
      <c r="V258" t="s">
        <v>1762</v>
      </c>
      <c r="W258" t="s">
        <v>1247</v>
      </c>
      <c r="X258">
        <v>3350</v>
      </c>
      <c r="Y258">
        <v>300</v>
      </c>
      <c r="Z258">
        <v>900</v>
      </c>
      <c r="AA258" t="s">
        <v>1763</v>
      </c>
    </row>
    <row r="259" spans="1:27" x14ac:dyDescent="0.2">
      <c r="A259">
        <v>3255</v>
      </c>
      <c r="B259" t="s">
        <v>487</v>
      </c>
      <c r="C259" t="str">
        <f>_xlfn.CONCAT(Merge[[#This Row],[Customer First Name]]," ",Merge[[#This Row],[Customer Last Name]])</f>
        <v>Amaya Riley</v>
      </c>
      <c r="D259" t="s">
        <v>488</v>
      </c>
      <c r="E259">
        <v>1488</v>
      </c>
      <c r="F259" t="s">
        <v>31</v>
      </c>
      <c r="G259" s="1">
        <v>45554</v>
      </c>
      <c r="H259">
        <v>2</v>
      </c>
      <c r="I259" t="s">
        <v>52</v>
      </c>
      <c r="J259" t="s">
        <v>47</v>
      </c>
      <c r="K259">
        <v>0.1</v>
      </c>
      <c r="L259">
        <v>9.7000000000000011</v>
      </c>
      <c r="M259">
        <v>97</v>
      </c>
      <c r="N259">
        <v>87.3</v>
      </c>
      <c r="O259" t="s">
        <v>34</v>
      </c>
      <c r="P259">
        <v>1488</v>
      </c>
      <c r="Q259" t="s">
        <v>31</v>
      </c>
      <c r="R259" s="1">
        <v>45554</v>
      </c>
      <c r="S259">
        <v>3</v>
      </c>
      <c r="T259" t="s">
        <v>52</v>
      </c>
      <c r="U259" t="s">
        <v>47</v>
      </c>
      <c r="V259" t="s">
        <v>1764</v>
      </c>
      <c r="W259" t="s">
        <v>1275</v>
      </c>
      <c r="X259">
        <v>3000</v>
      </c>
      <c r="Y259">
        <v>250</v>
      </c>
      <c r="Z259">
        <v>750</v>
      </c>
      <c r="AA259" t="s">
        <v>1765</v>
      </c>
    </row>
    <row r="260" spans="1:27" x14ac:dyDescent="0.2">
      <c r="A260">
        <v>3256</v>
      </c>
      <c r="B260" t="s">
        <v>489</v>
      </c>
      <c r="C260" t="str">
        <f>_xlfn.CONCAT(Merge[[#This Row],[Customer First Name]]," ",Merge[[#This Row],[Customer Last Name]])</f>
        <v>Adan Bruce</v>
      </c>
      <c r="D260" t="s">
        <v>490</v>
      </c>
      <c r="E260">
        <v>1489</v>
      </c>
      <c r="F260" t="s">
        <v>51</v>
      </c>
      <c r="G260" s="1">
        <v>45615</v>
      </c>
      <c r="H260">
        <v>1</v>
      </c>
      <c r="I260" t="s">
        <v>32</v>
      </c>
      <c r="J260" t="s">
        <v>33</v>
      </c>
      <c r="K260">
        <v>0.2</v>
      </c>
      <c r="L260">
        <v>306.60000000000002</v>
      </c>
      <c r="M260">
        <v>1533</v>
      </c>
      <c r="N260">
        <v>1226.4000000000001</v>
      </c>
      <c r="O260" t="s">
        <v>114</v>
      </c>
      <c r="P260">
        <v>1489</v>
      </c>
      <c r="Q260" t="s">
        <v>51</v>
      </c>
      <c r="R260" s="1">
        <v>45615</v>
      </c>
      <c r="S260">
        <v>2</v>
      </c>
      <c r="T260" t="s">
        <v>32</v>
      </c>
      <c r="U260" t="s">
        <v>33</v>
      </c>
      <c r="V260" t="s">
        <v>1766</v>
      </c>
      <c r="W260" t="s">
        <v>1259</v>
      </c>
      <c r="X260">
        <v>6160</v>
      </c>
      <c r="Y260">
        <v>250</v>
      </c>
      <c r="Z260">
        <v>500</v>
      </c>
      <c r="AA260" t="s">
        <v>1767</v>
      </c>
    </row>
    <row r="261" spans="1:27" x14ac:dyDescent="0.2">
      <c r="A261">
        <v>3257</v>
      </c>
      <c r="B261" t="s">
        <v>491</v>
      </c>
      <c r="C261" t="str">
        <f>_xlfn.CONCAT(Merge[[#This Row],[Customer First Name]]," ",Merge[[#This Row],[Customer Last Name]])</f>
        <v>Alessandra Williams</v>
      </c>
      <c r="D261" t="s">
        <v>208</v>
      </c>
      <c r="E261">
        <v>1490</v>
      </c>
      <c r="F261" t="s">
        <v>92</v>
      </c>
      <c r="G261" s="1">
        <v>45340</v>
      </c>
      <c r="H261">
        <v>1</v>
      </c>
      <c r="I261" t="s">
        <v>32</v>
      </c>
      <c r="J261" t="s">
        <v>47</v>
      </c>
      <c r="K261">
        <v>0.3</v>
      </c>
      <c r="L261">
        <v>119.69999999999999</v>
      </c>
      <c r="M261">
        <v>399</v>
      </c>
      <c r="N261">
        <v>279.3</v>
      </c>
      <c r="O261" t="s">
        <v>34</v>
      </c>
      <c r="P261">
        <v>1490</v>
      </c>
      <c r="Q261" t="s">
        <v>92</v>
      </c>
      <c r="R261" s="1">
        <v>45340</v>
      </c>
      <c r="S261">
        <v>2</v>
      </c>
      <c r="T261" t="s">
        <v>32</v>
      </c>
      <c r="U261" t="s">
        <v>47</v>
      </c>
      <c r="V261" t="s">
        <v>1768</v>
      </c>
      <c r="W261" t="s">
        <v>1247</v>
      </c>
      <c r="X261">
        <v>3350</v>
      </c>
      <c r="Y261">
        <v>600</v>
      </c>
      <c r="Z261">
        <v>1200</v>
      </c>
      <c r="AA261" t="s">
        <v>1769</v>
      </c>
    </row>
    <row r="262" spans="1:27" x14ac:dyDescent="0.2">
      <c r="A262">
        <v>3258</v>
      </c>
      <c r="B262" t="s">
        <v>233</v>
      </c>
      <c r="C262" t="str">
        <f>_xlfn.CONCAT(Merge[[#This Row],[Customer First Name]]," ",Merge[[#This Row],[Customer Last Name]])</f>
        <v>Gideon Weiss</v>
      </c>
      <c r="D262" t="s">
        <v>492</v>
      </c>
      <c r="E262">
        <v>1491</v>
      </c>
      <c r="F262" t="s">
        <v>31</v>
      </c>
      <c r="G262" s="1">
        <v>45520</v>
      </c>
      <c r="H262">
        <v>3</v>
      </c>
      <c r="I262" t="s">
        <v>32</v>
      </c>
      <c r="J262" t="s">
        <v>53</v>
      </c>
      <c r="K262">
        <v>0.1</v>
      </c>
      <c r="L262">
        <v>43</v>
      </c>
      <c r="M262">
        <v>430</v>
      </c>
      <c r="N262">
        <v>387</v>
      </c>
      <c r="O262" t="s">
        <v>114</v>
      </c>
      <c r="P262">
        <v>1491</v>
      </c>
      <c r="Q262" t="s">
        <v>31</v>
      </c>
      <c r="R262" s="1">
        <v>45520</v>
      </c>
      <c r="S262">
        <v>3</v>
      </c>
      <c r="T262" t="s">
        <v>32</v>
      </c>
      <c r="U262" t="s">
        <v>53</v>
      </c>
      <c r="V262" t="s">
        <v>1770</v>
      </c>
      <c r="W262" t="s">
        <v>1305</v>
      </c>
      <c r="X262">
        <v>4000</v>
      </c>
      <c r="Y262">
        <v>250</v>
      </c>
      <c r="Z262">
        <v>750</v>
      </c>
      <c r="AA262" t="s">
        <v>1771</v>
      </c>
    </row>
    <row r="263" spans="1:27" x14ac:dyDescent="0.2">
      <c r="A263">
        <v>3259</v>
      </c>
      <c r="B263" t="s">
        <v>493</v>
      </c>
      <c r="C263" t="str">
        <f>_xlfn.CONCAT(Merge[[#This Row],[Customer First Name]]," ",Merge[[#This Row],[Customer Last Name]])</f>
        <v>Ryker Bowen</v>
      </c>
      <c r="D263" t="s">
        <v>494</v>
      </c>
      <c r="E263">
        <v>1492</v>
      </c>
      <c r="F263" t="s">
        <v>76</v>
      </c>
      <c r="G263" s="1">
        <v>45355</v>
      </c>
      <c r="H263">
        <v>2</v>
      </c>
      <c r="I263" t="s">
        <v>32</v>
      </c>
      <c r="J263" t="s">
        <v>57</v>
      </c>
      <c r="K263">
        <v>0.25</v>
      </c>
      <c r="L263">
        <v>309.25</v>
      </c>
      <c r="M263">
        <v>1237</v>
      </c>
      <c r="N263">
        <v>927.75</v>
      </c>
      <c r="O263" t="s">
        <v>34</v>
      </c>
      <c r="P263">
        <v>1492</v>
      </c>
      <c r="Q263" t="s">
        <v>76</v>
      </c>
      <c r="R263" s="1">
        <v>45355</v>
      </c>
      <c r="S263">
        <v>3</v>
      </c>
      <c r="T263" t="s">
        <v>32</v>
      </c>
      <c r="U263" t="s">
        <v>57</v>
      </c>
      <c r="V263" t="s">
        <v>1772</v>
      </c>
      <c r="W263" t="s">
        <v>1350</v>
      </c>
      <c r="X263">
        <v>5600</v>
      </c>
      <c r="Y263">
        <v>1200</v>
      </c>
      <c r="Z263">
        <v>3600</v>
      </c>
      <c r="AA263" t="s">
        <v>1773</v>
      </c>
    </row>
    <row r="264" spans="1:27" x14ac:dyDescent="0.2">
      <c r="A264">
        <v>3260</v>
      </c>
      <c r="B264" t="s">
        <v>495</v>
      </c>
      <c r="C264" t="str">
        <f>_xlfn.CONCAT(Merge[[#This Row],[Customer First Name]]," ",Merge[[#This Row],[Customer Last Name]])</f>
        <v>Callen Dorsey</v>
      </c>
      <c r="D264" t="s">
        <v>210</v>
      </c>
      <c r="E264">
        <v>1493</v>
      </c>
      <c r="F264" t="s">
        <v>76</v>
      </c>
      <c r="G264" s="1">
        <v>45306</v>
      </c>
      <c r="H264">
        <v>2</v>
      </c>
      <c r="I264" t="s">
        <v>32</v>
      </c>
      <c r="J264" t="s">
        <v>47</v>
      </c>
      <c r="K264">
        <v>0.25</v>
      </c>
      <c r="L264">
        <v>137.75</v>
      </c>
      <c r="M264">
        <v>551</v>
      </c>
      <c r="N264">
        <v>413.25</v>
      </c>
      <c r="O264" t="s">
        <v>114</v>
      </c>
      <c r="P264">
        <v>1493</v>
      </c>
      <c r="Q264" t="s">
        <v>76</v>
      </c>
      <c r="R264" s="1">
        <v>45306</v>
      </c>
      <c r="S264">
        <v>3</v>
      </c>
      <c r="T264" t="s">
        <v>32</v>
      </c>
      <c r="U264" t="s">
        <v>47</v>
      </c>
      <c r="V264" t="s">
        <v>1774</v>
      </c>
      <c r="W264" t="s">
        <v>1256</v>
      </c>
      <c r="X264">
        <v>3220</v>
      </c>
      <c r="Y264">
        <v>1200</v>
      </c>
      <c r="Z264">
        <v>3600</v>
      </c>
      <c r="AA264" t="s">
        <v>1775</v>
      </c>
    </row>
    <row r="265" spans="1:27" x14ac:dyDescent="0.2">
      <c r="A265">
        <v>3261</v>
      </c>
      <c r="B265" t="s">
        <v>496</v>
      </c>
      <c r="C265" t="str">
        <f>_xlfn.CONCAT(Merge[[#This Row],[Customer First Name]]," ",Merge[[#This Row],[Customer Last Name]])</f>
        <v>Manuel Hartman</v>
      </c>
      <c r="D265" t="s">
        <v>177</v>
      </c>
      <c r="E265">
        <v>1494</v>
      </c>
      <c r="F265" t="s">
        <v>51</v>
      </c>
      <c r="G265" s="1">
        <v>45371</v>
      </c>
      <c r="H265">
        <v>3</v>
      </c>
      <c r="I265" t="s">
        <v>32</v>
      </c>
      <c r="J265" t="s">
        <v>81</v>
      </c>
      <c r="K265">
        <v>0.2</v>
      </c>
      <c r="L265">
        <v>337.8</v>
      </c>
      <c r="M265">
        <v>1689</v>
      </c>
      <c r="N265">
        <v>1351.2</v>
      </c>
      <c r="O265" t="s">
        <v>54</v>
      </c>
      <c r="P265">
        <v>1494</v>
      </c>
      <c r="Q265" t="s">
        <v>51</v>
      </c>
      <c r="R265" s="1">
        <v>45371</v>
      </c>
      <c r="S265">
        <v>3</v>
      </c>
      <c r="T265" t="s">
        <v>32</v>
      </c>
      <c r="U265" t="s">
        <v>81</v>
      </c>
      <c r="V265" t="s">
        <v>1776</v>
      </c>
      <c r="W265" t="s">
        <v>1361</v>
      </c>
      <c r="X265">
        <v>870</v>
      </c>
      <c r="Y265">
        <v>250</v>
      </c>
      <c r="Z265">
        <v>750</v>
      </c>
      <c r="AA265" t="s">
        <v>1777</v>
      </c>
    </row>
    <row r="266" spans="1:27" x14ac:dyDescent="0.2">
      <c r="A266">
        <v>3262</v>
      </c>
      <c r="B266" t="s">
        <v>209</v>
      </c>
      <c r="C266" t="str">
        <f>_xlfn.CONCAT(Merge[[#This Row],[Customer First Name]]," ",Merge[[#This Row],[Customer Last Name]])</f>
        <v>Brian Coleman</v>
      </c>
      <c r="D266" t="s">
        <v>54</v>
      </c>
      <c r="E266">
        <v>1495</v>
      </c>
      <c r="F266" t="s">
        <v>31</v>
      </c>
      <c r="G266" s="1">
        <v>45467</v>
      </c>
      <c r="H266">
        <v>3</v>
      </c>
      <c r="I266" t="s">
        <v>52</v>
      </c>
      <c r="J266" t="s">
        <v>43</v>
      </c>
      <c r="K266">
        <v>0.1</v>
      </c>
      <c r="L266">
        <v>151.20000000000002</v>
      </c>
      <c r="M266">
        <v>1512</v>
      </c>
      <c r="N266">
        <v>1360.8</v>
      </c>
      <c r="O266" t="s">
        <v>114</v>
      </c>
      <c r="P266">
        <v>1495</v>
      </c>
      <c r="Q266" t="s">
        <v>31</v>
      </c>
      <c r="R266" s="1">
        <v>45467</v>
      </c>
      <c r="S266">
        <v>1</v>
      </c>
      <c r="T266" t="s">
        <v>52</v>
      </c>
      <c r="U266" t="s">
        <v>43</v>
      </c>
      <c r="V266" t="s">
        <v>1778</v>
      </c>
      <c r="W266" t="s">
        <v>865</v>
      </c>
      <c r="X266">
        <v>2000</v>
      </c>
      <c r="Y266">
        <v>250</v>
      </c>
      <c r="Z266">
        <v>250</v>
      </c>
      <c r="AA266" t="s">
        <v>1779</v>
      </c>
    </row>
    <row r="267" spans="1:27" x14ac:dyDescent="0.2">
      <c r="A267">
        <v>3263</v>
      </c>
      <c r="B267" t="s">
        <v>497</v>
      </c>
      <c r="C267" t="str">
        <f>_xlfn.CONCAT(Merge[[#This Row],[Customer First Name]]," ",Merge[[#This Row],[Customer Last Name]])</f>
        <v>Amanda Huang</v>
      </c>
      <c r="D267" t="s">
        <v>498</v>
      </c>
      <c r="E267">
        <v>1496</v>
      </c>
      <c r="F267" t="s">
        <v>42</v>
      </c>
      <c r="G267" s="1">
        <v>45632</v>
      </c>
      <c r="H267">
        <v>1</v>
      </c>
      <c r="I267" t="s">
        <v>52</v>
      </c>
      <c r="J267" t="s">
        <v>39</v>
      </c>
      <c r="K267">
        <v>0.25</v>
      </c>
      <c r="L267">
        <v>168.75</v>
      </c>
      <c r="M267">
        <v>675</v>
      </c>
      <c r="N267">
        <v>506.25</v>
      </c>
      <c r="O267" t="s">
        <v>114</v>
      </c>
      <c r="P267">
        <v>1496</v>
      </c>
      <c r="Q267" t="s">
        <v>42</v>
      </c>
      <c r="R267" s="1">
        <v>45632</v>
      </c>
      <c r="S267">
        <v>1</v>
      </c>
      <c r="T267" t="s">
        <v>52</v>
      </c>
      <c r="U267" t="s">
        <v>39</v>
      </c>
      <c r="V267" t="s">
        <v>1780</v>
      </c>
      <c r="W267" t="s">
        <v>1241</v>
      </c>
      <c r="X267">
        <v>2600</v>
      </c>
      <c r="Y267">
        <v>300</v>
      </c>
      <c r="Z267">
        <v>300</v>
      </c>
      <c r="AA267" t="s">
        <v>1781</v>
      </c>
    </row>
    <row r="268" spans="1:27" x14ac:dyDescent="0.2">
      <c r="A268">
        <v>3264</v>
      </c>
      <c r="B268" t="s">
        <v>55</v>
      </c>
      <c r="C268" t="str">
        <f>_xlfn.CONCAT(Merge[[#This Row],[Customer First Name]]," ",Merge[[#This Row],[Customer Last Name]])</f>
        <v>Marlee Jacobs</v>
      </c>
      <c r="D268" t="s">
        <v>499</v>
      </c>
      <c r="E268">
        <v>1497</v>
      </c>
      <c r="F268" t="s">
        <v>51</v>
      </c>
      <c r="G268" s="1">
        <v>45350</v>
      </c>
      <c r="H268">
        <v>2</v>
      </c>
      <c r="I268" t="s">
        <v>52</v>
      </c>
      <c r="J268" t="s">
        <v>53</v>
      </c>
      <c r="K268">
        <v>0.2</v>
      </c>
      <c r="L268">
        <v>298.60000000000002</v>
      </c>
      <c r="M268">
        <v>1493</v>
      </c>
      <c r="N268">
        <v>1194.4000000000001</v>
      </c>
      <c r="O268" t="s">
        <v>114</v>
      </c>
      <c r="P268">
        <v>1497</v>
      </c>
      <c r="Q268" t="s">
        <v>51</v>
      </c>
      <c r="R268" s="1">
        <v>45350</v>
      </c>
      <c r="S268">
        <v>3</v>
      </c>
      <c r="T268" t="s">
        <v>52</v>
      </c>
      <c r="U268" t="s">
        <v>53</v>
      </c>
      <c r="V268" t="s">
        <v>1782</v>
      </c>
      <c r="W268" t="s">
        <v>1268</v>
      </c>
      <c r="X268">
        <v>4870</v>
      </c>
      <c r="Y268">
        <v>250</v>
      </c>
      <c r="Z268">
        <v>750</v>
      </c>
      <c r="AA268" t="s">
        <v>1783</v>
      </c>
    </row>
    <row r="269" spans="1:27" x14ac:dyDescent="0.2">
      <c r="A269">
        <v>3265</v>
      </c>
      <c r="B269" t="s">
        <v>484</v>
      </c>
      <c r="C269" t="str">
        <f>_xlfn.CONCAT(Merge[[#This Row],[Customer First Name]]," ",Merge[[#This Row],[Customer Last Name]])</f>
        <v>Xiomara Mcpherson</v>
      </c>
      <c r="D269" t="s">
        <v>500</v>
      </c>
      <c r="E269">
        <v>1498</v>
      </c>
      <c r="F269" t="s">
        <v>37</v>
      </c>
      <c r="G269" s="1">
        <v>45395</v>
      </c>
      <c r="H269">
        <v>2</v>
      </c>
      <c r="I269" t="s">
        <v>32</v>
      </c>
      <c r="J269" t="s">
        <v>33</v>
      </c>
      <c r="K269">
        <v>0.3</v>
      </c>
      <c r="L269">
        <v>414.59999999999997</v>
      </c>
      <c r="M269">
        <v>1382</v>
      </c>
      <c r="N269">
        <v>967.40000000000009</v>
      </c>
      <c r="O269" t="s">
        <v>34</v>
      </c>
      <c r="P269">
        <v>1498</v>
      </c>
      <c r="Q269" t="s">
        <v>37</v>
      </c>
      <c r="R269" s="1">
        <v>45395</v>
      </c>
      <c r="S269">
        <v>3</v>
      </c>
      <c r="T269" t="s">
        <v>32</v>
      </c>
      <c r="U269" t="s">
        <v>33</v>
      </c>
      <c r="V269" t="s">
        <v>1784</v>
      </c>
      <c r="W269" t="s">
        <v>1238</v>
      </c>
      <c r="X269">
        <v>6725</v>
      </c>
      <c r="Y269">
        <v>800</v>
      </c>
      <c r="Z269">
        <v>2400</v>
      </c>
      <c r="AA269" t="s">
        <v>1785</v>
      </c>
    </row>
    <row r="270" spans="1:27" x14ac:dyDescent="0.2">
      <c r="A270">
        <v>3266</v>
      </c>
      <c r="B270" t="s">
        <v>144</v>
      </c>
      <c r="C270" t="str">
        <f>_xlfn.CONCAT(Merge[[#This Row],[Customer First Name]]," ",Merge[[#This Row],[Customer Last Name]])</f>
        <v>Logan Blevins</v>
      </c>
      <c r="D270" t="s">
        <v>501</v>
      </c>
      <c r="E270">
        <v>1499</v>
      </c>
      <c r="F270" t="s">
        <v>76</v>
      </c>
      <c r="G270" s="1">
        <v>45596</v>
      </c>
      <c r="H270">
        <v>3</v>
      </c>
      <c r="I270" t="s">
        <v>52</v>
      </c>
      <c r="J270" t="s">
        <v>47</v>
      </c>
      <c r="K270">
        <v>0.25</v>
      </c>
      <c r="L270">
        <v>86</v>
      </c>
      <c r="M270">
        <v>344</v>
      </c>
      <c r="N270">
        <v>258</v>
      </c>
      <c r="O270" t="s">
        <v>48</v>
      </c>
      <c r="P270">
        <v>1499</v>
      </c>
      <c r="Q270" t="s">
        <v>76</v>
      </c>
      <c r="R270" s="1">
        <v>45596</v>
      </c>
      <c r="S270">
        <v>1</v>
      </c>
      <c r="T270" t="s">
        <v>52</v>
      </c>
      <c r="U270" t="s">
        <v>47</v>
      </c>
      <c r="V270" t="s">
        <v>1786</v>
      </c>
      <c r="W270" t="s">
        <v>1247</v>
      </c>
      <c r="X270">
        <v>3350</v>
      </c>
      <c r="Y270">
        <v>1200</v>
      </c>
      <c r="Z270">
        <v>1200</v>
      </c>
      <c r="AA270" t="s">
        <v>1787</v>
      </c>
    </row>
    <row r="271" spans="1:27" x14ac:dyDescent="0.2">
      <c r="A271">
        <v>3267</v>
      </c>
      <c r="B271" t="s">
        <v>502</v>
      </c>
      <c r="C271" t="str">
        <f>_xlfn.CONCAT(Merge[[#This Row],[Customer First Name]]," ",Merge[[#This Row],[Customer Last Name]])</f>
        <v>Athena Kaur</v>
      </c>
      <c r="D271" t="s">
        <v>503</v>
      </c>
      <c r="E271">
        <v>1500</v>
      </c>
      <c r="F271" t="s">
        <v>76</v>
      </c>
      <c r="G271" s="1">
        <v>45409</v>
      </c>
      <c r="H271">
        <v>1</v>
      </c>
      <c r="I271" t="s">
        <v>52</v>
      </c>
      <c r="J271" t="s">
        <v>47</v>
      </c>
      <c r="K271">
        <v>0.25</v>
      </c>
      <c r="L271">
        <v>115.5</v>
      </c>
      <c r="M271">
        <v>462</v>
      </c>
      <c r="N271">
        <v>346.5</v>
      </c>
      <c r="O271" t="s">
        <v>34</v>
      </c>
      <c r="P271">
        <v>1500</v>
      </c>
      <c r="Q271" t="s">
        <v>76</v>
      </c>
      <c r="R271" s="1">
        <v>45409</v>
      </c>
      <c r="S271">
        <v>1</v>
      </c>
      <c r="T271" t="s">
        <v>52</v>
      </c>
      <c r="U271" t="s">
        <v>47</v>
      </c>
      <c r="V271" t="s">
        <v>1788</v>
      </c>
      <c r="W271" t="s">
        <v>1275</v>
      </c>
      <c r="X271">
        <v>3000</v>
      </c>
      <c r="Y271">
        <v>1200</v>
      </c>
      <c r="Z271">
        <v>1200</v>
      </c>
      <c r="AA271" t="s">
        <v>1789</v>
      </c>
    </row>
    <row r="272" spans="1:27" x14ac:dyDescent="0.2">
      <c r="A272">
        <v>3268</v>
      </c>
      <c r="B272" t="s">
        <v>504</v>
      </c>
      <c r="C272" t="str">
        <f>_xlfn.CONCAT(Merge[[#This Row],[Customer First Name]]," ",Merge[[#This Row],[Customer Last Name]])</f>
        <v>Elsie Conley</v>
      </c>
      <c r="D272" t="s">
        <v>505</v>
      </c>
      <c r="E272">
        <v>1501</v>
      </c>
      <c r="F272" t="s">
        <v>76</v>
      </c>
      <c r="G272" s="1">
        <v>45614</v>
      </c>
      <c r="H272">
        <v>1</v>
      </c>
      <c r="I272" t="s">
        <v>32</v>
      </c>
      <c r="J272" t="s">
        <v>53</v>
      </c>
      <c r="K272">
        <v>0.25</v>
      </c>
      <c r="L272">
        <v>291.5</v>
      </c>
      <c r="M272">
        <v>1166</v>
      </c>
      <c r="N272">
        <v>874.5</v>
      </c>
      <c r="O272" t="s">
        <v>44</v>
      </c>
      <c r="P272">
        <v>1501</v>
      </c>
      <c r="Q272" t="s">
        <v>76</v>
      </c>
      <c r="R272" s="1">
        <v>45614</v>
      </c>
      <c r="S272">
        <v>3</v>
      </c>
      <c r="T272" t="s">
        <v>32</v>
      </c>
      <c r="U272" t="s">
        <v>53</v>
      </c>
      <c r="V272" t="s">
        <v>1790</v>
      </c>
      <c r="W272" t="s">
        <v>1250</v>
      </c>
      <c r="X272">
        <v>4217</v>
      </c>
      <c r="Y272">
        <v>1200</v>
      </c>
      <c r="Z272">
        <v>3600</v>
      </c>
      <c r="AA272" t="s">
        <v>1791</v>
      </c>
    </row>
    <row r="273" spans="1:27" x14ac:dyDescent="0.2">
      <c r="A273">
        <v>3269</v>
      </c>
      <c r="B273" t="s">
        <v>506</v>
      </c>
      <c r="C273" t="str">
        <f>_xlfn.CONCAT(Merge[[#This Row],[Customer First Name]]," ",Merge[[#This Row],[Customer Last Name]])</f>
        <v>Emersyn Kramer</v>
      </c>
      <c r="D273" t="s">
        <v>507</v>
      </c>
      <c r="E273">
        <v>1502</v>
      </c>
      <c r="F273" t="s">
        <v>51</v>
      </c>
      <c r="G273" s="1">
        <v>45360</v>
      </c>
      <c r="H273">
        <v>1</v>
      </c>
      <c r="I273" t="s">
        <v>52</v>
      </c>
      <c r="J273" t="s">
        <v>39</v>
      </c>
      <c r="K273">
        <v>0.2</v>
      </c>
      <c r="L273">
        <v>129.4</v>
      </c>
      <c r="M273">
        <v>647</v>
      </c>
      <c r="N273">
        <v>517.6</v>
      </c>
      <c r="O273" t="s">
        <v>44</v>
      </c>
      <c r="P273">
        <v>1502</v>
      </c>
      <c r="Q273" t="s">
        <v>51</v>
      </c>
      <c r="R273" s="1">
        <v>45360</v>
      </c>
      <c r="S273">
        <v>2</v>
      </c>
      <c r="T273" t="s">
        <v>52</v>
      </c>
      <c r="U273" t="s">
        <v>39</v>
      </c>
      <c r="V273" t="s">
        <v>1792</v>
      </c>
      <c r="W273" t="s">
        <v>1241</v>
      </c>
      <c r="X273">
        <v>2600</v>
      </c>
      <c r="Y273">
        <v>250</v>
      </c>
      <c r="Z273">
        <v>500</v>
      </c>
      <c r="AA273" t="s">
        <v>1793</v>
      </c>
    </row>
    <row r="274" spans="1:27" x14ac:dyDescent="0.2">
      <c r="A274">
        <v>3270</v>
      </c>
      <c r="B274" t="s">
        <v>508</v>
      </c>
      <c r="C274" t="str">
        <f>_xlfn.CONCAT(Merge[[#This Row],[Customer First Name]]," ",Merge[[#This Row],[Customer Last Name]])</f>
        <v>Talia Crosby</v>
      </c>
      <c r="D274" t="s">
        <v>509</v>
      </c>
      <c r="E274">
        <v>1503</v>
      </c>
      <c r="F274" t="s">
        <v>42</v>
      </c>
      <c r="G274" s="1">
        <v>45510</v>
      </c>
      <c r="H274">
        <v>3</v>
      </c>
      <c r="I274" t="s">
        <v>52</v>
      </c>
      <c r="J274" t="s">
        <v>39</v>
      </c>
      <c r="K274">
        <v>0.25</v>
      </c>
      <c r="L274">
        <v>309.5</v>
      </c>
      <c r="M274">
        <v>1238</v>
      </c>
      <c r="N274">
        <v>928.5</v>
      </c>
      <c r="O274" t="s">
        <v>54</v>
      </c>
      <c r="P274">
        <v>1503</v>
      </c>
      <c r="Q274" t="s">
        <v>42</v>
      </c>
      <c r="R274" s="1">
        <v>45510</v>
      </c>
      <c r="S274">
        <v>2</v>
      </c>
      <c r="T274" t="s">
        <v>52</v>
      </c>
      <c r="U274" t="s">
        <v>39</v>
      </c>
      <c r="V274" t="s">
        <v>1794</v>
      </c>
      <c r="W274" t="s">
        <v>1241</v>
      </c>
      <c r="X274">
        <v>2600</v>
      </c>
      <c r="Y274">
        <v>300</v>
      </c>
      <c r="Z274">
        <v>600</v>
      </c>
      <c r="AA274" t="s">
        <v>1795</v>
      </c>
    </row>
    <row r="275" spans="1:27" x14ac:dyDescent="0.2">
      <c r="A275">
        <v>3271</v>
      </c>
      <c r="B275" t="s">
        <v>510</v>
      </c>
      <c r="C275" t="str">
        <f>_xlfn.CONCAT(Merge[[#This Row],[Customer First Name]]," ",Merge[[#This Row],[Customer Last Name]])</f>
        <v>Charli Carson</v>
      </c>
      <c r="D275" t="s">
        <v>307</v>
      </c>
      <c r="E275">
        <v>1504</v>
      </c>
      <c r="F275" t="s">
        <v>76</v>
      </c>
      <c r="G275" s="1">
        <v>45464</v>
      </c>
      <c r="H275">
        <v>1</v>
      </c>
      <c r="I275" t="s">
        <v>32</v>
      </c>
      <c r="J275" t="s">
        <v>64</v>
      </c>
      <c r="K275">
        <v>0.25</v>
      </c>
      <c r="L275">
        <v>70</v>
      </c>
      <c r="M275">
        <v>280</v>
      </c>
      <c r="N275">
        <v>210</v>
      </c>
      <c r="O275" t="s">
        <v>34</v>
      </c>
      <c r="P275">
        <v>1504</v>
      </c>
      <c r="Q275" t="s">
        <v>76</v>
      </c>
      <c r="R275" s="1">
        <v>45464</v>
      </c>
      <c r="S275">
        <v>2</v>
      </c>
      <c r="T275" t="s">
        <v>32</v>
      </c>
      <c r="U275" t="s">
        <v>64</v>
      </c>
      <c r="V275" t="s">
        <v>1796</v>
      </c>
      <c r="W275" t="s">
        <v>1265</v>
      </c>
      <c r="X275">
        <v>7000</v>
      </c>
      <c r="Y275">
        <v>1200</v>
      </c>
      <c r="Z275">
        <v>2400</v>
      </c>
      <c r="AA275" t="s">
        <v>1797</v>
      </c>
    </row>
    <row r="276" spans="1:27" x14ac:dyDescent="0.2">
      <c r="A276">
        <v>3272</v>
      </c>
      <c r="B276" t="s">
        <v>511</v>
      </c>
      <c r="C276" t="str">
        <f>_xlfn.CONCAT(Merge[[#This Row],[Customer First Name]]," ",Merge[[#This Row],[Customer Last Name]])</f>
        <v>Emilia Duran</v>
      </c>
      <c r="D276" t="s">
        <v>512</v>
      </c>
      <c r="E276">
        <v>1505</v>
      </c>
      <c r="F276" t="s">
        <v>51</v>
      </c>
      <c r="G276" s="1">
        <v>45609</v>
      </c>
      <c r="H276">
        <v>1</v>
      </c>
      <c r="I276" t="s">
        <v>32</v>
      </c>
      <c r="J276" t="s">
        <v>57</v>
      </c>
      <c r="K276">
        <v>0.2</v>
      </c>
      <c r="L276">
        <v>249.20000000000002</v>
      </c>
      <c r="M276">
        <v>1246</v>
      </c>
      <c r="N276">
        <v>996.8</v>
      </c>
      <c r="O276" t="s">
        <v>34</v>
      </c>
      <c r="P276">
        <v>1505</v>
      </c>
      <c r="Q276" t="s">
        <v>51</v>
      </c>
      <c r="R276" s="1">
        <v>45609</v>
      </c>
      <c r="S276">
        <v>1</v>
      </c>
      <c r="T276" t="s">
        <v>32</v>
      </c>
      <c r="U276" t="s">
        <v>57</v>
      </c>
      <c r="V276" t="s">
        <v>1798</v>
      </c>
      <c r="W276" t="s">
        <v>1253</v>
      </c>
      <c r="X276">
        <v>5290</v>
      </c>
      <c r="Y276">
        <v>250</v>
      </c>
      <c r="Z276">
        <v>250</v>
      </c>
      <c r="AA276" t="s">
        <v>1799</v>
      </c>
    </row>
    <row r="277" spans="1:27" x14ac:dyDescent="0.2">
      <c r="A277">
        <v>3273</v>
      </c>
      <c r="B277" t="s">
        <v>513</v>
      </c>
      <c r="C277" t="str">
        <f>_xlfn.CONCAT(Merge[[#This Row],[Customer First Name]]," ",Merge[[#This Row],[Customer Last Name]])</f>
        <v>Collin Velasquez</v>
      </c>
      <c r="D277" t="s">
        <v>102</v>
      </c>
      <c r="E277">
        <v>1506</v>
      </c>
      <c r="F277" t="s">
        <v>31</v>
      </c>
      <c r="G277" s="1">
        <v>45606</v>
      </c>
      <c r="H277">
        <v>1</v>
      </c>
      <c r="I277" t="s">
        <v>52</v>
      </c>
      <c r="J277" t="s">
        <v>43</v>
      </c>
      <c r="K277">
        <v>0.1</v>
      </c>
      <c r="L277">
        <v>126.10000000000001</v>
      </c>
      <c r="M277">
        <v>1261</v>
      </c>
      <c r="N277">
        <v>1134.9000000000001</v>
      </c>
      <c r="O277" t="s">
        <v>54</v>
      </c>
      <c r="P277">
        <v>1506</v>
      </c>
      <c r="Q277" t="s">
        <v>31</v>
      </c>
      <c r="R277" s="1">
        <v>45606</v>
      </c>
      <c r="S277">
        <v>2</v>
      </c>
      <c r="T277" t="s">
        <v>52</v>
      </c>
      <c r="U277" t="s">
        <v>43</v>
      </c>
      <c r="V277" t="s">
        <v>1800</v>
      </c>
      <c r="W277" t="s">
        <v>1244</v>
      </c>
      <c r="X277">
        <v>2300</v>
      </c>
      <c r="Y277">
        <v>250</v>
      </c>
      <c r="Z277">
        <v>500</v>
      </c>
      <c r="AA277" t="s">
        <v>1801</v>
      </c>
    </row>
    <row r="278" spans="1:27" x14ac:dyDescent="0.2">
      <c r="A278">
        <v>3274</v>
      </c>
      <c r="B278" t="s">
        <v>514</v>
      </c>
      <c r="C278" t="str">
        <f>_xlfn.CONCAT(Merge[[#This Row],[Customer First Name]]," ",Merge[[#This Row],[Customer Last Name]])</f>
        <v>Elise Booker</v>
      </c>
      <c r="D278" t="s">
        <v>266</v>
      </c>
      <c r="E278">
        <v>1507</v>
      </c>
      <c r="F278" t="s">
        <v>76</v>
      </c>
      <c r="G278" s="1">
        <v>45550</v>
      </c>
      <c r="H278">
        <v>3</v>
      </c>
      <c r="I278" t="s">
        <v>32</v>
      </c>
      <c r="J278" t="s">
        <v>47</v>
      </c>
      <c r="K278">
        <v>0.25</v>
      </c>
      <c r="L278">
        <v>325.75</v>
      </c>
      <c r="M278">
        <v>1303</v>
      </c>
      <c r="N278">
        <v>977.25</v>
      </c>
      <c r="O278" t="s">
        <v>44</v>
      </c>
      <c r="P278">
        <v>1507</v>
      </c>
      <c r="Q278" t="s">
        <v>76</v>
      </c>
      <c r="R278" s="1">
        <v>45550</v>
      </c>
      <c r="S278">
        <v>3</v>
      </c>
      <c r="T278" t="s">
        <v>32</v>
      </c>
      <c r="U278" t="s">
        <v>47</v>
      </c>
      <c r="V278" t="s">
        <v>1802</v>
      </c>
      <c r="W278" t="s">
        <v>1275</v>
      </c>
      <c r="X278">
        <v>3000</v>
      </c>
      <c r="Y278">
        <v>1200</v>
      </c>
      <c r="Z278">
        <v>3600</v>
      </c>
      <c r="AA278" t="s">
        <v>1803</v>
      </c>
    </row>
    <row r="279" spans="1:27" x14ac:dyDescent="0.2">
      <c r="A279">
        <v>3275</v>
      </c>
      <c r="B279" t="s">
        <v>127</v>
      </c>
      <c r="C279" t="str">
        <f>_xlfn.CONCAT(Merge[[#This Row],[Customer First Name]]," ",Merge[[#This Row],[Customer Last Name]])</f>
        <v>Austin Sharp</v>
      </c>
      <c r="D279" t="s">
        <v>231</v>
      </c>
      <c r="E279">
        <v>1508</v>
      </c>
      <c r="F279" t="s">
        <v>76</v>
      </c>
      <c r="G279" s="1">
        <v>45539</v>
      </c>
      <c r="H279">
        <v>3</v>
      </c>
      <c r="I279" t="s">
        <v>32</v>
      </c>
      <c r="J279" t="s">
        <v>53</v>
      </c>
      <c r="K279">
        <v>0.25</v>
      </c>
      <c r="L279">
        <v>438.75</v>
      </c>
      <c r="M279">
        <v>1755</v>
      </c>
      <c r="N279">
        <v>1316.25</v>
      </c>
      <c r="O279" t="s">
        <v>44</v>
      </c>
      <c r="P279">
        <v>1508</v>
      </c>
      <c r="Q279" t="s">
        <v>76</v>
      </c>
      <c r="R279" s="1">
        <v>45539</v>
      </c>
      <c r="S279">
        <v>1</v>
      </c>
      <c r="T279" t="s">
        <v>32</v>
      </c>
      <c r="U279" t="s">
        <v>53</v>
      </c>
      <c r="V279" t="s">
        <v>1804</v>
      </c>
      <c r="W279" t="s">
        <v>1268</v>
      </c>
      <c r="X279">
        <v>4870</v>
      </c>
      <c r="Y279">
        <v>1200</v>
      </c>
      <c r="Z279">
        <v>1200</v>
      </c>
      <c r="AA279" t="s">
        <v>1805</v>
      </c>
    </row>
    <row r="280" spans="1:27" x14ac:dyDescent="0.2">
      <c r="A280">
        <v>3276</v>
      </c>
      <c r="B280" t="s">
        <v>515</v>
      </c>
      <c r="C280" t="str">
        <f>_xlfn.CONCAT(Merge[[#This Row],[Customer First Name]]," ",Merge[[#This Row],[Customer Last Name]])</f>
        <v>Walter Harding</v>
      </c>
      <c r="D280" t="s">
        <v>68</v>
      </c>
      <c r="E280">
        <v>1509</v>
      </c>
      <c r="F280" t="s">
        <v>37</v>
      </c>
      <c r="G280" s="1">
        <v>45307</v>
      </c>
      <c r="H280">
        <v>1</v>
      </c>
      <c r="I280" t="s">
        <v>32</v>
      </c>
      <c r="J280" t="s">
        <v>33</v>
      </c>
      <c r="K280">
        <v>0.3</v>
      </c>
      <c r="L280">
        <v>352.5</v>
      </c>
      <c r="M280">
        <v>1175</v>
      </c>
      <c r="N280">
        <v>822.5</v>
      </c>
      <c r="O280" t="s">
        <v>114</v>
      </c>
      <c r="P280">
        <v>1509</v>
      </c>
      <c r="Q280" t="s">
        <v>37</v>
      </c>
      <c r="R280" s="1">
        <v>45307</v>
      </c>
      <c r="S280">
        <v>3</v>
      </c>
      <c r="T280" t="s">
        <v>32</v>
      </c>
      <c r="U280" t="s">
        <v>33</v>
      </c>
      <c r="V280" t="s">
        <v>1806</v>
      </c>
      <c r="W280" t="s">
        <v>1259</v>
      </c>
      <c r="X280">
        <v>6160</v>
      </c>
      <c r="Y280">
        <v>800</v>
      </c>
      <c r="Z280">
        <v>2400</v>
      </c>
      <c r="AA280" t="s">
        <v>1807</v>
      </c>
    </row>
    <row r="281" spans="1:27" x14ac:dyDescent="0.2">
      <c r="A281">
        <v>3277</v>
      </c>
      <c r="B281" t="s">
        <v>516</v>
      </c>
      <c r="C281" t="str">
        <f>_xlfn.CONCAT(Merge[[#This Row],[Customer First Name]]," ",Merge[[#This Row],[Customer Last Name]])</f>
        <v>Isabelle Lowery</v>
      </c>
      <c r="D281" t="s">
        <v>109</v>
      </c>
      <c r="E281">
        <v>1510</v>
      </c>
      <c r="F281" t="s">
        <v>51</v>
      </c>
      <c r="G281" s="1">
        <v>45585</v>
      </c>
      <c r="H281">
        <v>1</v>
      </c>
      <c r="I281" t="s">
        <v>38</v>
      </c>
      <c r="J281" t="s">
        <v>39</v>
      </c>
      <c r="K281">
        <v>0.2</v>
      </c>
      <c r="L281">
        <v>200.4</v>
      </c>
      <c r="M281">
        <v>1002</v>
      </c>
      <c r="N281">
        <v>801.6</v>
      </c>
      <c r="O281" t="s">
        <v>44</v>
      </c>
      <c r="P281">
        <v>1510</v>
      </c>
      <c r="Q281" t="s">
        <v>51</v>
      </c>
      <c r="R281" s="1">
        <v>45585</v>
      </c>
      <c r="S281">
        <v>1</v>
      </c>
      <c r="T281" t="s">
        <v>38</v>
      </c>
      <c r="U281" t="s">
        <v>39</v>
      </c>
      <c r="V281" t="s">
        <v>1808</v>
      </c>
      <c r="W281" t="s">
        <v>1241</v>
      </c>
      <c r="X281">
        <v>2600</v>
      </c>
      <c r="Y281">
        <v>250</v>
      </c>
      <c r="Z281">
        <v>250</v>
      </c>
      <c r="AA281" t="s">
        <v>1809</v>
      </c>
    </row>
    <row r="282" spans="1:27" x14ac:dyDescent="0.2">
      <c r="A282">
        <v>3278</v>
      </c>
      <c r="B282" t="s">
        <v>497</v>
      </c>
      <c r="C282" t="str">
        <f>_xlfn.CONCAT(Merge[[#This Row],[Customer First Name]]," ",Merge[[#This Row],[Customer Last Name]])</f>
        <v>Lexi Huang</v>
      </c>
      <c r="D282" t="s">
        <v>517</v>
      </c>
      <c r="E282">
        <v>1511</v>
      </c>
      <c r="F282" t="s">
        <v>92</v>
      </c>
      <c r="G282" s="1">
        <v>45438</v>
      </c>
      <c r="H282">
        <v>3</v>
      </c>
      <c r="I282" t="s">
        <v>38</v>
      </c>
      <c r="J282" t="s">
        <v>43</v>
      </c>
      <c r="K282">
        <v>0.3</v>
      </c>
      <c r="L282">
        <v>264.3</v>
      </c>
      <c r="M282">
        <v>881</v>
      </c>
      <c r="N282">
        <v>616.70000000000005</v>
      </c>
      <c r="O282" t="s">
        <v>34</v>
      </c>
      <c r="P282">
        <v>1511</v>
      </c>
      <c r="Q282" t="s">
        <v>92</v>
      </c>
      <c r="R282" s="1">
        <v>45438</v>
      </c>
      <c r="S282">
        <v>1</v>
      </c>
      <c r="T282" t="s">
        <v>38</v>
      </c>
      <c r="U282" t="s">
        <v>43</v>
      </c>
      <c r="V282" t="s">
        <v>1810</v>
      </c>
      <c r="W282" t="s">
        <v>865</v>
      </c>
      <c r="X282">
        <v>2000</v>
      </c>
      <c r="Y282">
        <v>600</v>
      </c>
      <c r="Z282">
        <v>600</v>
      </c>
      <c r="AA282" t="s">
        <v>1811</v>
      </c>
    </row>
    <row r="283" spans="1:27" x14ac:dyDescent="0.2">
      <c r="A283">
        <v>3279</v>
      </c>
      <c r="B283" t="s">
        <v>518</v>
      </c>
      <c r="C283" t="str">
        <f>_xlfn.CONCAT(Merge[[#This Row],[Customer First Name]]," ",Merge[[#This Row],[Customer Last Name]])</f>
        <v>Charlotte Byrd</v>
      </c>
      <c r="D283" t="s">
        <v>519</v>
      </c>
      <c r="E283">
        <v>1512</v>
      </c>
      <c r="F283" t="s">
        <v>42</v>
      </c>
      <c r="G283" s="1">
        <v>45387</v>
      </c>
      <c r="H283">
        <v>2</v>
      </c>
      <c r="I283" t="s">
        <v>32</v>
      </c>
      <c r="J283" t="s">
        <v>81</v>
      </c>
      <c r="K283">
        <v>0.25</v>
      </c>
      <c r="L283">
        <v>14.25</v>
      </c>
      <c r="M283">
        <v>57</v>
      </c>
      <c r="N283">
        <v>42.75</v>
      </c>
      <c r="O283" t="s">
        <v>44</v>
      </c>
      <c r="P283">
        <v>1512</v>
      </c>
      <c r="Q283" t="s">
        <v>42</v>
      </c>
      <c r="R283" s="1">
        <v>45387</v>
      </c>
      <c r="S283">
        <v>3</v>
      </c>
      <c r="T283" t="s">
        <v>32</v>
      </c>
      <c r="U283" t="s">
        <v>81</v>
      </c>
      <c r="V283" t="s">
        <v>1812</v>
      </c>
      <c r="W283" t="s">
        <v>1280</v>
      </c>
      <c r="X283">
        <v>800</v>
      </c>
      <c r="Y283">
        <v>300</v>
      </c>
      <c r="Z283">
        <v>900</v>
      </c>
      <c r="AA283" t="s">
        <v>1813</v>
      </c>
    </row>
    <row r="284" spans="1:27" x14ac:dyDescent="0.2">
      <c r="A284">
        <v>3280</v>
      </c>
      <c r="B284" t="s">
        <v>520</v>
      </c>
      <c r="C284" t="str">
        <f>_xlfn.CONCAT(Merge[[#This Row],[Customer First Name]]," ",Merge[[#This Row],[Customer Last Name]])</f>
        <v>Selah Peters</v>
      </c>
      <c r="D284" t="s">
        <v>250</v>
      </c>
      <c r="E284">
        <v>1513</v>
      </c>
      <c r="F284" t="s">
        <v>42</v>
      </c>
      <c r="G284" s="1">
        <v>45504</v>
      </c>
      <c r="H284">
        <v>3</v>
      </c>
      <c r="I284" t="s">
        <v>32</v>
      </c>
      <c r="J284" t="s">
        <v>64</v>
      </c>
      <c r="K284">
        <v>0.25</v>
      </c>
      <c r="L284">
        <v>301.75</v>
      </c>
      <c r="M284">
        <v>1207</v>
      </c>
      <c r="N284">
        <v>905.25</v>
      </c>
      <c r="O284" t="s">
        <v>114</v>
      </c>
      <c r="P284">
        <v>1513</v>
      </c>
      <c r="Q284" t="s">
        <v>42</v>
      </c>
      <c r="R284" s="1">
        <v>45504</v>
      </c>
      <c r="S284">
        <v>1</v>
      </c>
      <c r="T284" t="s">
        <v>32</v>
      </c>
      <c r="U284" t="s">
        <v>64</v>
      </c>
      <c r="V284" t="s">
        <v>1814</v>
      </c>
      <c r="W284" t="s">
        <v>1400</v>
      </c>
      <c r="X284">
        <v>7310</v>
      </c>
      <c r="Y284">
        <v>300</v>
      </c>
      <c r="Z284">
        <v>300</v>
      </c>
      <c r="AA284" t="s">
        <v>1815</v>
      </c>
    </row>
    <row r="285" spans="1:27" x14ac:dyDescent="0.2">
      <c r="A285">
        <v>3281</v>
      </c>
      <c r="B285" t="s">
        <v>521</v>
      </c>
      <c r="C285" t="str">
        <f>_xlfn.CONCAT(Merge[[#This Row],[Customer First Name]]," ",Merge[[#This Row],[Customer Last Name]])</f>
        <v>Genesis Estes</v>
      </c>
      <c r="D285" t="s">
        <v>522</v>
      </c>
      <c r="E285">
        <v>1514</v>
      </c>
      <c r="F285" t="s">
        <v>37</v>
      </c>
      <c r="G285" s="1">
        <v>45334</v>
      </c>
      <c r="H285">
        <v>3</v>
      </c>
      <c r="I285" t="s">
        <v>32</v>
      </c>
      <c r="J285" t="s">
        <v>39</v>
      </c>
      <c r="K285">
        <v>0.3</v>
      </c>
      <c r="L285">
        <v>431.09999999999997</v>
      </c>
      <c r="M285">
        <v>1437</v>
      </c>
      <c r="N285">
        <v>1005.9000000000001</v>
      </c>
      <c r="O285" t="s">
        <v>44</v>
      </c>
      <c r="P285">
        <v>1514</v>
      </c>
      <c r="Q285" t="s">
        <v>37</v>
      </c>
      <c r="R285" s="1">
        <v>45334</v>
      </c>
      <c r="S285">
        <v>3</v>
      </c>
      <c r="T285" t="s">
        <v>32</v>
      </c>
      <c r="U285" t="s">
        <v>39</v>
      </c>
      <c r="V285" t="s">
        <v>1816</v>
      </c>
      <c r="W285" t="s">
        <v>1241</v>
      </c>
      <c r="X285">
        <v>2600</v>
      </c>
      <c r="Y285">
        <v>800</v>
      </c>
      <c r="Z285">
        <v>2400</v>
      </c>
      <c r="AA285" t="s">
        <v>1817</v>
      </c>
    </row>
    <row r="286" spans="1:27" x14ac:dyDescent="0.2">
      <c r="A286">
        <v>3282</v>
      </c>
      <c r="B286" t="s">
        <v>523</v>
      </c>
      <c r="C286" t="str">
        <f>_xlfn.CONCAT(Merge[[#This Row],[Customer First Name]]," ",Merge[[#This Row],[Customer Last Name]])</f>
        <v>Noah Dodson</v>
      </c>
      <c r="D286" t="s">
        <v>524</v>
      </c>
      <c r="E286">
        <v>1515</v>
      </c>
      <c r="F286" t="s">
        <v>42</v>
      </c>
      <c r="G286" s="1">
        <v>45413</v>
      </c>
      <c r="H286">
        <v>3</v>
      </c>
      <c r="I286" t="s">
        <v>52</v>
      </c>
      <c r="J286" t="s">
        <v>57</v>
      </c>
      <c r="K286">
        <v>0.25</v>
      </c>
      <c r="L286">
        <v>65</v>
      </c>
      <c r="M286">
        <v>260</v>
      </c>
      <c r="N286">
        <v>195</v>
      </c>
      <c r="O286" t="s">
        <v>114</v>
      </c>
      <c r="P286">
        <v>1515</v>
      </c>
      <c r="Q286" t="s">
        <v>42</v>
      </c>
      <c r="R286" s="1">
        <v>45413</v>
      </c>
      <c r="S286">
        <v>2</v>
      </c>
      <c r="T286" t="s">
        <v>52</v>
      </c>
      <c r="U286" t="s">
        <v>57</v>
      </c>
      <c r="V286" t="s">
        <v>1818</v>
      </c>
      <c r="W286" t="s">
        <v>1350</v>
      </c>
      <c r="X286">
        <v>5600</v>
      </c>
      <c r="Y286">
        <v>300</v>
      </c>
      <c r="Z286">
        <v>600</v>
      </c>
      <c r="AA286" t="s">
        <v>1819</v>
      </c>
    </row>
    <row r="287" spans="1:27" x14ac:dyDescent="0.2">
      <c r="A287">
        <v>3283</v>
      </c>
      <c r="B287" t="s">
        <v>525</v>
      </c>
      <c r="C287" t="str">
        <f>_xlfn.CONCAT(Merge[[#This Row],[Customer First Name]]," ",Merge[[#This Row],[Customer Last Name]])</f>
        <v>Gideon Chandler</v>
      </c>
      <c r="D287" t="s">
        <v>492</v>
      </c>
      <c r="E287">
        <v>1516</v>
      </c>
      <c r="F287" t="s">
        <v>42</v>
      </c>
      <c r="G287" s="1">
        <v>45325</v>
      </c>
      <c r="H287">
        <v>1</v>
      </c>
      <c r="I287" t="s">
        <v>71</v>
      </c>
      <c r="J287" t="s">
        <v>39</v>
      </c>
      <c r="K287">
        <v>0.25</v>
      </c>
      <c r="L287">
        <v>100.75</v>
      </c>
      <c r="M287">
        <v>403</v>
      </c>
      <c r="N287">
        <v>302.25</v>
      </c>
      <c r="O287" t="s">
        <v>44</v>
      </c>
      <c r="P287">
        <v>1516</v>
      </c>
      <c r="Q287" t="s">
        <v>42</v>
      </c>
      <c r="R287" s="1">
        <v>45325</v>
      </c>
      <c r="S287">
        <v>1</v>
      </c>
      <c r="T287" t="s">
        <v>71</v>
      </c>
      <c r="U287" t="s">
        <v>39</v>
      </c>
      <c r="V287" t="s">
        <v>1820</v>
      </c>
      <c r="W287" t="s">
        <v>1241</v>
      </c>
      <c r="X287">
        <v>2600</v>
      </c>
      <c r="Y287">
        <v>300</v>
      </c>
      <c r="Z287">
        <v>300</v>
      </c>
      <c r="AA287" t="s">
        <v>1821</v>
      </c>
    </row>
    <row r="288" spans="1:27" x14ac:dyDescent="0.2">
      <c r="A288">
        <v>3284</v>
      </c>
      <c r="B288" t="s">
        <v>104</v>
      </c>
      <c r="C288" t="str">
        <f>_xlfn.CONCAT(Merge[[#This Row],[Customer First Name]]," ",Merge[[#This Row],[Customer Last Name]])</f>
        <v>Nolan Kane</v>
      </c>
      <c r="D288" t="s">
        <v>526</v>
      </c>
      <c r="E288">
        <v>1517</v>
      </c>
      <c r="F288" t="s">
        <v>92</v>
      </c>
      <c r="G288" s="1">
        <v>45498</v>
      </c>
      <c r="H288">
        <v>3</v>
      </c>
      <c r="I288" t="s">
        <v>52</v>
      </c>
      <c r="J288" t="s">
        <v>64</v>
      </c>
      <c r="K288">
        <v>0.3</v>
      </c>
      <c r="L288">
        <v>513.6</v>
      </c>
      <c r="M288">
        <v>1712</v>
      </c>
      <c r="N288">
        <v>1198.4000000000001</v>
      </c>
      <c r="O288" t="s">
        <v>48</v>
      </c>
      <c r="P288">
        <v>1517</v>
      </c>
      <c r="Q288" t="s">
        <v>92</v>
      </c>
      <c r="R288" s="1">
        <v>45498</v>
      </c>
      <c r="S288">
        <v>2</v>
      </c>
      <c r="T288" t="s">
        <v>52</v>
      </c>
      <c r="U288" t="s">
        <v>64</v>
      </c>
      <c r="V288" t="s">
        <v>1822</v>
      </c>
      <c r="W288" t="s">
        <v>1265</v>
      </c>
      <c r="X288">
        <v>7000</v>
      </c>
      <c r="Y288">
        <v>600</v>
      </c>
      <c r="Z288">
        <v>1200</v>
      </c>
      <c r="AA288" t="s">
        <v>1823</v>
      </c>
    </row>
    <row r="289" spans="1:27" x14ac:dyDescent="0.2">
      <c r="A289">
        <v>3285</v>
      </c>
      <c r="B289" t="s">
        <v>501</v>
      </c>
      <c r="C289" t="str">
        <f>_xlfn.CONCAT(Merge[[#This Row],[Customer First Name]]," ",Merge[[#This Row],[Customer Last Name]])</f>
        <v>Kimberly Logan</v>
      </c>
      <c r="D289" t="s">
        <v>527</v>
      </c>
      <c r="E289">
        <v>1518</v>
      </c>
      <c r="F289" t="s">
        <v>76</v>
      </c>
      <c r="G289" s="1">
        <v>45425</v>
      </c>
      <c r="H289">
        <v>3</v>
      </c>
      <c r="I289" t="s">
        <v>71</v>
      </c>
      <c r="J289" t="s">
        <v>43</v>
      </c>
      <c r="K289">
        <v>0.25</v>
      </c>
      <c r="L289">
        <v>59.75</v>
      </c>
      <c r="M289">
        <v>239</v>
      </c>
      <c r="N289">
        <v>179.25</v>
      </c>
      <c r="O289" t="s">
        <v>114</v>
      </c>
      <c r="P289">
        <v>1518</v>
      </c>
      <c r="Q289" t="s">
        <v>76</v>
      </c>
      <c r="R289" s="1">
        <v>45425</v>
      </c>
      <c r="S289">
        <v>1</v>
      </c>
      <c r="T289" t="s">
        <v>71</v>
      </c>
      <c r="U289" t="s">
        <v>43</v>
      </c>
      <c r="V289" t="s">
        <v>1824</v>
      </c>
      <c r="W289" t="s">
        <v>865</v>
      </c>
      <c r="X289">
        <v>2000</v>
      </c>
      <c r="Y289">
        <v>1200</v>
      </c>
      <c r="Z289">
        <v>1200</v>
      </c>
      <c r="AA289" t="s">
        <v>1825</v>
      </c>
    </row>
    <row r="290" spans="1:27" x14ac:dyDescent="0.2">
      <c r="A290">
        <v>3286</v>
      </c>
      <c r="B290" t="s">
        <v>528</v>
      </c>
      <c r="C290" t="str">
        <f>_xlfn.CONCAT(Merge[[#This Row],[Customer First Name]]," ",Merge[[#This Row],[Customer Last Name]])</f>
        <v>Kaleb Beil</v>
      </c>
      <c r="D290" t="s">
        <v>529</v>
      </c>
      <c r="E290">
        <v>1519</v>
      </c>
      <c r="F290" t="s">
        <v>92</v>
      </c>
      <c r="G290" s="1">
        <v>45572</v>
      </c>
      <c r="H290">
        <v>1</v>
      </c>
      <c r="I290" t="s">
        <v>32</v>
      </c>
      <c r="J290" t="s">
        <v>57</v>
      </c>
      <c r="K290">
        <v>0.3</v>
      </c>
      <c r="L290">
        <v>421.5</v>
      </c>
      <c r="M290">
        <v>1405</v>
      </c>
      <c r="N290">
        <v>983.5</v>
      </c>
      <c r="O290" t="s">
        <v>114</v>
      </c>
      <c r="P290">
        <v>1519</v>
      </c>
      <c r="Q290" t="s">
        <v>92</v>
      </c>
      <c r="R290" s="1">
        <v>45572</v>
      </c>
      <c r="S290">
        <v>1</v>
      </c>
      <c r="T290" t="s">
        <v>32</v>
      </c>
      <c r="U290" t="s">
        <v>57</v>
      </c>
      <c r="V290" t="s">
        <v>1826</v>
      </c>
      <c r="W290" t="s">
        <v>1253</v>
      </c>
      <c r="X290">
        <v>5290</v>
      </c>
      <c r="Y290">
        <v>600</v>
      </c>
      <c r="Z290">
        <v>600</v>
      </c>
      <c r="AA290" t="s">
        <v>1827</v>
      </c>
    </row>
    <row r="291" spans="1:27" x14ac:dyDescent="0.2">
      <c r="A291">
        <v>3287</v>
      </c>
      <c r="B291" t="s">
        <v>530</v>
      </c>
      <c r="C291" t="str">
        <f>_xlfn.CONCAT(Merge[[#This Row],[Customer First Name]]," ",Merge[[#This Row],[Customer Last Name]])</f>
        <v>Patrick Gibbs</v>
      </c>
      <c r="D291" t="s">
        <v>372</v>
      </c>
      <c r="E291">
        <v>1520</v>
      </c>
      <c r="F291" t="s">
        <v>51</v>
      </c>
      <c r="G291" s="1">
        <v>45416</v>
      </c>
      <c r="H291">
        <v>2</v>
      </c>
      <c r="I291" t="s">
        <v>52</v>
      </c>
      <c r="J291" t="s">
        <v>57</v>
      </c>
      <c r="K291">
        <v>0.2</v>
      </c>
      <c r="L291">
        <v>198.60000000000002</v>
      </c>
      <c r="M291">
        <v>993</v>
      </c>
      <c r="N291">
        <v>794.4</v>
      </c>
      <c r="O291" t="s">
        <v>44</v>
      </c>
      <c r="P291">
        <v>1520</v>
      </c>
      <c r="Q291" t="s">
        <v>51</v>
      </c>
      <c r="R291" s="1">
        <v>45416</v>
      </c>
      <c r="S291">
        <v>2</v>
      </c>
      <c r="T291" t="s">
        <v>52</v>
      </c>
      <c r="U291" t="s">
        <v>57</v>
      </c>
      <c r="V291" t="s">
        <v>1828</v>
      </c>
      <c r="W291" t="s">
        <v>1095</v>
      </c>
      <c r="X291">
        <v>5000</v>
      </c>
      <c r="Y291">
        <v>250</v>
      </c>
      <c r="Z291">
        <v>500</v>
      </c>
      <c r="AA291" t="s">
        <v>1829</v>
      </c>
    </row>
    <row r="292" spans="1:27" x14ac:dyDescent="0.2">
      <c r="A292">
        <v>3288</v>
      </c>
      <c r="B292" t="s">
        <v>222</v>
      </c>
      <c r="C292" t="str">
        <f>_xlfn.CONCAT(Merge[[#This Row],[Customer First Name]]," ",Merge[[#This Row],[Customer Last Name]])</f>
        <v>Lennox Gallagher</v>
      </c>
      <c r="D292" t="s">
        <v>531</v>
      </c>
      <c r="E292">
        <v>1521</v>
      </c>
      <c r="F292" t="s">
        <v>76</v>
      </c>
      <c r="G292" s="1">
        <v>45362</v>
      </c>
      <c r="H292">
        <v>2</v>
      </c>
      <c r="I292" t="s">
        <v>32</v>
      </c>
      <c r="J292" t="s">
        <v>47</v>
      </c>
      <c r="K292">
        <v>0.25</v>
      </c>
      <c r="L292">
        <v>133</v>
      </c>
      <c r="M292">
        <v>532</v>
      </c>
      <c r="N292">
        <v>399</v>
      </c>
      <c r="O292" t="s">
        <v>54</v>
      </c>
      <c r="P292">
        <v>1521</v>
      </c>
      <c r="Q292" t="s">
        <v>76</v>
      </c>
      <c r="R292" s="1">
        <v>45362</v>
      </c>
      <c r="S292">
        <v>2</v>
      </c>
      <c r="T292" t="s">
        <v>32</v>
      </c>
      <c r="U292" t="s">
        <v>47</v>
      </c>
      <c r="V292" t="s">
        <v>1830</v>
      </c>
      <c r="W292" t="s">
        <v>1247</v>
      </c>
      <c r="X292">
        <v>3350</v>
      </c>
      <c r="Y292">
        <v>1200</v>
      </c>
      <c r="Z292">
        <v>2400</v>
      </c>
      <c r="AA292" t="s">
        <v>1831</v>
      </c>
    </row>
    <row r="293" spans="1:27" x14ac:dyDescent="0.2">
      <c r="A293">
        <v>3289</v>
      </c>
      <c r="B293" t="s">
        <v>88</v>
      </c>
      <c r="C293" t="str">
        <f>_xlfn.CONCAT(Merge[[#This Row],[Customer First Name]]," ",Merge[[#This Row],[Customer Last Name]])</f>
        <v>Liam Landry</v>
      </c>
      <c r="D293" t="s">
        <v>532</v>
      </c>
      <c r="E293">
        <v>1522</v>
      </c>
      <c r="F293" t="s">
        <v>76</v>
      </c>
      <c r="G293" s="1">
        <v>45372</v>
      </c>
      <c r="H293">
        <v>3</v>
      </c>
      <c r="I293" t="s">
        <v>52</v>
      </c>
      <c r="J293" t="s">
        <v>47</v>
      </c>
      <c r="K293">
        <v>0.25</v>
      </c>
      <c r="L293">
        <v>132.5</v>
      </c>
      <c r="M293">
        <v>530</v>
      </c>
      <c r="N293">
        <v>397.5</v>
      </c>
      <c r="O293" t="s">
        <v>48</v>
      </c>
      <c r="P293">
        <v>1522</v>
      </c>
      <c r="Q293" t="s">
        <v>76</v>
      </c>
      <c r="R293" s="1">
        <v>45372</v>
      </c>
      <c r="S293">
        <v>3</v>
      </c>
      <c r="T293" t="s">
        <v>52</v>
      </c>
      <c r="U293" t="s">
        <v>47</v>
      </c>
      <c r="V293" t="s">
        <v>1832</v>
      </c>
      <c r="W293" t="s">
        <v>1256</v>
      </c>
      <c r="X293">
        <v>3220</v>
      </c>
      <c r="Y293">
        <v>1200</v>
      </c>
      <c r="Z293">
        <v>3600</v>
      </c>
      <c r="AA293" t="s">
        <v>1833</v>
      </c>
    </row>
    <row r="294" spans="1:27" x14ac:dyDescent="0.2">
      <c r="A294">
        <v>3290</v>
      </c>
      <c r="B294" t="s">
        <v>364</v>
      </c>
      <c r="C294" t="str">
        <f>_xlfn.CONCAT(Merge[[#This Row],[Customer First Name]]," ",Merge[[#This Row],[Customer Last Name]])</f>
        <v>Damien Horn</v>
      </c>
      <c r="D294" t="s">
        <v>533</v>
      </c>
      <c r="E294">
        <v>1523</v>
      </c>
      <c r="F294" t="s">
        <v>42</v>
      </c>
      <c r="G294" s="1">
        <v>45496</v>
      </c>
      <c r="H294">
        <v>3</v>
      </c>
      <c r="I294" t="s">
        <v>71</v>
      </c>
      <c r="J294" t="s">
        <v>47</v>
      </c>
      <c r="K294">
        <v>0.25</v>
      </c>
      <c r="L294">
        <v>303.75</v>
      </c>
      <c r="M294">
        <v>1215</v>
      </c>
      <c r="N294">
        <v>911.25</v>
      </c>
      <c r="O294" t="s">
        <v>114</v>
      </c>
      <c r="P294">
        <v>1523</v>
      </c>
      <c r="Q294" t="s">
        <v>42</v>
      </c>
      <c r="R294" s="1">
        <v>45496</v>
      </c>
      <c r="S294">
        <v>1</v>
      </c>
      <c r="T294" t="s">
        <v>71</v>
      </c>
      <c r="U294" t="s">
        <v>47</v>
      </c>
      <c r="V294" t="s">
        <v>1834</v>
      </c>
      <c r="W294" t="s">
        <v>1247</v>
      </c>
      <c r="X294">
        <v>3350</v>
      </c>
      <c r="Y294">
        <v>300</v>
      </c>
      <c r="Z294">
        <v>300</v>
      </c>
      <c r="AA294" t="s">
        <v>1835</v>
      </c>
    </row>
    <row r="295" spans="1:27" x14ac:dyDescent="0.2">
      <c r="A295">
        <v>3291</v>
      </c>
      <c r="B295" t="s">
        <v>534</v>
      </c>
      <c r="C295" t="str">
        <f>_xlfn.CONCAT(Merge[[#This Row],[Customer First Name]]," ",Merge[[#This Row],[Customer Last Name]])</f>
        <v>Kimberly Black</v>
      </c>
      <c r="D295" t="s">
        <v>527</v>
      </c>
      <c r="E295">
        <v>1524</v>
      </c>
      <c r="F295" t="s">
        <v>31</v>
      </c>
      <c r="G295" s="1">
        <v>45310</v>
      </c>
      <c r="H295">
        <v>2</v>
      </c>
      <c r="I295" t="s">
        <v>32</v>
      </c>
      <c r="J295" t="s">
        <v>81</v>
      </c>
      <c r="K295">
        <v>0.1</v>
      </c>
      <c r="L295">
        <v>169.3</v>
      </c>
      <c r="M295">
        <v>1693</v>
      </c>
      <c r="N295">
        <v>1523.7</v>
      </c>
      <c r="O295" t="s">
        <v>44</v>
      </c>
      <c r="P295">
        <v>1524</v>
      </c>
      <c r="Q295" t="s">
        <v>31</v>
      </c>
      <c r="R295" s="1">
        <v>45310</v>
      </c>
      <c r="S295">
        <v>1</v>
      </c>
      <c r="T295" t="s">
        <v>32</v>
      </c>
      <c r="U295" t="s">
        <v>81</v>
      </c>
      <c r="V295" t="s">
        <v>1836</v>
      </c>
      <c r="W295" t="s">
        <v>1280</v>
      </c>
      <c r="X295">
        <v>800</v>
      </c>
      <c r="Y295">
        <v>250</v>
      </c>
      <c r="Z295">
        <v>250</v>
      </c>
      <c r="AA295" t="s">
        <v>1837</v>
      </c>
    </row>
    <row r="296" spans="1:27" x14ac:dyDescent="0.2">
      <c r="A296">
        <v>3292</v>
      </c>
      <c r="B296" t="s">
        <v>535</v>
      </c>
      <c r="C296" t="str">
        <f>_xlfn.CONCAT(Merge[[#This Row],[Customer First Name]]," ",Merge[[#This Row],[Customer Last Name]])</f>
        <v>Denver Donovan</v>
      </c>
      <c r="D296" t="s">
        <v>226</v>
      </c>
      <c r="E296">
        <v>1525</v>
      </c>
      <c r="F296" t="s">
        <v>76</v>
      </c>
      <c r="G296" s="1">
        <v>45613</v>
      </c>
      <c r="H296">
        <v>2</v>
      </c>
      <c r="I296" t="s">
        <v>71</v>
      </c>
      <c r="J296" t="s">
        <v>39</v>
      </c>
      <c r="K296">
        <v>0.25</v>
      </c>
      <c r="L296">
        <v>242.5</v>
      </c>
      <c r="M296">
        <v>970</v>
      </c>
      <c r="N296">
        <v>727.5</v>
      </c>
      <c r="O296" t="s">
        <v>54</v>
      </c>
      <c r="P296">
        <v>1525</v>
      </c>
      <c r="Q296" t="s">
        <v>76</v>
      </c>
      <c r="R296" s="1">
        <v>45613</v>
      </c>
      <c r="S296">
        <v>2</v>
      </c>
      <c r="T296" t="s">
        <v>71</v>
      </c>
      <c r="U296" t="s">
        <v>39</v>
      </c>
      <c r="V296" t="s">
        <v>1838</v>
      </c>
      <c r="W296" t="s">
        <v>1241</v>
      </c>
      <c r="X296">
        <v>2600</v>
      </c>
      <c r="Y296">
        <v>1200</v>
      </c>
      <c r="Z296">
        <v>2400</v>
      </c>
      <c r="AA296" t="s">
        <v>1839</v>
      </c>
    </row>
    <row r="297" spans="1:27" x14ac:dyDescent="0.2">
      <c r="A297">
        <v>3293</v>
      </c>
      <c r="B297" t="s">
        <v>154</v>
      </c>
      <c r="C297" t="str">
        <f>_xlfn.CONCAT(Merge[[#This Row],[Customer First Name]]," ",Merge[[#This Row],[Customer Last Name]])</f>
        <v>Luna Hunter</v>
      </c>
      <c r="D297" t="s">
        <v>225</v>
      </c>
      <c r="E297">
        <v>1526</v>
      </c>
      <c r="F297" t="s">
        <v>51</v>
      </c>
      <c r="G297" s="1">
        <v>45556</v>
      </c>
      <c r="H297">
        <v>2</v>
      </c>
      <c r="I297" t="s">
        <v>32</v>
      </c>
      <c r="J297" t="s">
        <v>39</v>
      </c>
      <c r="K297">
        <v>0.2</v>
      </c>
      <c r="L297">
        <v>92.600000000000009</v>
      </c>
      <c r="M297">
        <v>463</v>
      </c>
      <c r="N297">
        <v>370.4</v>
      </c>
      <c r="O297" t="s">
        <v>34</v>
      </c>
      <c r="P297">
        <v>1526</v>
      </c>
      <c r="Q297" t="s">
        <v>51</v>
      </c>
      <c r="R297" s="1">
        <v>45556</v>
      </c>
      <c r="S297">
        <v>1</v>
      </c>
      <c r="T297" t="s">
        <v>32</v>
      </c>
      <c r="U297" t="s">
        <v>39</v>
      </c>
      <c r="V297" t="s">
        <v>1840</v>
      </c>
      <c r="W297" t="s">
        <v>1241</v>
      </c>
      <c r="X297">
        <v>2600</v>
      </c>
      <c r="Y297">
        <v>250</v>
      </c>
      <c r="Z297">
        <v>250</v>
      </c>
      <c r="AA297" t="s">
        <v>1841</v>
      </c>
    </row>
    <row r="298" spans="1:27" x14ac:dyDescent="0.2">
      <c r="A298">
        <v>3294</v>
      </c>
      <c r="B298" t="s">
        <v>536</v>
      </c>
      <c r="C298" t="str">
        <f>_xlfn.CONCAT(Merge[[#This Row],[Customer First Name]]," ",Merge[[#This Row],[Customer Last Name]])</f>
        <v>Piper Stanton</v>
      </c>
      <c r="D298" t="s">
        <v>537</v>
      </c>
      <c r="E298">
        <v>1527</v>
      </c>
      <c r="F298" t="s">
        <v>92</v>
      </c>
      <c r="G298" s="1">
        <v>45326</v>
      </c>
      <c r="H298">
        <v>1</v>
      </c>
      <c r="I298" t="s">
        <v>32</v>
      </c>
      <c r="J298" t="s">
        <v>39</v>
      </c>
      <c r="K298">
        <v>0.3</v>
      </c>
      <c r="L298">
        <v>310.8</v>
      </c>
      <c r="M298">
        <v>1036</v>
      </c>
      <c r="N298">
        <v>725.2</v>
      </c>
      <c r="O298" t="s">
        <v>44</v>
      </c>
      <c r="P298">
        <v>1527</v>
      </c>
      <c r="Q298" t="s">
        <v>92</v>
      </c>
      <c r="R298" s="1">
        <v>45326</v>
      </c>
      <c r="S298">
        <v>2</v>
      </c>
      <c r="T298" t="s">
        <v>32</v>
      </c>
      <c r="U298" t="s">
        <v>39</v>
      </c>
      <c r="V298" t="s">
        <v>1842</v>
      </c>
      <c r="W298" t="s">
        <v>1241</v>
      </c>
      <c r="X298">
        <v>2600</v>
      </c>
      <c r="Y298">
        <v>600</v>
      </c>
      <c r="Z298">
        <v>1200</v>
      </c>
      <c r="AA298" t="s">
        <v>1843</v>
      </c>
    </row>
    <row r="299" spans="1:27" x14ac:dyDescent="0.2">
      <c r="A299">
        <v>3295</v>
      </c>
      <c r="B299" t="s">
        <v>261</v>
      </c>
      <c r="C299" t="str">
        <f>_xlfn.CONCAT(Merge[[#This Row],[Customer First Name]]," ",Merge[[#This Row],[Customer Last Name]])</f>
        <v>Manuel Bartlett</v>
      </c>
      <c r="D299" t="s">
        <v>177</v>
      </c>
      <c r="E299">
        <v>1528</v>
      </c>
      <c r="F299" t="s">
        <v>76</v>
      </c>
      <c r="G299" s="1">
        <v>45576</v>
      </c>
      <c r="H299">
        <v>1</v>
      </c>
      <c r="I299" t="s">
        <v>32</v>
      </c>
      <c r="J299" t="s">
        <v>53</v>
      </c>
      <c r="K299">
        <v>0.25</v>
      </c>
      <c r="L299">
        <v>152</v>
      </c>
      <c r="M299">
        <v>608</v>
      </c>
      <c r="N299">
        <v>456</v>
      </c>
      <c r="O299" t="s">
        <v>48</v>
      </c>
      <c r="P299">
        <v>1528</v>
      </c>
      <c r="Q299" t="s">
        <v>76</v>
      </c>
      <c r="R299" s="1">
        <v>45576</v>
      </c>
      <c r="S299">
        <v>3</v>
      </c>
      <c r="T299" t="s">
        <v>32</v>
      </c>
      <c r="U299" t="s">
        <v>53</v>
      </c>
      <c r="V299" t="s">
        <v>1844</v>
      </c>
      <c r="W299" t="s">
        <v>1268</v>
      </c>
      <c r="X299">
        <v>4870</v>
      </c>
      <c r="Y299">
        <v>1200</v>
      </c>
      <c r="Z299">
        <v>3600</v>
      </c>
      <c r="AA299" t="s">
        <v>1845</v>
      </c>
    </row>
    <row r="300" spans="1:27" x14ac:dyDescent="0.2">
      <c r="A300">
        <v>3296</v>
      </c>
      <c r="B300" t="s">
        <v>526</v>
      </c>
      <c r="C300" t="str">
        <f>_xlfn.CONCAT(Merge[[#This Row],[Customer First Name]]," ",Merge[[#This Row],[Customer Last Name]])</f>
        <v>Cooper Nolan</v>
      </c>
      <c r="D300" t="s">
        <v>203</v>
      </c>
      <c r="E300">
        <v>1529</v>
      </c>
      <c r="F300" t="s">
        <v>37</v>
      </c>
      <c r="G300" s="1">
        <v>45505</v>
      </c>
      <c r="H300">
        <v>1</v>
      </c>
      <c r="I300" t="s">
        <v>52</v>
      </c>
      <c r="J300" t="s">
        <v>81</v>
      </c>
      <c r="K300">
        <v>0.3</v>
      </c>
      <c r="L300">
        <v>450.59999999999997</v>
      </c>
      <c r="M300">
        <v>1502</v>
      </c>
      <c r="N300">
        <v>1051.4000000000001</v>
      </c>
      <c r="O300" t="s">
        <v>54</v>
      </c>
      <c r="P300">
        <v>1529</v>
      </c>
      <c r="Q300" t="s">
        <v>37</v>
      </c>
      <c r="R300" s="1">
        <v>45505</v>
      </c>
      <c r="S300">
        <v>2</v>
      </c>
      <c r="T300" t="s">
        <v>52</v>
      </c>
      <c r="U300" t="s">
        <v>81</v>
      </c>
      <c r="V300" t="s">
        <v>1846</v>
      </c>
      <c r="W300" t="s">
        <v>1280</v>
      </c>
      <c r="X300">
        <v>800</v>
      </c>
      <c r="Y300">
        <v>800</v>
      </c>
      <c r="Z300">
        <v>1600</v>
      </c>
      <c r="AA300" t="s">
        <v>1847</v>
      </c>
    </row>
    <row r="301" spans="1:27" x14ac:dyDescent="0.2">
      <c r="A301">
        <v>3297</v>
      </c>
      <c r="B301" t="s">
        <v>538</v>
      </c>
      <c r="C301" t="str">
        <f>_xlfn.CONCAT(Merge[[#This Row],[Customer First Name]]," ",Merge[[#This Row],[Customer Last Name]])</f>
        <v>Oaklee Strong</v>
      </c>
      <c r="D301" t="s">
        <v>539</v>
      </c>
      <c r="E301">
        <v>1530</v>
      </c>
      <c r="F301" t="s">
        <v>76</v>
      </c>
      <c r="G301" s="1">
        <v>45519</v>
      </c>
      <c r="H301">
        <v>1</v>
      </c>
      <c r="I301" t="s">
        <v>32</v>
      </c>
      <c r="J301" t="s">
        <v>39</v>
      </c>
      <c r="K301">
        <v>0.25</v>
      </c>
      <c r="L301">
        <v>377.5</v>
      </c>
      <c r="M301">
        <v>1510</v>
      </c>
      <c r="N301">
        <v>1132.5</v>
      </c>
      <c r="O301" t="s">
        <v>34</v>
      </c>
      <c r="P301">
        <v>1530</v>
      </c>
      <c r="Q301" t="s">
        <v>76</v>
      </c>
      <c r="R301" s="1">
        <v>45519</v>
      </c>
      <c r="S301">
        <v>3</v>
      </c>
      <c r="T301" t="s">
        <v>32</v>
      </c>
      <c r="U301" t="s">
        <v>39</v>
      </c>
      <c r="V301" t="s">
        <v>1848</v>
      </c>
      <c r="W301" t="s">
        <v>1241</v>
      </c>
      <c r="X301">
        <v>2600</v>
      </c>
      <c r="Y301">
        <v>1200</v>
      </c>
      <c r="Z301">
        <v>3600</v>
      </c>
      <c r="AA301" t="s">
        <v>1849</v>
      </c>
    </row>
    <row r="302" spans="1:27" x14ac:dyDescent="0.2">
      <c r="A302">
        <v>3298</v>
      </c>
      <c r="B302" t="s">
        <v>540</v>
      </c>
      <c r="C302" t="str">
        <f>_xlfn.CONCAT(Merge[[#This Row],[Customer First Name]]," ",Merge[[#This Row],[Customer Last Name]])</f>
        <v>Gael Sellers</v>
      </c>
      <c r="D302" t="s">
        <v>541</v>
      </c>
      <c r="E302">
        <v>1531</v>
      </c>
      <c r="F302" t="s">
        <v>31</v>
      </c>
      <c r="G302" s="1">
        <v>45594</v>
      </c>
      <c r="H302">
        <v>1</v>
      </c>
      <c r="I302" t="s">
        <v>32</v>
      </c>
      <c r="J302" t="s">
        <v>81</v>
      </c>
      <c r="K302">
        <v>0.1</v>
      </c>
      <c r="L302">
        <v>121</v>
      </c>
      <c r="M302">
        <v>1210</v>
      </c>
      <c r="N302">
        <v>1089</v>
      </c>
      <c r="O302" t="s">
        <v>54</v>
      </c>
      <c r="P302">
        <v>1531</v>
      </c>
      <c r="Q302" t="s">
        <v>31</v>
      </c>
      <c r="R302" s="1">
        <v>45594</v>
      </c>
      <c r="S302">
        <v>3</v>
      </c>
      <c r="T302" t="s">
        <v>32</v>
      </c>
      <c r="U302" t="s">
        <v>81</v>
      </c>
      <c r="V302" t="s">
        <v>1850</v>
      </c>
      <c r="W302" t="s">
        <v>1361</v>
      </c>
      <c r="X302">
        <v>870</v>
      </c>
      <c r="Y302">
        <v>250</v>
      </c>
      <c r="Z302">
        <v>750</v>
      </c>
      <c r="AA302" t="s">
        <v>1851</v>
      </c>
    </row>
    <row r="303" spans="1:27" x14ac:dyDescent="0.2">
      <c r="A303">
        <v>3299</v>
      </c>
      <c r="B303" t="s">
        <v>542</v>
      </c>
      <c r="C303" t="str">
        <f>_xlfn.CONCAT(Merge[[#This Row],[Customer First Name]]," ",Merge[[#This Row],[Customer Last Name]])</f>
        <v>Willa Prince</v>
      </c>
      <c r="D303" t="s">
        <v>201</v>
      </c>
      <c r="E303">
        <v>1532</v>
      </c>
      <c r="F303" t="s">
        <v>42</v>
      </c>
      <c r="G303" s="1">
        <v>45459</v>
      </c>
      <c r="H303">
        <v>1</v>
      </c>
      <c r="I303" t="s">
        <v>32</v>
      </c>
      <c r="J303" t="s">
        <v>47</v>
      </c>
      <c r="K303">
        <v>0.25</v>
      </c>
      <c r="L303">
        <v>163.5</v>
      </c>
      <c r="M303">
        <v>654</v>
      </c>
      <c r="N303">
        <v>490.5</v>
      </c>
      <c r="O303" t="s">
        <v>114</v>
      </c>
      <c r="P303">
        <v>1532</v>
      </c>
      <c r="Q303" t="s">
        <v>42</v>
      </c>
      <c r="R303" s="1">
        <v>45459</v>
      </c>
      <c r="S303">
        <v>1</v>
      </c>
      <c r="T303" t="s">
        <v>32</v>
      </c>
      <c r="U303" t="s">
        <v>47</v>
      </c>
      <c r="V303" t="s">
        <v>1852</v>
      </c>
      <c r="W303" t="s">
        <v>1247</v>
      </c>
      <c r="X303">
        <v>3350</v>
      </c>
      <c r="Y303">
        <v>300</v>
      </c>
      <c r="Z303">
        <v>300</v>
      </c>
      <c r="AA303" t="s">
        <v>1853</v>
      </c>
    </row>
    <row r="304" spans="1:27" x14ac:dyDescent="0.2">
      <c r="A304">
        <v>3300</v>
      </c>
      <c r="B304" t="s">
        <v>543</v>
      </c>
      <c r="C304" t="str">
        <f>_xlfn.CONCAT(Merge[[#This Row],[Customer First Name]]," ",Merge[[#This Row],[Customer Last Name]])</f>
        <v>Killian Flowers</v>
      </c>
      <c r="D304" t="s">
        <v>544</v>
      </c>
      <c r="E304">
        <v>1533</v>
      </c>
      <c r="F304" t="s">
        <v>42</v>
      </c>
      <c r="G304" s="1">
        <v>45655</v>
      </c>
      <c r="H304">
        <v>1</v>
      </c>
      <c r="I304" t="s">
        <v>52</v>
      </c>
      <c r="J304" t="s">
        <v>53</v>
      </c>
      <c r="K304">
        <v>0.25</v>
      </c>
      <c r="L304">
        <v>120</v>
      </c>
      <c r="M304">
        <v>480</v>
      </c>
      <c r="N304">
        <v>360</v>
      </c>
      <c r="O304" t="s">
        <v>44</v>
      </c>
      <c r="P304">
        <v>1533</v>
      </c>
      <c r="Q304" t="s">
        <v>42</v>
      </c>
      <c r="R304" s="1">
        <v>45655</v>
      </c>
      <c r="S304">
        <v>1</v>
      </c>
      <c r="T304" t="s">
        <v>52</v>
      </c>
      <c r="U304" t="s">
        <v>53</v>
      </c>
      <c r="V304" t="s">
        <v>1854</v>
      </c>
      <c r="W304" t="s">
        <v>1268</v>
      </c>
      <c r="X304">
        <v>4870</v>
      </c>
      <c r="Y304">
        <v>300</v>
      </c>
      <c r="Z304">
        <v>300</v>
      </c>
      <c r="AA304" t="s">
        <v>1855</v>
      </c>
    </row>
    <row r="305" spans="1:27" x14ac:dyDescent="0.2">
      <c r="A305">
        <v>3301</v>
      </c>
      <c r="B305" t="s">
        <v>545</v>
      </c>
      <c r="C305" t="str">
        <f>_xlfn.CONCAT(Merge[[#This Row],[Customer First Name]]," ",Merge[[#This Row],[Customer Last Name]])</f>
        <v>Cora Henry</v>
      </c>
      <c r="D305" t="s">
        <v>546</v>
      </c>
      <c r="E305">
        <v>1534</v>
      </c>
      <c r="F305" t="s">
        <v>37</v>
      </c>
      <c r="G305" s="1">
        <v>45563</v>
      </c>
      <c r="H305">
        <v>3</v>
      </c>
      <c r="I305" t="s">
        <v>32</v>
      </c>
      <c r="J305" t="s">
        <v>53</v>
      </c>
      <c r="K305">
        <v>0.3</v>
      </c>
      <c r="L305">
        <v>451.2</v>
      </c>
      <c r="M305">
        <v>1504</v>
      </c>
      <c r="N305">
        <v>1052.8</v>
      </c>
      <c r="O305" t="s">
        <v>34</v>
      </c>
      <c r="P305">
        <v>1534</v>
      </c>
      <c r="Q305" t="s">
        <v>37</v>
      </c>
      <c r="R305" s="1">
        <v>45563</v>
      </c>
      <c r="S305">
        <v>1</v>
      </c>
      <c r="T305" t="s">
        <v>32</v>
      </c>
      <c r="U305" t="s">
        <v>53</v>
      </c>
      <c r="V305" t="s">
        <v>1856</v>
      </c>
      <c r="W305" t="s">
        <v>1268</v>
      </c>
      <c r="X305">
        <v>4870</v>
      </c>
      <c r="Y305">
        <v>800</v>
      </c>
      <c r="Z305">
        <v>800</v>
      </c>
      <c r="AA305" t="s">
        <v>1857</v>
      </c>
    </row>
    <row r="306" spans="1:27" x14ac:dyDescent="0.2">
      <c r="A306">
        <v>3302</v>
      </c>
      <c r="B306" t="s">
        <v>547</v>
      </c>
      <c r="C306" t="str">
        <f>_xlfn.CONCAT(Merge[[#This Row],[Customer First Name]]," ",Merge[[#This Row],[Customer Last Name]])</f>
        <v>Hayden Nash</v>
      </c>
      <c r="D306" t="s">
        <v>56</v>
      </c>
      <c r="E306">
        <v>1535</v>
      </c>
      <c r="F306" t="s">
        <v>92</v>
      </c>
      <c r="G306" s="1">
        <v>45297</v>
      </c>
      <c r="H306">
        <v>1</v>
      </c>
      <c r="I306" t="s">
        <v>32</v>
      </c>
      <c r="J306" t="s">
        <v>47</v>
      </c>
      <c r="K306">
        <v>0.3</v>
      </c>
      <c r="L306">
        <v>500.09999999999997</v>
      </c>
      <c r="M306">
        <v>1667</v>
      </c>
      <c r="N306">
        <v>1166.9000000000001</v>
      </c>
      <c r="O306" t="s">
        <v>34</v>
      </c>
      <c r="P306">
        <v>1535</v>
      </c>
      <c r="Q306" t="s">
        <v>92</v>
      </c>
      <c r="R306" s="1">
        <v>45297</v>
      </c>
      <c r="S306">
        <v>1</v>
      </c>
      <c r="T306" t="s">
        <v>32</v>
      </c>
      <c r="U306" t="s">
        <v>47</v>
      </c>
      <c r="V306" t="s">
        <v>1858</v>
      </c>
      <c r="W306" t="s">
        <v>1256</v>
      </c>
      <c r="X306">
        <v>3220</v>
      </c>
      <c r="Y306">
        <v>600</v>
      </c>
      <c r="Z306">
        <v>600</v>
      </c>
      <c r="AA306" t="s">
        <v>1859</v>
      </c>
    </row>
    <row r="307" spans="1:27" x14ac:dyDescent="0.2">
      <c r="A307">
        <v>3303</v>
      </c>
      <c r="B307" t="s">
        <v>548</v>
      </c>
      <c r="C307" t="str">
        <f>_xlfn.CONCAT(Merge[[#This Row],[Customer First Name]]," ",Merge[[#This Row],[Customer Last Name]])</f>
        <v>Emerson Waller</v>
      </c>
      <c r="D307" t="s">
        <v>194</v>
      </c>
      <c r="E307">
        <v>1536</v>
      </c>
      <c r="F307" t="s">
        <v>51</v>
      </c>
      <c r="G307" s="1">
        <v>45651</v>
      </c>
      <c r="H307">
        <v>1</v>
      </c>
      <c r="I307" t="s">
        <v>38</v>
      </c>
      <c r="J307" t="s">
        <v>53</v>
      </c>
      <c r="K307">
        <v>0.2</v>
      </c>
      <c r="L307">
        <v>84.600000000000009</v>
      </c>
      <c r="M307">
        <v>423</v>
      </c>
      <c r="N307">
        <v>338.4</v>
      </c>
      <c r="O307" t="s">
        <v>54</v>
      </c>
      <c r="P307">
        <v>1536</v>
      </c>
      <c r="Q307" t="s">
        <v>51</v>
      </c>
      <c r="R307" s="1">
        <v>45651</v>
      </c>
      <c r="S307">
        <v>3</v>
      </c>
      <c r="T307" t="s">
        <v>38</v>
      </c>
      <c r="U307" t="s">
        <v>53</v>
      </c>
      <c r="V307" t="s">
        <v>1860</v>
      </c>
      <c r="W307" t="s">
        <v>1250</v>
      </c>
      <c r="X307">
        <v>4217</v>
      </c>
      <c r="Y307">
        <v>250</v>
      </c>
      <c r="Z307">
        <v>750</v>
      </c>
      <c r="AA307" t="s">
        <v>1861</v>
      </c>
    </row>
    <row r="308" spans="1:27" x14ac:dyDescent="0.2">
      <c r="A308">
        <v>3304</v>
      </c>
      <c r="B308" t="s">
        <v>344</v>
      </c>
      <c r="C308" t="str">
        <f>_xlfn.CONCAT(Merge[[#This Row],[Customer First Name]]," ",Merge[[#This Row],[Customer Last Name]])</f>
        <v>Collins Mahoney</v>
      </c>
      <c r="D308" t="s">
        <v>128</v>
      </c>
      <c r="E308">
        <v>1537</v>
      </c>
      <c r="F308" t="s">
        <v>31</v>
      </c>
      <c r="G308" s="1">
        <v>45400</v>
      </c>
      <c r="H308">
        <v>1</v>
      </c>
      <c r="I308" t="s">
        <v>32</v>
      </c>
      <c r="J308" t="s">
        <v>47</v>
      </c>
      <c r="K308">
        <v>0.1</v>
      </c>
      <c r="L308">
        <v>142.5</v>
      </c>
      <c r="M308">
        <v>1425</v>
      </c>
      <c r="N308">
        <v>1282.5</v>
      </c>
      <c r="O308" t="s">
        <v>54</v>
      </c>
      <c r="P308">
        <v>1537</v>
      </c>
      <c r="Q308" t="s">
        <v>31</v>
      </c>
      <c r="R308" s="1">
        <v>45400</v>
      </c>
      <c r="S308">
        <v>1</v>
      </c>
      <c r="T308" t="s">
        <v>32</v>
      </c>
      <c r="U308" t="s">
        <v>47</v>
      </c>
      <c r="V308" t="s">
        <v>1862</v>
      </c>
      <c r="W308" t="s">
        <v>1256</v>
      </c>
      <c r="X308">
        <v>3220</v>
      </c>
      <c r="Y308">
        <v>250</v>
      </c>
      <c r="Z308">
        <v>250</v>
      </c>
      <c r="AA308" t="s">
        <v>1863</v>
      </c>
    </row>
    <row r="309" spans="1:27" x14ac:dyDescent="0.2">
      <c r="A309">
        <v>3305</v>
      </c>
      <c r="B309" t="s">
        <v>549</v>
      </c>
      <c r="C309" t="str">
        <f>_xlfn.CONCAT(Merge[[#This Row],[Customer First Name]]," ",Merge[[#This Row],[Customer Last Name]])</f>
        <v>Cora Tate</v>
      </c>
      <c r="D309" t="s">
        <v>546</v>
      </c>
      <c r="E309">
        <v>1538</v>
      </c>
      <c r="F309" t="s">
        <v>37</v>
      </c>
      <c r="G309" s="1">
        <v>45405</v>
      </c>
      <c r="H309">
        <v>2</v>
      </c>
      <c r="I309" t="s">
        <v>52</v>
      </c>
      <c r="J309" t="s">
        <v>33</v>
      </c>
      <c r="K309">
        <v>0.3</v>
      </c>
      <c r="L309">
        <v>51.9</v>
      </c>
      <c r="M309">
        <v>173</v>
      </c>
      <c r="N309">
        <v>121.1</v>
      </c>
      <c r="O309" t="s">
        <v>44</v>
      </c>
      <c r="P309">
        <v>1538</v>
      </c>
      <c r="Q309" t="s">
        <v>37</v>
      </c>
      <c r="R309" s="1">
        <v>45405</v>
      </c>
      <c r="S309">
        <v>1</v>
      </c>
      <c r="T309" t="s">
        <v>52</v>
      </c>
      <c r="U309" t="s">
        <v>33</v>
      </c>
      <c r="V309" t="s">
        <v>1864</v>
      </c>
      <c r="W309" t="s">
        <v>1302</v>
      </c>
      <c r="X309">
        <v>6000</v>
      </c>
      <c r="Y309">
        <v>800</v>
      </c>
      <c r="Z309">
        <v>800</v>
      </c>
      <c r="AA309" t="s">
        <v>1865</v>
      </c>
    </row>
    <row r="310" spans="1:27" x14ac:dyDescent="0.2">
      <c r="A310">
        <v>3306</v>
      </c>
      <c r="B310" t="s">
        <v>550</v>
      </c>
      <c r="C310" t="str">
        <f>_xlfn.CONCAT(Merge[[#This Row],[Customer First Name]]," ",Merge[[#This Row],[Customer Last Name]])</f>
        <v>Malachi Peña</v>
      </c>
      <c r="D310" t="s">
        <v>551</v>
      </c>
      <c r="E310">
        <v>1539</v>
      </c>
      <c r="F310" t="s">
        <v>42</v>
      </c>
      <c r="G310" s="1">
        <v>45324</v>
      </c>
      <c r="H310">
        <v>3</v>
      </c>
      <c r="I310" t="s">
        <v>32</v>
      </c>
      <c r="J310" t="s">
        <v>39</v>
      </c>
      <c r="K310">
        <v>0.25</v>
      </c>
      <c r="L310">
        <v>400.75</v>
      </c>
      <c r="M310">
        <v>1603</v>
      </c>
      <c r="N310">
        <v>1202.25</v>
      </c>
      <c r="O310" t="s">
        <v>34</v>
      </c>
      <c r="P310">
        <v>1539</v>
      </c>
      <c r="Q310" t="s">
        <v>42</v>
      </c>
      <c r="R310" s="1">
        <v>45324</v>
      </c>
      <c r="S310">
        <v>2</v>
      </c>
      <c r="T310" t="s">
        <v>32</v>
      </c>
      <c r="U310" t="s">
        <v>39</v>
      </c>
      <c r="V310" t="s">
        <v>1866</v>
      </c>
      <c r="W310" t="s">
        <v>1241</v>
      </c>
      <c r="X310">
        <v>2600</v>
      </c>
      <c r="Y310">
        <v>300</v>
      </c>
      <c r="Z310">
        <v>600</v>
      </c>
      <c r="AA310" t="s">
        <v>1867</v>
      </c>
    </row>
    <row r="311" spans="1:27" x14ac:dyDescent="0.2">
      <c r="A311">
        <v>3307</v>
      </c>
      <c r="B311" t="s">
        <v>552</v>
      </c>
      <c r="C311" t="str">
        <f>_xlfn.CONCAT(Merge[[#This Row],[Customer First Name]]," ",Merge[[#This Row],[Customer Last Name]])</f>
        <v>Lilith Daniels</v>
      </c>
      <c r="D311" t="s">
        <v>553</v>
      </c>
      <c r="E311">
        <v>1540</v>
      </c>
      <c r="F311" t="s">
        <v>92</v>
      </c>
      <c r="G311" s="1">
        <v>45505</v>
      </c>
      <c r="H311">
        <v>3</v>
      </c>
      <c r="I311" t="s">
        <v>52</v>
      </c>
      <c r="J311" t="s">
        <v>57</v>
      </c>
      <c r="K311">
        <v>0.3</v>
      </c>
      <c r="L311">
        <v>75</v>
      </c>
      <c r="M311">
        <v>250</v>
      </c>
      <c r="N311">
        <v>175</v>
      </c>
      <c r="O311" t="s">
        <v>114</v>
      </c>
      <c r="P311">
        <v>1540</v>
      </c>
      <c r="Q311" t="s">
        <v>92</v>
      </c>
      <c r="R311" s="1">
        <v>45505</v>
      </c>
      <c r="S311">
        <v>3</v>
      </c>
      <c r="T311" t="s">
        <v>52</v>
      </c>
      <c r="U311" t="s">
        <v>57</v>
      </c>
      <c r="V311" t="s">
        <v>1868</v>
      </c>
      <c r="W311" t="s">
        <v>1095</v>
      </c>
      <c r="X311">
        <v>5000</v>
      </c>
      <c r="Y311">
        <v>600</v>
      </c>
      <c r="Z311">
        <v>1800</v>
      </c>
      <c r="AA311" t="s">
        <v>1869</v>
      </c>
    </row>
    <row r="312" spans="1:27" x14ac:dyDescent="0.2">
      <c r="A312">
        <v>3308</v>
      </c>
      <c r="B312" t="s">
        <v>361</v>
      </c>
      <c r="C312" t="str">
        <f>_xlfn.CONCAT(Merge[[#This Row],[Customer First Name]]," ",Merge[[#This Row],[Customer Last Name]])</f>
        <v>Kylo Rivers</v>
      </c>
      <c r="D312" t="s">
        <v>295</v>
      </c>
      <c r="E312">
        <v>1541</v>
      </c>
      <c r="F312" t="s">
        <v>42</v>
      </c>
      <c r="G312" s="1">
        <v>45560</v>
      </c>
      <c r="H312">
        <v>2</v>
      </c>
      <c r="I312" t="s">
        <v>32</v>
      </c>
      <c r="J312" t="s">
        <v>81</v>
      </c>
      <c r="K312">
        <v>0.25</v>
      </c>
      <c r="L312">
        <v>257.75</v>
      </c>
      <c r="M312">
        <v>1031</v>
      </c>
      <c r="N312">
        <v>773.25</v>
      </c>
      <c r="O312" t="s">
        <v>48</v>
      </c>
      <c r="P312">
        <v>1541</v>
      </c>
      <c r="Q312" t="s">
        <v>42</v>
      </c>
      <c r="R312" s="1">
        <v>45560</v>
      </c>
      <c r="S312">
        <v>3</v>
      </c>
      <c r="T312" t="s">
        <v>32</v>
      </c>
      <c r="U312" t="s">
        <v>81</v>
      </c>
      <c r="V312" t="s">
        <v>1870</v>
      </c>
      <c r="W312" t="s">
        <v>1361</v>
      </c>
      <c r="X312">
        <v>870</v>
      </c>
      <c r="Y312">
        <v>300</v>
      </c>
      <c r="Z312">
        <v>900</v>
      </c>
      <c r="AA312" t="s">
        <v>1871</v>
      </c>
    </row>
    <row r="313" spans="1:27" x14ac:dyDescent="0.2">
      <c r="A313">
        <v>3309</v>
      </c>
      <c r="B313" t="s">
        <v>554</v>
      </c>
      <c r="C313" t="str">
        <f>_xlfn.CONCAT(Merge[[#This Row],[Customer First Name]]," ",Merge[[#This Row],[Customer Last Name]])</f>
        <v>Braxton Gates</v>
      </c>
      <c r="D313" t="s">
        <v>555</v>
      </c>
      <c r="E313">
        <v>1542</v>
      </c>
      <c r="F313" t="s">
        <v>37</v>
      </c>
      <c r="G313" s="1">
        <v>45535</v>
      </c>
      <c r="H313">
        <v>1</v>
      </c>
      <c r="I313" t="s">
        <v>32</v>
      </c>
      <c r="J313" t="s">
        <v>81</v>
      </c>
      <c r="K313">
        <v>0.3</v>
      </c>
      <c r="L313">
        <v>536.1</v>
      </c>
      <c r="M313">
        <v>1787</v>
      </c>
      <c r="N313">
        <v>1250.9000000000001</v>
      </c>
      <c r="O313" t="s">
        <v>114</v>
      </c>
      <c r="P313">
        <v>1542</v>
      </c>
      <c r="Q313" t="s">
        <v>37</v>
      </c>
      <c r="R313" s="1">
        <v>45535</v>
      </c>
      <c r="S313">
        <v>2</v>
      </c>
      <c r="T313" t="s">
        <v>32</v>
      </c>
      <c r="U313" t="s">
        <v>81</v>
      </c>
      <c r="V313" t="s">
        <v>1872</v>
      </c>
      <c r="W313" t="s">
        <v>1280</v>
      </c>
      <c r="X313">
        <v>800</v>
      </c>
      <c r="Y313">
        <v>800</v>
      </c>
      <c r="Z313">
        <v>1600</v>
      </c>
      <c r="AA313" t="s">
        <v>1873</v>
      </c>
    </row>
    <row r="314" spans="1:27" x14ac:dyDescent="0.2">
      <c r="A314">
        <v>3310</v>
      </c>
      <c r="B314" t="s">
        <v>556</v>
      </c>
      <c r="C314" t="str">
        <f>_xlfn.CONCAT(Merge[[#This Row],[Customer First Name]]," ",Merge[[#This Row],[Customer Last Name]])</f>
        <v>Andre Erickson</v>
      </c>
      <c r="D314" t="s">
        <v>66</v>
      </c>
      <c r="E314">
        <v>1543</v>
      </c>
      <c r="F314" t="s">
        <v>51</v>
      </c>
      <c r="G314" s="1">
        <v>45428</v>
      </c>
      <c r="H314">
        <v>3</v>
      </c>
      <c r="I314" t="s">
        <v>71</v>
      </c>
      <c r="J314" t="s">
        <v>47</v>
      </c>
      <c r="K314">
        <v>0.2</v>
      </c>
      <c r="L314">
        <v>205.4</v>
      </c>
      <c r="M314">
        <v>1027</v>
      </c>
      <c r="N314">
        <v>821.6</v>
      </c>
      <c r="O314" t="s">
        <v>34</v>
      </c>
      <c r="P314">
        <v>1543</v>
      </c>
      <c r="Q314" t="s">
        <v>51</v>
      </c>
      <c r="R314" s="1">
        <v>45428</v>
      </c>
      <c r="S314">
        <v>2</v>
      </c>
      <c r="T314" t="s">
        <v>71</v>
      </c>
      <c r="U314" t="s">
        <v>47</v>
      </c>
      <c r="V314" t="s">
        <v>1874</v>
      </c>
      <c r="W314" t="s">
        <v>1275</v>
      </c>
      <c r="X314">
        <v>3000</v>
      </c>
      <c r="Y314">
        <v>250</v>
      </c>
      <c r="Z314">
        <v>500</v>
      </c>
      <c r="AA314" t="s">
        <v>1875</v>
      </c>
    </row>
    <row r="315" spans="1:27" x14ac:dyDescent="0.2">
      <c r="A315">
        <v>3311</v>
      </c>
      <c r="B315" t="s">
        <v>115</v>
      </c>
      <c r="C315" t="str">
        <f>_xlfn.CONCAT(Merge[[#This Row],[Customer First Name]]," ",Merge[[#This Row],[Customer Last Name]])</f>
        <v>Cassidy Chan</v>
      </c>
      <c r="D315" t="s">
        <v>557</v>
      </c>
      <c r="E315">
        <v>1544</v>
      </c>
      <c r="F315" t="s">
        <v>92</v>
      </c>
      <c r="G315" s="1">
        <v>45562</v>
      </c>
      <c r="H315">
        <v>2</v>
      </c>
      <c r="I315" t="s">
        <v>52</v>
      </c>
      <c r="J315" t="s">
        <v>43</v>
      </c>
      <c r="K315">
        <v>0.3</v>
      </c>
      <c r="L315">
        <v>504.59999999999997</v>
      </c>
      <c r="M315">
        <v>1682</v>
      </c>
      <c r="N315">
        <v>1177.4000000000001</v>
      </c>
      <c r="O315" t="s">
        <v>44</v>
      </c>
      <c r="P315">
        <v>1544</v>
      </c>
      <c r="Q315" t="s">
        <v>92</v>
      </c>
      <c r="R315" s="1">
        <v>45562</v>
      </c>
      <c r="S315">
        <v>2</v>
      </c>
      <c r="T315" t="s">
        <v>52</v>
      </c>
      <c r="U315" t="s">
        <v>43</v>
      </c>
      <c r="V315" t="s">
        <v>1876</v>
      </c>
      <c r="W315" t="s">
        <v>865</v>
      </c>
      <c r="X315">
        <v>2000</v>
      </c>
      <c r="Y315">
        <v>600</v>
      </c>
      <c r="Z315">
        <v>1200</v>
      </c>
      <c r="AA315" t="s">
        <v>1877</v>
      </c>
    </row>
    <row r="316" spans="1:27" x14ac:dyDescent="0.2">
      <c r="A316">
        <v>3312</v>
      </c>
      <c r="B316" t="s">
        <v>558</v>
      </c>
      <c r="C316" t="str">
        <f>_xlfn.CONCAT(Merge[[#This Row],[Customer First Name]]," ",Merge[[#This Row],[Customer Last Name]])</f>
        <v>Annalise Odom</v>
      </c>
      <c r="D316" t="s">
        <v>329</v>
      </c>
      <c r="E316">
        <v>1545</v>
      </c>
      <c r="F316" t="s">
        <v>31</v>
      </c>
      <c r="G316" s="1">
        <v>45401</v>
      </c>
      <c r="H316">
        <v>2</v>
      </c>
      <c r="I316" t="s">
        <v>52</v>
      </c>
      <c r="J316" t="s">
        <v>64</v>
      </c>
      <c r="K316">
        <v>0.1</v>
      </c>
      <c r="L316">
        <v>159.5</v>
      </c>
      <c r="M316">
        <v>1595</v>
      </c>
      <c r="N316">
        <v>1435.5</v>
      </c>
      <c r="O316" t="s">
        <v>44</v>
      </c>
      <c r="P316">
        <v>1545</v>
      </c>
      <c r="Q316" t="s">
        <v>31</v>
      </c>
      <c r="R316" s="1">
        <v>45401</v>
      </c>
      <c r="S316">
        <v>3</v>
      </c>
      <c r="T316" t="s">
        <v>52</v>
      </c>
      <c r="U316" t="s">
        <v>64</v>
      </c>
      <c r="V316" t="s">
        <v>1878</v>
      </c>
      <c r="W316" t="s">
        <v>1265</v>
      </c>
      <c r="X316">
        <v>7000</v>
      </c>
      <c r="Y316">
        <v>250</v>
      </c>
      <c r="Z316">
        <v>750</v>
      </c>
      <c r="AA316" t="s">
        <v>1879</v>
      </c>
    </row>
    <row r="317" spans="1:27" x14ac:dyDescent="0.2">
      <c r="A317">
        <v>3313</v>
      </c>
      <c r="B317" t="s">
        <v>34</v>
      </c>
      <c r="C317" t="str">
        <f>_xlfn.CONCAT(Merge[[#This Row],[Customer First Name]]," ",Merge[[#This Row],[Customer Last Name]])</f>
        <v>Gregory Kelly</v>
      </c>
      <c r="D317" t="s">
        <v>559</v>
      </c>
      <c r="E317">
        <v>1546</v>
      </c>
      <c r="F317" t="s">
        <v>76</v>
      </c>
      <c r="G317" s="1">
        <v>45525</v>
      </c>
      <c r="H317">
        <v>1</v>
      </c>
      <c r="I317" t="s">
        <v>52</v>
      </c>
      <c r="J317" t="s">
        <v>64</v>
      </c>
      <c r="K317">
        <v>0.25</v>
      </c>
      <c r="L317">
        <v>385</v>
      </c>
      <c r="M317">
        <v>1540</v>
      </c>
      <c r="N317">
        <v>1155</v>
      </c>
      <c r="O317" t="s">
        <v>44</v>
      </c>
      <c r="P317">
        <v>1546</v>
      </c>
      <c r="Q317" t="s">
        <v>76</v>
      </c>
      <c r="R317" s="1">
        <v>45525</v>
      </c>
      <c r="S317">
        <v>1</v>
      </c>
      <c r="T317" t="s">
        <v>52</v>
      </c>
      <c r="U317" t="s">
        <v>64</v>
      </c>
      <c r="V317" t="s">
        <v>1880</v>
      </c>
      <c r="W317" t="s">
        <v>1400</v>
      </c>
      <c r="X317">
        <v>7310</v>
      </c>
      <c r="Y317">
        <v>1200</v>
      </c>
      <c r="Z317">
        <v>1200</v>
      </c>
      <c r="AA317" t="s">
        <v>1881</v>
      </c>
    </row>
    <row r="318" spans="1:27" x14ac:dyDescent="0.2">
      <c r="A318">
        <v>3314</v>
      </c>
      <c r="B318" t="s">
        <v>560</v>
      </c>
      <c r="C318" t="str">
        <f>_xlfn.CONCAT(Merge[[#This Row],[Customer First Name]]," ",Merge[[#This Row],[Customer Last Name]])</f>
        <v>Archer Wagner</v>
      </c>
      <c r="D318" t="s">
        <v>561</v>
      </c>
      <c r="E318">
        <v>1547</v>
      </c>
      <c r="F318" t="s">
        <v>76</v>
      </c>
      <c r="G318" s="1">
        <v>45423</v>
      </c>
      <c r="H318">
        <v>2</v>
      </c>
      <c r="I318" t="s">
        <v>38</v>
      </c>
      <c r="J318" t="s">
        <v>47</v>
      </c>
      <c r="K318">
        <v>0.25</v>
      </c>
      <c r="L318">
        <v>436.75</v>
      </c>
      <c r="M318">
        <v>1747</v>
      </c>
      <c r="N318">
        <v>1310.25</v>
      </c>
      <c r="O318" t="s">
        <v>114</v>
      </c>
      <c r="P318">
        <v>1547</v>
      </c>
      <c r="Q318" t="s">
        <v>76</v>
      </c>
      <c r="R318" s="1">
        <v>45423</v>
      </c>
      <c r="S318">
        <v>3</v>
      </c>
      <c r="T318" t="s">
        <v>38</v>
      </c>
      <c r="U318" t="s">
        <v>47</v>
      </c>
      <c r="V318" t="s">
        <v>1882</v>
      </c>
      <c r="W318" t="s">
        <v>1247</v>
      </c>
      <c r="X318">
        <v>3350</v>
      </c>
      <c r="Y318">
        <v>1200</v>
      </c>
      <c r="Z318">
        <v>3600</v>
      </c>
      <c r="AA318" t="s">
        <v>1883</v>
      </c>
    </row>
    <row r="319" spans="1:27" x14ac:dyDescent="0.2">
      <c r="A319">
        <v>3315</v>
      </c>
      <c r="B319" t="s">
        <v>562</v>
      </c>
      <c r="C319" t="str">
        <f>_xlfn.CONCAT(Merge[[#This Row],[Customer First Name]]," ",Merge[[#This Row],[Customer Last Name]])</f>
        <v>Hayden Kennedy</v>
      </c>
      <c r="D319" t="s">
        <v>56</v>
      </c>
      <c r="E319">
        <v>1548</v>
      </c>
      <c r="F319" t="s">
        <v>92</v>
      </c>
      <c r="G319" s="1">
        <v>45421</v>
      </c>
      <c r="H319">
        <v>2</v>
      </c>
      <c r="I319" t="s">
        <v>52</v>
      </c>
      <c r="J319" t="s">
        <v>33</v>
      </c>
      <c r="K319">
        <v>0.3</v>
      </c>
      <c r="L319">
        <v>210.9</v>
      </c>
      <c r="M319">
        <v>703</v>
      </c>
      <c r="N319">
        <v>492.1</v>
      </c>
      <c r="O319" t="s">
        <v>54</v>
      </c>
      <c r="P319">
        <v>1548</v>
      </c>
      <c r="Q319" t="s">
        <v>92</v>
      </c>
      <c r="R319" s="1">
        <v>45421</v>
      </c>
      <c r="S319">
        <v>3</v>
      </c>
      <c r="T319" t="s">
        <v>52</v>
      </c>
      <c r="U319" t="s">
        <v>33</v>
      </c>
      <c r="V319" t="s">
        <v>1884</v>
      </c>
      <c r="W319" t="s">
        <v>1238</v>
      </c>
      <c r="X319">
        <v>6725</v>
      </c>
      <c r="Y319">
        <v>600</v>
      </c>
      <c r="Z319">
        <v>1800</v>
      </c>
      <c r="AA319" t="s">
        <v>1885</v>
      </c>
    </row>
    <row r="320" spans="1:27" x14ac:dyDescent="0.2">
      <c r="A320">
        <v>3316</v>
      </c>
      <c r="B320" t="s">
        <v>355</v>
      </c>
      <c r="C320" t="str">
        <f>_xlfn.CONCAT(Merge[[#This Row],[Customer First Name]]," ",Merge[[#This Row],[Customer Last Name]])</f>
        <v>Weston Mccall</v>
      </c>
      <c r="D320" t="s">
        <v>563</v>
      </c>
      <c r="E320">
        <v>1549</v>
      </c>
      <c r="F320" t="s">
        <v>51</v>
      </c>
      <c r="G320" s="1">
        <v>45614</v>
      </c>
      <c r="H320">
        <v>3</v>
      </c>
      <c r="I320" t="s">
        <v>71</v>
      </c>
      <c r="J320" t="s">
        <v>47</v>
      </c>
      <c r="K320">
        <v>0.2</v>
      </c>
      <c r="L320">
        <v>22.8</v>
      </c>
      <c r="M320">
        <v>114</v>
      </c>
      <c r="N320">
        <v>91.2</v>
      </c>
      <c r="O320" t="s">
        <v>54</v>
      </c>
      <c r="P320">
        <v>1549</v>
      </c>
      <c r="Q320" t="s">
        <v>51</v>
      </c>
      <c r="R320" s="1">
        <v>45614</v>
      </c>
      <c r="S320">
        <v>1</v>
      </c>
      <c r="T320" t="s">
        <v>71</v>
      </c>
      <c r="U320" t="s">
        <v>47</v>
      </c>
      <c r="V320" t="s">
        <v>1886</v>
      </c>
      <c r="W320" t="s">
        <v>1275</v>
      </c>
      <c r="X320">
        <v>3000</v>
      </c>
      <c r="Y320">
        <v>250</v>
      </c>
      <c r="Z320">
        <v>250</v>
      </c>
      <c r="AA320" t="s">
        <v>1887</v>
      </c>
    </row>
    <row r="321" spans="1:27" x14ac:dyDescent="0.2">
      <c r="A321">
        <v>3317</v>
      </c>
      <c r="B321" t="s">
        <v>564</v>
      </c>
      <c r="C321" t="str">
        <f>_xlfn.CONCAT(Merge[[#This Row],[Customer First Name]]," ",Merge[[#This Row],[Customer Last Name]])</f>
        <v>Alana Case</v>
      </c>
      <c r="D321" t="s">
        <v>565</v>
      </c>
      <c r="E321">
        <v>1550</v>
      </c>
      <c r="F321" t="s">
        <v>76</v>
      </c>
      <c r="G321" s="1">
        <v>45373</v>
      </c>
      <c r="H321">
        <v>2</v>
      </c>
      <c r="I321" t="s">
        <v>38</v>
      </c>
      <c r="J321" t="s">
        <v>57</v>
      </c>
      <c r="K321">
        <v>0.25</v>
      </c>
      <c r="L321">
        <v>239.25</v>
      </c>
      <c r="M321">
        <v>957</v>
      </c>
      <c r="N321">
        <v>717.75</v>
      </c>
      <c r="O321" t="s">
        <v>44</v>
      </c>
      <c r="P321">
        <v>1550</v>
      </c>
      <c r="Q321" t="s">
        <v>76</v>
      </c>
      <c r="R321" s="1">
        <v>45373</v>
      </c>
      <c r="S321">
        <v>1</v>
      </c>
      <c r="T321" t="s">
        <v>38</v>
      </c>
      <c r="U321" t="s">
        <v>57</v>
      </c>
      <c r="V321" t="s">
        <v>1888</v>
      </c>
      <c r="W321" t="s">
        <v>1253</v>
      </c>
      <c r="X321">
        <v>5290</v>
      </c>
      <c r="Y321">
        <v>1200</v>
      </c>
      <c r="Z321">
        <v>1200</v>
      </c>
      <c r="AA321" t="s">
        <v>1889</v>
      </c>
    </row>
    <row r="322" spans="1:27" x14ac:dyDescent="0.2">
      <c r="A322">
        <v>3318</v>
      </c>
      <c r="B322" t="s">
        <v>566</v>
      </c>
      <c r="C322" t="str">
        <f>_xlfn.CONCAT(Merge[[#This Row],[Customer First Name]]," ",Merge[[#This Row],[Customer Last Name]])</f>
        <v>Milani Castillo</v>
      </c>
      <c r="D322" t="s">
        <v>567</v>
      </c>
      <c r="E322">
        <v>1551</v>
      </c>
      <c r="F322" t="s">
        <v>31</v>
      </c>
      <c r="G322" s="1">
        <v>45484</v>
      </c>
      <c r="H322">
        <v>3</v>
      </c>
      <c r="I322" t="s">
        <v>32</v>
      </c>
      <c r="J322" t="s">
        <v>43</v>
      </c>
      <c r="K322">
        <v>0.1</v>
      </c>
      <c r="L322">
        <v>90</v>
      </c>
      <c r="M322">
        <v>900</v>
      </c>
      <c r="N322">
        <v>810</v>
      </c>
      <c r="O322" t="s">
        <v>48</v>
      </c>
      <c r="P322">
        <v>1551</v>
      </c>
      <c r="Q322" t="s">
        <v>31</v>
      </c>
      <c r="R322" s="1">
        <v>45484</v>
      </c>
      <c r="S322">
        <v>1</v>
      </c>
      <c r="T322" t="s">
        <v>32</v>
      </c>
      <c r="U322" t="s">
        <v>43</v>
      </c>
      <c r="V322" t="s">
        <v>1890</v>
      </c>
      <c r="W322" t="s">
        <v>1244</v>
      </c>
      <c r="X322">
        <v>2300</v>
      </c>
      <c r="Y322">
        <v>250</v>
      </c>
      <c r="Z322">
        <v>250</v>
      </c>
      <c r="AA322" t="s">
        <v>1891</v>
      </c>
    </row>
    <row r="323" spans="1:27" x14ac:dyDescent="0.2">
      <c r="A323">
        <v>3319</v>
      </c>
      <c r="B323" t="s">
        <v>568</v>
      </c>
      <c r="C323" t="str">
        <f>_xlfn.CONCAT(Merge[[#This Row],[Customer First Name]]," ",Merge[[#This Row],[Customer Last Name]])</f>
        <v>Karson Torres</v>
      </c>
      <c r="D323" t="s">
        <v>569</v>
      </c>
      <c r="E323">
        <v>1552</v>
      </c>
      <c r="F323" t="s">
        <v>51</v>
      </c>
      <c r="G323" s="1">
        <v>45324</v>
      </c>
      <c r="H323">
        <v>1</v>
      </c>
      <c r="I323" t="s">
        <v>52</v>
      </c>
      <c r="J323" t="s">
        <v>47</v>
      </c>
      <c r="K323">
        <v>0.2</v>
      </c>
      <c r="L323">
        <v>170.60000000000002</v>
      </c>
      <c r="M323">
        <v>853</v>
      </c>
      <c r="N323">
        <v>682.4</v>
      </c>
      <c r="O323" t="s">
        <v>34</v>
      </c>
      <c r="P323">
        <v>1552</v>
      </c>
      <c r="Q323" t="s">
        <v>51</v>
      </c>
      <c r="R323" s="1">
        <v>45324</v>
      </c>
      <c r="S323">
        <v>2</v>
      </c>
      <c r="T323" t="s">
        <v>52</v>
      </c>
      <c r="U323" t="s">
        <v>47</v>
      </c>
      <c r="V323" t="s">
        <v>1892</v>
      </c>
      <c r="W323" t="s">
        <v>1256</v>
      </c>
      <c r="X323">
        <v>3220</v>
      </c>
      <c r="Y323">
        <v>250</v>
      </c>
      <c r="Z323">
        <v>500</v>
      </c>
      <c r="AA323" t="s">
        <v>1893</v>
      </c>
    </row>
    <row r="324" spans="1:27" x14ac:dyDescent="0.2">
      <c r="A324">
        <v>3320</v>
      </c>
      <c r="B324" t="s">
        <v>428</v>
      </c>
      <c r="C324" t="str">
        <f>_xlfn.CONCAT(Merge[[#This Row],[Customer First Name]]," ",Merge[[#This Row],[Customer Last Name]])</f>
        <v>Everett Mitchell</v>
      </c>
      <c r="D324" t="s">
        <v>375</v>
      </c>
      <c r="E324">
        <v>1553</v>
      </c>
      <c r="F324" t="s">
        <v>76</v>
      </c>
      <c r="G324" s="1">
        <v>45648</v>
      </c>
      <c r="H324">
        <v>2</v>
      </c>
      <c r="I324" t="s">
        <v>32</v>
      </c>
      <c r="J324" t="s">
        <v>57</v>
      </c>
      <c r="K324">
        <v>0.25</v>
      </c>
      <c r="L324">
        <v>363</v>
      </c>
      <c r="M324">
        <v>1452</v>
      </c>
      <c r="N324">
        <v>1089</v>
      </c>
      <c r="O324" t="s">
        <v>44</v>
      </c>
      <c r="P324">
        <v>1553</v>
      </c>
      <c r="Q324" t="s">
        <v>76</v>
      </c>
      <c r="R324" s="1">
        <v>45648</v>
      </c>
      <c r="S324">
        <v>3</v>
      </c>
      <c r="T324" t="s">
        <v>32</v>
      </c>
      <c r="U324" t="s">
        <v>57</v>
      </c>
      <c r="V324" t="s">
        <v>1894</v>
      </c>
      <c r="W324" t="s">
        <v>1095</v>
      </c>
      <c r="X324">
        <v>5000</v>
      </c>
      <c r="Y324">
        <v>1200</v>
      </c>
      <c r="Z324">
        <v>3600</v>
      </c>
      <c r="AA324" t="s">
        <v>1895</v>
      </c>
    </row>
    <row r="325" spans="1:27" x14ac:dyDescent="0.2">
      <c r="A325">
        <v>3321</v>
      </c>
      <c r="B325" t="s">
        <v>241</v>
      </c>
      <c r="C325" t="str">
        <f>_xlfn.CONCAT(Merge[[#This Row],[Customer First Name]]," ",Merge[[#This Row],[Customer Last Name]])</f>
        <v>Paxton Singh</v>
      </c>
      <c r="D325" t="s">
        <v>570</v>
      </c>
      <c r="E325">
        <v>1554</v>
      </c>
      <c r="F325" t="s">
        <v>51</v>
      </c>
      <c r="G325" s="1">
        <v>45301</v>
      </c>
      <c r="H325">
        <v>3</v>
      </c>
      <c r="I325" t="s">
        <v>32</v>
      </c>
      <c r="J325" t="s">
        <v>53</v>
      </c>
      <c r="K325">
        <v>0.2</v>
      </c>
      <c r="L325">
        <v>42.400000000000006</v>
      </c>
      <c r="M325">
        <v>212</v>
      </c>
      <c r="N325">
        <v>169.6</v>
      </c>
      <c r="O325" t="s">
        <v>34</v>
      </c>
      <c r="P325">
        <v>1554</v>
      </c>
      <c r="Q325" t="s">
        <v>51</v>
      </c>
      <c r="R325" s="1">
        <v>45301</v>
      </c>
      <c r="S325">
        <v>1</v>
      </c>
      <c r="T325" t="s">
        <v>32</v>
      </c>
      <c r="U325" t="s">
        <v>53</v>
      </c>
      <c r="V325" t="s">
        <v>1896</v>
      </c>
      <c r="W325" t="s">
        <v>1268</v>
      </c>
      <c r="X325">
        <v>4870</v>
      </c>
      <c r="Y325">
        <v>250</v>
      </c>
      <c r="Z325">
        <v>250</v>
      </c>
      <c r="AA325" t="s">
        <v>1897</v>
      </c>
    </row>
    <row r="326" spans="1:27" x14ac:dyDescent="0.2">
      <c r="A326">
        <v>3322</v>
      </c>
      <c r="B326" t="s">
        <v>571</v>
      </c>
      <c r="C326" t="str">
        <f>_xlfn.CONCAT(Merge[[#This Row],[Customer First Name]]," ",Merge[[#This Row],[Customer Last Name]])</f>
        <v>Kingston Parra</v>
      </c>
      <c r="D326" t="s">
        <v>572</v>
      </c>
      <c r="E326">
        <v>1555</v>
      </c>
      <c r="F326" t="s">
        <v>37</v>
      </c>
      <c r="G326" s="1">
        <v>45428</v>
      </c>
      <c r="H326">
        <v>2</v>
      </c>
      <c r="I326" t="s">
        <v>52</v>
      </c>
      <c r="J326" t="s">
        <v>57</v>
      </c>
      <c r="K326">
        <v>0.3</v>
      </c>
      <c r="L326">
        <v>33.9</v>
      </c>
      <c r="M326">
        <v>113</v>
      </c>
      <c r="N326">
        <v>79.099999999999994</v>
      </c>
      <c r="O326" t="s">
        <v>114</v>
      </c>
      <c r="P326">
        <v>1555</v>
      </c>
      <c r="Q326" t="s">
        <v>37</v>
      </c>
      <c r="R326" s="1">
        <v>45428</v>
      </c>
      <c r="S326">
        <v>3</v>
      </c>
      <c r="T326" t="s">
        <v>52</v>
      </c>
      <c r="U326" t="s">
        <v>57</v>
      </c>
      <c r="V326" t="s">
        <v>1898</v>
      </c>
      <c r="W326" t="s">
        <v>1253</v>
      </c>
      <c r="X326">
        <v>5290</v>
      </c>
      <c r="Y326">
        <v>800</v>
      </c>
      <c r="Z326">
        <v>2400</v>
      </c>
      <c r="AA326" t="s">
        <v>1899</v>
      </c>
    </row>
    <row r="327" spans="1:27" x14ac:dyDescent="0.2">
      <c r="A327">
        <v>3323</v>
      </c>
      <c r="B327" t="s">
        <v>573</v>
      </c>
      <c r="C327" t="str">
        <f>_xlfn.CONCAT(Merge[[#This Row],[Customer First Name]]," ",Merge[[#This Row],[Customer Last Name]])</f>
        <v>Olivia Russo</v>
      </c>
      <c r="D327" t="s">
        <v>574</v>
      </c>
      <c r="E327">
        <v>1556</v>
      </c>
      <c r="F327" t="s">
        <v>37</v>
      </c>
      <c r="G327" s="1">
        <v>45331</v>
      </c>
      <c r="H327">
        <v>3</v>
      </c>
      <c r="I327" t="s">
        <v>52</v>
      </c>
      <c r="J327" t="s">
        <v>33</v>
      </c>
      <c r="K327">
        <v>0.3</v>
      </c>
      <c r="L327">
        <v>385.2</v>
      </c>
      <c r="M327">
        <v>1284</v>
      </c>
      <c r="N327">
        <v>898.8</v>
      </c>
      <c r="O327" t="s">
        <v>54</v>
      </c>
      <c r="P327">
        <v>1556</v>
      </c>
      <c r="Q327" t="s">
        <v>37</v>
      </c>
      <c r="R327" s="1">
        <v>45331</v>
      </c>
      <c r="S327">
        <v>2</v>
      </c>
      <c r="T327" t="s">
        <v>52</v>
      </c>
      <c r="U327" t="s">
        <v>33</v>
      </c>
      <c r="V327" t="s">
        <v>1900</v>
      </c>
      <c r="W327" t="s">
        <v>1302</v>
      </c>
      <c r="X327">
        <v>6000</v>
      </c>
      <c r="Y327">
        <v>800</v>
      </c>
      <c r="Z327">
        <v>1600</v>
      </c>
      <c r="AA327" t="s">
        <v>1901</v>
      </c>
    </row>
    <row r="328" spans="1:27" x14ac:dyDescent="0.2">
      <c r="A328">
        <v>3324</v>
      </c>
      <c r="B328" t="s">
        <v>575</v>
      </c>
      <c r="C328" t="str">
        <f>_xlfn.CONCAT(Merge[[#This Row],[Customer First Name]]," ",Merge[[#This Row],[Customer Last Name]])</f>
        <v>Kendall Mathews</v>
      </c>
      <c r="D328" t="s">
        <v>576</v>
      </c>
      <c r="E328">
        <v>1557</v>
      </c>
      <c r="F328" t="s">
        <v>76</v>
      </c>
      <c r="G328" s="1">
        <v>45306</v>
      </c>
      <c r="H328">
        <v>1</v>
      </c>
      <c r="I328" t="s">
        <v>38</v>
      </c>
      <c r="J328" t="s">
        <v>57</v>
      </c>
      <c r="K328">
        <v>0.25</v>
      </c>
      <c r="L328">
        <v>107.75</v>
      </c>
      <c r="M328">
        <v>431</v>
      </c>
      <c r="N328">
        <v>323.25</v>
      </c>
      <c r="O328" t="s">
        <v>48</v>
      </c>
      <c r="P328">
        <v>1557</v>
      </c>
      <c r="Q328" t="s">
        <v>76</v>
      </c>
      <c r="R328" s="1">
        <v>45306</v>
      </c>
      <c r="S328">
        <v>3</v>
      </c>
      <c r="T328" t="s">
        <v>38</v>
      </c>
      <c r="U328" t="s">
        <v>57</v>
      </c>
      <c r="V328" t="s">
        <v>1902</v>
      </c>
      <c r="W328" t="s">
        <v>1253</v>
      </c>
      <c r="X328">
        <v>5290</v>
      </c>
      <c r="Y328">
        <v>1200</v>
      </c>
      <c r="Z328">
        <v>3600</v>
      </c>
      <c r="AA328" t="s">
        <v>1903</v>
      </c>
    </row>
    <row r="329" spans="1:27" x14ac:dyDescent="0.2">
      <c r="A329">
        <v>3325</v>
      </c>
      <c r="B329" t="s">
        <v>577</v>
      </c>
      <c r="C329" t="str">
        <f>_xlfn.CONCAT(Merge[[#This Row],[Customer First Name]]," ",Merge[[#This Row],[Customer Last Name]])</f>
        <v>Devin Tapia</v>
      </c>
      <c r="D329" t="s">
        <v>75</v>
      </c>
      <c r="E329">
        <v>1558</v>
      </c>
      <c r="F329" t="s">
        <v>76</v>
      </c>
      <c r="G329" s="1">
        <v>45386</v>
      </c>
      <c r="H329">
        <v>2</v>
      </c>
      <c r="I329" t="s">
        <v>52</v>
      </c>
      <c r="J329" t="s">
        <v>64</v>
      </c>
      <c r="K329">
        <v>0.25</v>
      </c>
      <c r="L329">
        <v>224.25</v>
      </c>
      <c r="M329">
        <v>897</v>
      </c>
      <c r="N329">
        <v>672.75</v>
      </c>
      <c r="O329" t="s">
        <v>114</v>
      </c>
      <c r="P329">
        <v>1558</v>
      </c>
      <c r="Q329" t="s">
        <v>76</v>
      </c>
      <c r="R329" s="1">
        <v>45386</v>
      </c>
      <c r="S329">
        <v>2</v>
      </c>
      <c r="T329" t="s">
        <v>52</v>
      </c>
      <c r="U329" t="s">
        <v>64</v>
      </c>
      <c r="V329" t="s">
        <v>1904</v>
      </c>
      <c r="W329" t="s">
        <v>1400</v>
      </c>
      <c r="X329">
        <v>7310</v>
      </c>
      <c r="Y329">
        <v>1200</v>
      </c>
      <c r="Z329">
        <v>2400</v>
      </c>
      <c r="AA329" t="s">
        <v>1905</v>
      </c>
    </row>
    <row r="330" spans="1:27" x14ac:dyDescent="0.2">
      <c r="A330">
        <v>3326</v>
      </c>
      <c r="B330" t="s">
        <v>578</v>
      </c>
      <c r="C330" t="str">
        <f>_xlfn.CONCAT(Merge[[#This Row],[Customer First Name]]," ",Merge[[#This Row],[Customer Last Name]])</f>
        <v>Fiona Roberson</v>
      </c>
      <c r="D330" t="s">
        <v>579</v>
      </c>
      <c r="E330">
        <v>1559</v>
      </c>
      <c r="F330" t="s">
        <v>92</v>
      </c>
      <c r="G330" s="1">
        <v>45456</v>
      </c>
      <c r="H330">
        <v>2</v>
      </c>
      <c r="I330" t="s">
        <v>32</v>
      </c>
      <c r="J330" t="s">
        <v>43</v>
      </c>
      <c r="K330">
        <v>0.3</v>
      </c>
      <c r="L330">
        <v>503.09999999999997</v>
      </c>
      <c r="M330">
        <v>1677</v>
      </c>
      <c r="N330">
        <v>1173.9000000000001</v>
      </c>
      <c r="O330" t="s">
        <v>114</v>
      </c>
      <c r="P330">
        <v>1559</v>
      </c>
      <c r="Q330" t="s">
        <v>92</v>
      </c>
      <c r="R330" s="1">
        <v>45456</v>
      </c>
      <c r="S330">
        <v>3</v>
      </c>
      <c r="T330" t="s">
        <v>32</v>
      </c>
      <c r="U330" t="s">
        <v>43</v>
      </c>
      <c r="V330" t="s">
        <v>1906</v>
      </c>
      <c r="W330" t="s">
        <v>1299</v>
      </c>
      <c r="X330">
        <v>2500</v>
      </c>
      <c r="Y330">
        <v>600</v>
      </c>
      <c r="Z330">
        <v>1800</v>
      </c>
      <c r="AA330" t="s">
        <v>1907</v>
      </c>
    </row>
    <row r="331" spans="1:27" x14ac:dyDescent="0.2">
      <c r="A331">
        <v>3327</v>
      </c>
      <c r="B331" t="s">
        <v>372</v>
      </c>
      <c r="C331" t="str">
        <f>_xlfn.CONCAT(Merge[[#This Row],[Customer First Name]]," ",Merge[[#This Row],[Customer Last Name]])</f>
        <v>Brinley Patrick</v>
      </c>
      <c r="D331" t="s">
        <v>580</v>
      </c>
      <c r="E331">
        <v>1560</v>
      </c>
      <c r="F331" t="s">
        <v>31</v>
      </c>
      <c r="G331" s="1">
        <v>45442</v>
      </c>
      <c r="H331">
        <v>1</v>
      </c>
      <c r="I331" t="s">
        <v>71</v>
      </c>
      <c r="J331" t="s">
        <v>33</v>
      </c>
      <c r="K331">
        <v>0.1</v>
      </c>
      <c r="L331">
        <v>146.30000000000001</v>
      </c>
      <c r="M331">
        <v>1463</v>
      </c>
      <c r="N331">
        <v>1316.7</v>
      </c>
      <c r="O331" t="s">
        <v>44</v>
      </c>
      <c r="P331">
        <v>1560</v>
      </c>
      <c r="Q331" t="s">
        <v>31</v>
      </c>
      <c r="R331" s="1">
        <v>45442</v>
      </c>
      <c r="S331">
        <v>1</v>
      </c>
      <c r="T331" t="s">
        <v>71</v>
      </c>
      <c r="U331" t="s">
        <v>33</v>
      </c>
      <c r="V331" t="s">
        <v>1908</v>
      </c>
      <c r="W331" t="s">
        <v>1238</v>
      </c>
      <c r="X331">
        <v>6725</v>
      </c>
      <c r="Y331">
        <v>250</v>
      </c>
      <c r="Z331">
        <v>250</v>
      </c>
      <c r="AA331" t="s">
        <v>1909</v>
      </c>
    </row>
    <row r="332" spans="1:27" x14ac:dyDescent="0.2">
      <c r="A332">
        <v>3328</v>
      </c>
      <c r="B332" t="s">
        <v>581</v>
      </c>
      <c r="C332" t="str">
        <f>_xlfn.CONCAT(Merge[[#This Row],[Customer First Name]]," ",Merge[[#This Row],[Customer Last Name]])</f>
        <v>Angelina Macdonald</v>
      </c>
      <c r="D332" t="s">
        <v>582</v>
      </c>
      <c r="E332">
        <v>1561</v>
      </c>
      <c r="F332" t="s">
        <v>37</v>
      </c>
      <c r="G332" s="1">
        <v>45372</v>
      </c>
      <c r="H332">
        <v>1</v>
      </c>
      <c r="I332" t="s">
        <v>32</v>
      </c>
      <c r="J332" t="s">
        <v>39</v>
      </c>
      <c r="K332">
        <v>0.3</v>
      </c>
      <c r="L332">
        <v>454.2</v>
      </c>
      <c r="M332">
        <v>1514</v>
      </c>
      <c r="N332">
        <v>1059.8</v>
      </c>
      <c r="O332" t="s">
        <v>114</v>
      </c>
      <c r="P332">
        <v>1561</v>
      </c>
      <c r="Q332" t="s">
        <v>37</v>
      </c>
      <c r="R332" s="1">
        <v>45372</v>
      </c>
      <c r="S332">
        <v>1</v>
      </c>
      <c r="T332" t="s">
        <v>32</v>
      </c>
      <c r="U332" t="s">
        <v>39</v>
      </c>
      <c r="V332" t="s">
        <v>1910</v>
      </c>
      <c r="W332" t="s">
        <v>1241</v>
      </c>
      <c r="X332">
        <v>2600</v>
      </c>
      <c r="Y332">
        <v>800</v>
      </c>
      <c r="Z332">
        <v>800</v>
      </c>
      <c r="AA332" t="s">
        <v>1911</v>
      </c>
    </row>
    <row r="333" spans="1:27" x14ac:dyDescent="0.2">
      <c r="A333">
        <v>3329</v>
      </c>
      <c r="B333" t="s">
        <v>583</v>
      </c>
      <c r="C333" t="str">
        <f>_xlfn.CONCAT(Merge[[#This Row],[Customer First Name]]," ",Merge[[#This Row],[Customer Last Name]])</f>
        <v>Alora Hester</v>
      </c>
      <c r="D333" t="s">
        <v>584</v>
      </c>
      <c r="E333">
        <v>1562</v>
      </c>
      <c r="F333" t="s">
        <v>51</v>
      </c>
      <c r="G333" s="1">
        <v>45504</v>
      </c>
      <c r="H333">
        <v>1</v>
      </c>
      <c r="I333" t="s">
        <v>38</v>
      </c>
      <c r="J333" t="s">
        <v>43</v>
      </c>
      <c r="K333">
        <v>0.2</v>
      </c>
      <c r="L333">
        <v>270.60000000000002</v>
      </c>
      <c r="M333">
        <v>1353</v>
      </c>
      <c r="N333">
        <v>1082.4000000000001</v>
      </c>
      <c r="O333" t="s">
        <v>34</v>
      </c>
      <c r="P333">
        <v>1562</v>
      </c>
      <c r="Q333" t="s">
        <v>51</v>
      </c>
      <c r="R333" s="1">
        <v>45504</v>
      </c>
      <c r="S333">
        <v>3</v>
      </c>
      <c r="T333" t="s">
        <v>38</v>
      </c>
      <c r="U333" t="s">
        <v>43</v>
      </c>
      <c r="V333" t="s">
        <v>1912</v>
      </c>
      <c r="W333" t="s">
        <v>1244</v>
      </c>
      <c r="X333">
        <v>2300</v>
      </c>
      <c r="Y333">
        <v>250</v>
      </c>
      <c r="Z333">
        <v>750</v>
      </c>
      <c r="AA333" t="s">
        <v>1913</v>
      </c>
    </row>
    <row r="334" spans="1:27" x14ac:dyDescent="0.2">
      <c r="A334">
        <v>3330</v>
      </c>
      <c r="B334" t="s">
        <v>585</v>
      </c>
      <c r="C334" t="str">
        <f>_xlfn.CONCAT(Merge[[#This Row],[Customer First Name]]," ",Merge[[#This Row],[Customer Last Name]])</f>
        <v>Aspen Levy</v>
      </c>
      <c r="D334" t="s">
        <v>124</v>
      </c>
      <c r="E334">
        <v>1563</v>
      </c>
      <c r="F334" t="s">
        <v>37</v>
      </c>
      <c r="G334" s="1">
        <v>45648</v>
      </c>
      <c r="H334">
        <v>3</v>
      </c>
      <c r="I334" t="s">
        <v>32</v>
      </c>
      <c r="J334" t="s">
        <v>81</v>
      </c>
      <c r="K334">
        <v>0.3</v>
      </c>
      <c r="L334">
        <v>443.7</v>
      </c>
      <c r="M334">
        <v>1479</v>
      </c>
      <c r="N334">
        <v>1035.3</v>
      </c>
      <c r="O334" t="s">
        <v>54</v>
      </c>
      <c r="P334">
        <v>1563</v>
      </c>
      <c r="Q334" t="s">
        <v>37</v>
      </c>
      <c r="R334" s="1">
        <v>45648</v>
      </c>
      <c r="S334">
        <v>1</v>
      </c>
      <c r="T334" t="s">
        <v>32</v>
      </c>
      <c r="U334" t="s">
        <v>81</v>
      </c>
      <c r="V334" t="s">
        <v>1914</v>
      </c>
      <c r="W334" t="s">
        <v>1361</v>
      </c>
      <c r="X334">
        <v>870</v>
      </c>
      <c r="Y334">
        <v>800</v>
      </c>
      <c r="Z334">
        <v>800</v>
      </c>
      <c r="AA334" t="s">
        <v>1915</v>
      </c>
    </row>
    <row r="335" spans="1:27" x14ac:dyDescent="0.2">
      <c r="A335">
        <v>3331</v>
      </c>
      <c r="B335" t="s">
        <v>586</v>
      </c>
      <c r="C335" t="str">
        <f>_xlfn.CONCAT(Merge[[#This Row],[Customer First Name]]," ",Merge[[#This Row],[Customer Last Name]])</f>
        <v>Clark Santana</v>
      </c>
      <c r="D335" t="s">
        <v>271</v>
      </c>
      <c r="E335">
        <v>1564</v>
      </c>
      <c r="F335" t="s">
        <v>92</v>
      </c>
      <c r="G335" s="1">
        <v>45628</v>
      </c>
      <c r="H335">
        <v>1</v>
      </c>
      <c r="I335" t="s">
        <v>32</v>
      </c>
      <c r="J335" t="s">
        <v>33</v>
      </c>
      <c r="K335">
        <v>0.3</v>
      </c>
      <c r="L335">
        <v>58.5</v>
      </c>
      <c r="M335">
        <v>195</v>
      </c>
      <c r="N335">
        <v>136.5</v>
      </c>
      <c r="O335" t="s">
        <v>44</v>
      </c>
      <c r="P335">
        <v>1564</v>
      </c>
      <c r="Q335" t="s">
        <v>92</v>
      </c>
      <c r="R335" s="1">
        <v>45628</v>
      </c>
      <c r="S335">
        <v>2</v>
      </c>
      <c r="T335" t="s">
        <v>32</v>
      </c>
      <c r="U335" t="s">
        <v>33</v>
      </c>
      <c r="V335" t="s">
        <v>1916</v>
      </c>
      <c r="W335" t="s">
        <v>1259</v>
      </c>
      <c r="X335">
        <v>6160</v>
      </c>
      <c r="Y335">
        <v>600</v>
      </c>
      <c r="Z335">
        <v>1200</v>
      </c>
      <c r="AA335" t="s">
        <v>1917</v>
      </c>
    </row>
    <row r="336" spans="1:27" x14ac:dyDescent="0.2">
      <c r="A336">
        <v>3332</v>
      </c>
      <c r="B336" t="s">
        <v>587</v>
      </c>
      <c r="C336" t="str">
        <f>_xlfn.CONCAT(Merge[[#This Row],[Customer First Name]]," ",Merge[[#This Row],[Customer Last Name]])</f>
        <v>Daleyza Deleon</v>
      </c>
      <c r="D336" t="s">
        <v>588</v>
      </c>
      <c r="E336">
        <v>1565</v>
      </c>
      <c r="F336" t="s">
        <v>37</v>
      </c>
      <c r="G336" s="1">
        <v>45642</v>
      </c>
      <c r="H336">
        <v>3</v>
      </c>
      <c r="I336" t="s">
        <v>32</v>
      </c>
      <c r="J336" t="s">
        <v>57</v>
      </c>
      <c r="K336">
        <v>0.3</v>
      </c>
      <c r="L336">
        <v>109.8</v>
      </c>
      <c r="M336">
        <v>366</v>
      </c>
      <c r="N336">
        <v>256.2</v>
      </c>
      <c r="O336" t="s">
        <v>54</v>
      </c>
      <c r="P336">
        <v>1565</v>
      </c>
      <c r="Q336" t="s">
        <v>37</v>
      </c>
      <c r="R336" s="1">
        <v>45642</v>
      </c>
      <c r="S336">
        <v>2</v>
      </c>
      <c r="T336" t="s">
        <v>32</v>
      </c>
      <c r="U336" t="s">
        <v>57</v>
      </c>
      <c r="V336" t="s">
        <v>1918</v>
      </c>
      <c r="W336" t="s">
        <v>1253</v>
      </c>
      <c r="X336">
        <v>5290</v>
      </c>
      <c r="Y336">
        <v>800</v>
      </c>
      <c r="Z336">
        <v>1600</v>
      </c>
      <c r="AA336" t="s">
        <v>1919</v>
      </c>
    </row>
    <row r="337" spans="1:27" x14ac:dyDescent="0.2">
      <c r="A337">
        <v>3333</v>
      </c>
      <c r="B337" t="s">
        <v>589</v>
      </c>
      <c r="C337" t="str">
        <f>_xlfn.CONCAT(Merge[[#This Row],[Customer First Name]]," ",Merge[[#This Row],[Customer Last Name]])</f>
        <v>Esteban Harrell</v>
      </c>
      <c r="D337" t="s">
        <v>590</v>
      </c>
      <c r="E337">
        <v>1566</v>
      </c>
      <c r="F337" t="s">
        <v>42</v>
      </c>
      <c r="G337" s="1">
        <v>45611</v>
      </c>
      <c r="H337">
        <v>1</v>
      </c>
      <c r="I337" t="s">
        <v>32</v>
      </c>
      <c r="J337" t="s">
        <v>47</v>
      </c>
      <c r="K337">
        <v>0.25</v>
      </c>
      <c r="L337">
        <v>398.25</v>
      </c>
      <c r="M337">
        <v>1593</v>
      </c>
      <c r="N337">
        <v>1194.75</v>
      </c>
      <c r="O337" t="s">
        <v>48</v>
      </c>
      <c r="P337">
        <v>1566</v>
      </c>
      <c r="Q337" t="s">
        <v>42</v>
      </c>
      <c r="R337" s="1">
        <v>45611</v>
      </c>
      <c r="S337">
        <v>3</v>
      </c>
      <c r="T337" t="s">
        <v>32</v>
      </c>
      <c r="U337" t="s">
        <v>47</v>
      </c>
      <c r="V337" t="s">
        <v>1920</v>
      </c>
      <c r="W337" t="s">
        <v>1247</v>
      </c>
      <c r="X337">
        <v>3350</v>
      </c>
      <c r="Y337">
        <v>300</v>
      </c>
      <c r="Z337">
        <v>900</v>
      </c>
      <c r="AA337" t="s">
        <v>1921</v>
      </c>
    </row>
    <row r="338" spans="1:27" x14ac:dyDescent="0.2">
      <c r="A338">
        <v>3334</v>
      </c>
      <c r="B338" t="s">
        <v>591</v>
      </c>
      <c r="C338" t="str">
        <f>_xlfn.CONCAT(Merge[[#This Row],[Customer First Name]]," ",Merge[[#This Row],[Customer Last Name]])</f>
        <v>Zaire Ashley</v>
      </c>
      <c r="D338" t="s">
        <v>592</v>
      </c>
      <c r="E338">
        <v>1567</v>
      </c>
      <c r="F338" t="s">
        <v>51</v>
      </c>
      <c r="G338" s="1">
        <v>45568</v>
      </c>
      <c r="H338">
        <v>1</v>
      </c>
      <c r="I338" t="s">
        <v>38</v>
      </c>
      <c r="J338" t="s">
        <v>81</v>
      </c>
      <c r="K338">
        <v>0.2</v>
      </c>
      <c r="L338">
        <v>134.80000000000001</v>
      </c>
      <c r="M338">
        <v>674</v>
      </c>
      <c r="N338">
        <v>539.20000000000005</v>
      </c>
      <c r="O338" t="s">
        <v>34</v>
      </c>
      <c r="P338">
        <v>1567</v>
      </c>
      <c r="Q338" t="s">
        <v>51</v>
      </c>
      <c r="R338" s="1">
        <v>45568</v>
      </c>
      <c r="S338">
        <v>2</v>
      </c>
      <c r="T338" t="s">
        <v>38</v>
      </c>
      <c r="U338" t="s">
        <v>81</v>
      </c>
      <c r="V338" t="s">
        <v>1922</v>
      </c>
      <c r="W338" t="s">
        <v>1280</v>
      </c>
      <c r="X338">
        <v>800</v>
      </c>
      <c r="Y338">
        <v>250</v>
      </c>
      <c r="Z338">
        <v>500</v>
      </c>
      <c r="AA338" t="s">
        <v>1923</v>
      </c>
    </row>
    <row r="339" spans="1:27" x14ac:dyDescent="0.2">
      <c r="A339">
        <v>3335</v>
      </c>
      <c r="B339" t="s">
        <v>593</v>
      </c>
      <c r="C339" t="str">
        <f>_xlfn.CONCAT(Merge[[#This Row],[Customer First Name]]," ",Merge[[#This Row],[Customer Last Name]])</f>
        <v>Diego Miranda</v>
      </c>
      <c r="D339" t="s">
        <v>427</v>
      </c>
      <c r="E339">
        <v>1568</v>
      </c>
      <c r="F339" t="s">
        <v>37</v>
      </c>
      <c r="G339" s="1">
        <v>45391</v>
      </c>
      <c r="H339">
        <v>2</v>
      </c>
      <c r="I339" t="s">
        <v>32</v>
      </c>
      <c r="J339" t="s">
        <v>43</v>
      </c>
      <c r="K339">
        <v>0.3</v>
      </c>
      <c r="L339">
        <v>323.09999999999997</v>
      </c>
      <c r="M339">
        <v>1077</v>
      </c>
      <c r="N339">
        <v>753.90000000000009</v>
      </c>
      <c r="O339" t="s">
        <v>34</v>
      </c>
      <c r="P339">
        <v>1568</v>
      </c>
      <c r="Q339" t="s">
        <v>37</v>
      </c>
      <c r="R339" s="1">
        <v>45391</v>
      </c>
      <c r="S339">
        <v>2</v>
      </c>
      <c r="T339" t="s">
        <v>32</v>
      </c>
      <c r="U339" t="s">
        <v>43</v>
      </c>
      <c r="V339" t="s">
        <v>1924</v>
      </c>
      <c r="W339" t="s">
        <v>865</v>
      </c>
      <c r="X339">
        <v>2000</v>
      </c>
      <c r="Y339">
        <v>800</v>
      </c>
      <c r="Z339">
        <v>1600</v>
      </c>
      <c r="AA339" t="s">
        <v>1925</v>
      </c>
    </row>
    <row r="340" spans="1:27" x14ac:dyDescent="0.2">
      <c r="A340">
        <v>3336</v>
      </c>
      <c r="B340" t="s">
        <v>594</v>
      </c>
      <c r="C340" t="str">
        <f>_xlfn.CONCAT(Merge[[#This Row],[Customer First Name]]," ",Merge[[#This Row],[Customer Last Name]])</f>
        <v>Niko Potter</v>
      </c>
      <c r="D340" t="s">
        <v>595</v>
      </c>
      <c r="E340">
        <v>1569</v>
      </c>
      <c r="F340" t="s">
        <v>31</v>
      </c>
      <c r="G340" s="1">
        <v>45613</v>
      </c>
      <c r="H340">
        <v>3</v>
      </c>
      <c r="I340" t="s">
        <v>52</v>
      </c>
      <c r="J340" t="s">
        <v>39</v>
      </c>
      <c r="K340">
        <v>0.1</v>
      </c>
      <c r="L340">
        <v>174.20000000000002</v>
      </c>
      <c r="M340">
        <v>1742</v>
      </c>
      <c r="N340">
        <v>1567.8</v>
      </c>
      <c r="O340" t="s">
        <v>54</v>
      </c>
      <c r="P340">
        <v>1569</v>
      </c>
      <c r="Q340" t="s">
        <v>31</v>
      </c>
      <c r="R340" s="1">
        <v>45613</v>
      </c>
      <c r="S340">
        <v>2</v>
      </c>
      <c r="T340" t="s">
        <v>52</v>
      </c>
      <c r="U340" t="s">
        <v>39</v>
      </c>
      <c r="V340" t="s">
        <v>1926</v>
      </c>
      <c r="W340" t="s">
        <v>1241</v>
      </c>
      <c r="X340">
        <v>2600</v>
      </c>
      <c r="Y340">
        <v>250</v>
      </c>
      <c r="Z340">
        <v>500</v>
      </c>
      <c r="AA340" t="s">
        <v>1927</v>
      </c>
    </row>
    <row r="341" spans="1:27" x14ac:dyDescent="0.2">
      <c r="A341">
        <v>3337</v>
      </c>
      <c r="B341" t="s">
        <v>596</v>
      </c>
      <c r="C341" t="str">
        <f>_xlfn.CONCAT(Merge[[#This Row],[Customer First Name]]," ",Merge[[#This Row],[Customer Last Name]])</f>
        <v>Maximus Wilkins</v>
      </c>
      <c r="D341" t="s">
        <v>390</v>
      </c>
      <c r="E341">
        <v>1570</v>
      </c>
      <c r="F341" t="s">
        <v>92</v>
      </c>
      <c r="G341" s="1">
        <v>45649</v>
      </c>
      <c r="H341">
        <v>3</v>
      </c>
      <c r="I341" t="s">
        <v>52</v>
      </c>
      <c r="J341" t="s">
        <v>33</v>
      </c>
      <c r="K341">
        <v>0.3</v>
      </c>
      <c r="L341">
        <v>364.8</v>
      </c>
      <c r="M341">
        <v>1216</v>
      </c>
      <c r="N341">
        <v>851.2</v>
      </c>
      <c r="O341" t="s">
        <v>44</v>
      </c>
      <c r="P341">
        <v>1570</v>
      </c>
      <c r="Q341" t="s">
        <v>92</v>
      </c>
      <c r="R341" s="1">
        <v>45649</v>
      </c>
      <c r="S341">
        <v>2</v>
      </c>
      <c r="T341" t="s">
        <v>52</v>
      </c>
      <c r="U341" t="s">
        <v>33</v>
      </c>
      <c r="V341" t="s">
        <v>1928</v>
      </c>
      <c r="W341" t="s">
        <v>1259</v>
      </c>
      <c r="X341">
        <v>6160</v>
      </c>
      <c r="Y341">
        <v>600</v>
      </c>
      <c r="Z341">
        <v>1200</v>
      </c>
      <c r="AA341" t="s">
        <v>1929</v>
      </c>
    </row>
    <row r="342" spans="1:27" x14ac:dyDescent="0.2">
      <c r="A342">
        <v>3338</v>
      </c>
      <c r="B342" t="s">
        <v>169</v>
      </c>
      <c r="C342" t="str">
        <f>_xlfn.CONCAT(Merge[[#This Row],[Customer First Name]]," ",Merge[[#This Row],[Customer Last Name]])</f>
        <v>Paris Watts</v>
      </c>
      <c r="D342" t="s">
        <v>597</v>
      </c>
      <c r="E342">
        <v>1571</v>
      </c>
      <c r="F342" t="s">
        <v>76</v>
      </c>
      <c r="G342" s="1">
        <v>45529</v>
      </c>
      <c r="H342">
        <v>1</v>
      </c>
      <c r="I342" t="s">
        <v>52</v>
      </c>
      <c r="J342" t="s">
        <v>39</v>
      </c>
      <c r="K342">
        <v>0.25</v>
      </c>
      <c r="L342">
        <v>77.25</v>
      </c>
      <c r="M342">
        <v>309</v>
      </c>
      <c r="N342">
        <v>231.75</v>
      </c>
      <c r="O342" t="s">
        <v>114</v>
      </c>
      <c r="P342">
        <v>1571</v>
      </c>
      <c r="Q342" t="s">
        <v>76</v>
      </c>
      <c r="R342" s="1">
        <v>45529</v>
      </c>
      <c r="S342">
        <v>1</v>
      </c>
      <c r="T342" t="s">
        <v>52</v>
      </c>
      <c r="U342" t="s">
        <v>39</v>
      </c>
      <c r="V342" t="s">
        <v>1930</v>
      </c>
      <c r="W342" t="s">
        <v>1241</v>
      </c>
      <c r="X342">
        <v>2600</v>
      </c>
      <c r="Y342">
        <v>1200</v>
      </c>
      <c r="Z342">
        <v>1200</v>
      </c>
      <c r="AA342" t="s">
        <v>1931</v>
      </c>
    </row>
    <row r="343" spans="1:27" x14ac:dyDescent="0.2">
      <c r="A343">
        <v>3339</v>
      </c>
      <c r="B343" t="s">
        <v>598</v>
      </c>
      <c r="C343" t="str">
        <f>_xlfn.CONCAT(Merge[[#This Row],[Customer First Name]]," ",Merge[[#This Row],[Customer Last Name]])</f>
        <v>Rosie Hammond</v>
      </c>
      <c r="D343" t="s">
        <v>185</v>
      </c>
      <c r="E343">
        <v>1572</v>
      </c>
      <c r="F343" t="s">
        <v>37</v>
      </c>
      <c r="G343" s="1">
        <v>45411</v>
      </c>
      <c r="H343">
        <v>1</v>
      </c>
      <c r="I343" t="s">
        <v>52</v>
      </c>
      <c r="J343" t="s">
        <v>64</v>
      </c>
      <c r="K343">
        <v>0.3</v>
      </c>
      <c r="L343">
        <v>28.2</v>
      </c>
      <c r="M343">
        <v>94</v>
      </c>
      <c r="N343">
        <v>65.8</v>
      </c>
      <c r="O343" t="s">
        <v>34</v>
      </c>
      <c r="P343">
        <v>1572</v>
      </c>
      <c r="Q343" t="s">
        <v>37</v>
      </c>
      <c r="R343" s="1">
        <v>45411</v>
      </c>
      <c r="S343">
        <v>3</v>
      </c>
      <c r="T343" t="s">
        <v>52</v>
      </c>
      <c r="U343" t="s">
        <v>64</v>
      </c>
      <c r="V343" t="s">
        <v>1932</v>
      </c>
      <c r="W343" t="s">
        <v>1262</v>
      </c>
      <c r="X343">
        <v>7250</v>
      </c>
      <c r="Y343">
        <v>800</v>
      </c>
      <c r="Z343">
        <v>2400</v>
      </c>
      <c r="AA343" t="s">
        <v>1933</v>
      </c>
    </row>
    <row r="344" spans="1:27" x14ac:dyDescent="0.2">
      <c r="A344">
        <v>3340</v>
      </c>
      <c r="B344" t="s">
        <v>200</v>
      </c>
      <c r="C344" t="str">
        <f>_xlfn.CONCAT(Merge[[#This Row],[Customer First Name]]," ",Merge[[#This Row],[Customer Last Name]])</f>
        <v>Mackenzie Pham</v>
      </c>
      <c r="D344" t="s">
        <v>449</v>
      </c>
      <c r="E344">
        <v>1573</v>
      </c>
      <c r="F344" t="s">
        <v>31</v>
      </c>
      <c r="G344" s="1">
        <v>45385</v>
      </c>
      <c r="H344">
        <v>3</v>
      </c>
      <c r="I344" t="s">
        <v>32</v>
      </c>
      <c r="J344" t="s">
        <v>53</v>
      </c>
      <c r="K344">
        <v>0.1</v>
      </c>
      <c r="L344">
        <v>138.9</v>
      </c>
      <c r="M344">
        <v>1389</v>
      </c>
      <c r="N344">
        <v>1250.0999999999999</v>
      </c>
      <c r="O344" t="s">
        <v>34</v>
      </c>
      <c r="P344">
        <v>1573</v>
      </c>
      <c r="Q344" t="s">
        <v>31</v>
      </c>
      <c r="R344" s="1">
        <v>45385</v>
      </c>
      <c r="S344">
        <v>1</v>
      </c>
      <c r="T344" t="s">
        <v>32</v>
      </c>
      <c r="U344" t="s">
        <v>53</v>
      </c>
      <c r="V344" t="s">
        <v>1934</v>
      </c>
      <c r="W344" t="s">
        <v>1250</v>
      </c>
      <c r="X344">
        <v>4217</v>
      </c>
      <c r="Y344">
        <v>250</v>
      </c>
      <c r="Z344">
        <v>250</v>
      </c>
      <c r="AA344" t="s">
        <v>1935</v>
      </c>
    </row>
    <row r="345" spans="1:27" x14ac:dyDescent="0.2">
      <c r="A345">
        <v>3341</v>
      </c>
      <c r="B345" t="s">
        <v>258</v>
      </c>
      <c r="C345" t="str">
        <f>_xlfn.CONCAT(Merge[[#This Row],[Customer First Name]]," ",Merge[[#This Row],[Customer Last Name]])</f>
        <v>Aylin Keller</v>
      </c>
      <c r="D345" t="s">
        <v>599</v>
      </c>
      <c r="E345">
        <v>1574</v>
      </c>
      <c r="F345" t="s">
        <v>92</v>
      </c>
      <c r="G345" s="1">
        <v>45656</v>
      </c>
      <c r="H345">
        <v>3</v>
      </c>
      <c r="I345" t="s">
        <v>38</v>
      </c>
      <c r="J345" t="s">
        <v>64</v>
      </c>
      <c r="K345">
        <v>0.3</v>
      </c>
      <c r="L345">
        <v>299.09999999999997</v>
      </c>
      <c r="M345">
        <v>997</v>
      </c>
      <c r="N345">
        <v>697.90000000000009</v>
      </c>
      <c r="O345" t="s">
        <v>54</v>
      </c>
      <c r="P345">
        <v>1574</v>
      </c>
      <c r="Q345" t="s">
        <v>92</v>
      </c>
      <c r="R345" s="1">
        <v>45656</v>
      </c>
      <c r="S345">
        <v>3</v>
      </c>
      <c r="T345" t="s">
        <v>38</v>
      </c>
      <c r="U345" t="s">
        <v>64</v>
      </c>
      <c r="V345" t="s">
        <v>1936</v>
      </c>
      <c r="W345" t="s">
        <v>1262</v>
      </c>
      <c r="X345">
        <v>7250</v>
      </c>
      <c r="Y345">
        <v>600</v>
      </c>
      <c r="Z345">
        <v>1800</v>
      </c>
      <c r="AA345" t="s">
        <v>1937</v>
      </c>
    </row>
    <row r="346" spans="1:27" x14ac:dyDescent="0.2">
      <c r="A346">
        <v>3342</v>
      </c>
      <c r="B346" t="s">
        <v>448</v>
      </c>
      <c r="C346" t="str">
        <f>_xlfn.CONCAT(Merge[[#This Row],[Customer First Name]]," ",Merge[[#This Row],[Customer Last Name]])</f>
        <v>Juliana Nuñez</v>
      </c>
      <c r="D346" t="s">
        <v>600</v>
      </c>
      <c r="E346">
        <v>1575</v>
      </c>
      <c r="F346" t="s">
        <v>37</v>
      </c>
      <c r="G346" s="1">
        <v>45464</v>
      </c>
      <c r="H346">
        <v>1</v>
      </c>
      <c r="I346" t="s">
        <v>32</v>
      </c>
      <c r="J346" t="s">
        <v>39</v>
      </c>
      <c r="K346">
        <v>0.3</v>
      </c>
      <c r="L346">
        <v>168.9</v>
      </c>
      <c r="M346">
        <v>563</v>
      </c>
      <c r="N346">
        <v>394.1</v>
      </c>
      <c r="O346" t="s">
        <v>54</v>
      </c>
      <c r="P346">
        <v>1575</v>
      </c>
      <c r="Q346" t="s">
        <v>37</v>
      </c>
      <c r="R346" s="1">
        <v>45464</v>
      </c>
      <c r="S346">
        <v>3</v>
      </c>
      <c r="T346" t="s">
        <v>32</v>
      </c>
      <c r="U346" t="s">
        <v>39</v>
      </c>
      <c r="V346" t="s">
        <v>1938</v>
      </c>
      <c r="W346" t="s">
        <v>1241</v>
      </c>
      <c r="X346">
        <v>2600</v>
      </c>
      <c r="Y346">
        <v>800</v>
      </c>
      <c r="Z346">
        <v>2400</v>
      </c>
      <c r="AA346" t="s">
        <v>1939</v>
      </c>
    </row>
    <row r="347" spans="1:27" x14ac:dyDescent="0.2">
      <c r="A347">
        <v>3343</v>
      </c>
      <c r="B347" t="s">
        <v>601</v>
      </c>
      <c r="C347" t="str">
        <f>_xlfn.CONCAT(Merge[[#This Row],[Customer First Name]]," ",Merge[[#This Row],[Customer Last Name]])</f>
        <v>Robert Ramirez</v>
      </c>
      <c r="D347" t="s">
        <v>602</v>
      </c>
      <c r="E347">
        <v>1576</v>
      </c>
      <c r="F347" t="s">
        <v>51</v>
      </c>
      <c r="G347" s="1">
        <v>45346</v>
      </c>
      <c r="H347">
        <v>3</v>
      </c>
      <c r="I347" t="s">
        <v>32</v>
      </c>
      <c r="J347" t="s">
        <v>81</v>
      </c>
      <c r="K347">
        <v>0.2</v>
      </c>
      <c r="L347">
        <v>178</v>
      </c>
      <c r="M347">
        <v>890</v>
      </c>
      <c r="N347">
        <v>712</v>
      </c>
      <c r="O347" t="s">
        <v>114</v>
      </c>
      <c r="P347">
        <v>1576</v>
      </c>
      <c r="Q347" t="s">
        <v>51</v>
      </c>
      <c r="R347" s="1">
        <v>45346</v>
      </c>
      <c r="S347">
        <v>2</v>
      </c>
      <c r="T347" t="s">
        <v>32</v>
      </c>
      <c r="U347" t="s">
        <v>81</v>
      </c>
      <c r="V347" t="s">
        <v>1940</v>
      </c>
      <c r="W347" t="s">
        <v>1280</v>
      </c>
      <c r="X347">
        <v>800</v>
      </c>
      <c r="Y347">
        <v>250</v>
      </c>
      <c r="Z347">
        <v>500</v>
      </c>
      <c r="AA347" t="s">
        <v>1941</v>
      </c>
    </row>
    <row r="348" spans="1:27" x14ac:dyDescent="0.2">
      <c r="A348">
        <v>3344</v>
      </c>
      <c r="B348" t="s">
        <v>603</v>
      </c>
      <c r="C348" t="str">
        <f>_xlfn.CONCAT(Merge[[#This Row],[Customer First Name]]," ",Merge[[#This Row],[Customer Last Name]])</f>
        <v>Ezequiel Reeves</v>
      </c>
      <c r="D348" t="s">
        <v>604</v>
      </c>
      <c r="E348">
        <v>1577</v>
      </c>
      <c r="F348" t="s">
        <v>76</v>
      </c>
      <c r="G348" s="1">
        <v>45535</v>
      </c>
      <c r="H348">
        <v>2</v>
      </c>
      <c r="I348" t="s">
        <v>52</v>
      </c>
      <c r="J348" t="s">
        <v>47</v>
      </c>
      <c r="K348">
        <v>0.25</v>
      </c>
      <c r="L348">
        <v>400.5</v>
      </c>
      <c r="M348">
        <v>1602</v>
      </c>
      <c r="N348">
        <v>1201.5</v>
      </c>
      <c r="O348" t="s">
        <v>34</v>
      </c>
      <c r="P348">
        <v>1577</v>
      </c>
      <c r="Q348" t="s">
        <v>76</v>
      </c>
      <c r="R348" s="1">
        <v>45535</v>
      </c>
      <c r="S348">
        <v>1</v>
      </c>
      <c r="T348" t="s">
        <v>52</v>
      </c>
      <c r="U348" t="s">
        <v>47</v>
      </c>
      <c r="V348" t="s">
        <v>1942</v>
      </c>
      <c r="W348" t="s">
        <v>1247</v>
      </c>
      <c r="X348">
        <v>3350</v>
      </c>
      <c r="Y348">
        <v>1200</v>
      </c>
      <c r="Z348">
        <v>1200</v>
      </c>
      <c r="AA348" t="s">
        <v>1943</v>
      </c>
    </row>
    <row r="349" spans="1:27" x14ac:dyDescent="0.2">
      <c r="A349">
        <v>3345</v>
      </c>
      <c r="B349" t="s">
        <v>381</v>
      </c>
      <c r="C349" t="str">
        <f>_xlfn.CONCAT(Merge[[#This Row],[Customer First Name]]," ",Merge[[#This Row],[Customer Last Name]])</f>
        <v>Dahlia Escobar</v>
      </c>
      <c r="D349" t="s">
        <v>605</v>
      </c>
      <c r="E349">
        <v>1578</v>
      </c>
      <c r="F349" t="s">
        <v>37</v>
      </c>
      <c r="G349" s="1">
        <v>45460</v>
      </c>
      <c r="H349">
        <v>1</v>
      </c>
      <c r="I349" t="s">
        <v>71</v>
      </c>
      <c r="J349" t="s">
        <v>57</v>
      </c>
      <c r="K349">
        <v>0.3</v>
      </c>
      <c r="L349">
        <v>30.9</v>
      </c>
      <c r="M349">
        <v>103</v>
      </c>
      <c r="N349">
        <v>72.099999999999994</v>
      </c>
      <c r="O349" t="s">
        <v>54</v>
      </c>
      <c r="P349">
        <v>1578</v>
      </c>
      <c r="Q349" t="s">
        <v>37</v>
      </c>
      <c r="R349" s="1">
        <v>45460</v>
      </c>
      <c r="S349">
        <v>2</v>
      </c>
      <c r="T349" t="s">
        <v>71</v>
      </c>
      <c r="U349" t="s">
        <v>57</v>
      </c>
      <c r="V349" t="s">
        <v>1944</v>
      </c>
      <c r="W349" t="s">
        <v>1253</v>
      </c>
      <c r="X349">
        <v>5290</v>
      </c>
      <c r="Y349">
        <v>800</v>
      </c>
      <c r="Z349">
        <v>1600</v>
      </c>
      <c r="AA349" t="s">
        <v>1945</v>
      </c>
    </row>
    <row r="350" spans="1:27" x14ac:dyDescent="0.2">
      <c r="A350">
        <v>3346</v>
      </c>
      <c r="B350" t="s">
        <v>197</v>
      </c>
      <c r="C350" t="str">
        <f>_xlfn.CONCAT(Merge[[#This Row],[Customer First Name]]," ",Merge[[#This Row],[Customer Last Name]])</f>
        <v>Maya Sanchez</v>
      </c>
      <c r="D350" t="s">
        <v>606</v>
      </c>
      <c r="E350">
        <v>1579</v>
      </c>
      <c r="F350" t="s">
        <v>76</v>
      </c>
      <c r="G350" s="1">
        <v>45359</v>
      </c>
      <c r="H350">
        <v>2</v>
      </c>
      <c r="I350" t="s">
        <v>38</v>
      </c>
      <c r="J350" t="s">
        <v>57</v>
      </c>
      <c r="K350">
        <v>0.25</v>
      </c>
      <c r="L350">
        <v>103.75</v>
      </c>
      <c r="M350">
        <v>415</v>
      </c>
      <c r="N350">
        <v>311.25</v>
      </c>
      <c r="O350" t="s">
        <v>54</v>
      </c>
      <c r="P350">
        <v>1579</v>
      </c>
      <c r="Q350" t="s">
        <v>76</v>
      </c>
      <c r="R350" s="1">
        <v>45359</v>
      </c>
      <c r="S350">
        <v>1</v>
      </c>
      <c r="T350" t="s">
        <v>38</v>
      </c>
      <c r="U350" t="s">
        <v>57</v>
      </c>
      <c r="V350" t="s">
        <v>1946</v>
      </c>
      <c r="W350" t="s">
        <v>1095</v>
      </c>
      <c r="X350">
        <v>5000</v>
      </c>
      <c r="Y350">
        <v>1200</v>
      </c>
      <c r="Z350">
        <v>1200</v>
      </c>
      <c r="AA350" t="s">
        <v>1947</v>
      </c>
    </row>
    <row r="351" spans="1:27" x14ac:dyDescent="0.2">
      <c r="A351">
        <v>3347</v>
      </c>
      <c r="B351" t="s">
        <v>235</v>
      </c>
      <c r="C351" t="str">
        <f>_xlfn.CONCAT(Merge[[#This Row],[Customer First Name]]," ",Merge[[#This Row],[Customer Last Name]])</f>
        <v>Ayla Cardenas</v>
      </c>
      <c r="D351" t="s">
        <v>607</v>
      </c>
      <c r="E351">
        <v>1580</v>
      </c>
      <c r="F351" t="s">
        <v>42</v>
      </c>
      <c r="G351" s="1">
        <v>45379</v>
      </c>
      <c r="H351">
        <v>3</v>
      </c>
      <c r="I351" t="s">
        <v>32</v>
      </c>
      <c r="J351" t="s">
        <v>81</v>
      </c>
      <c r="K351">
        <v>0.25</v>
      </c>
      <c r="L351">
        <v>229.5</v>
      </c>
      <c r="M351">
        <v>918</v>
      </c>
      <c r="N351">
        <v>688.5</v>
      </c>
      <c r="O351" t="s">
        <v>34</v>
      </c>
      <c r="P351">
        <v>1580</v>
      </c>
      <c r="Q351" t="s">
        <v>42</v>
      </c>
      <c r="R351" s="1">
        <v>45379</v>
      </c>
      <c r="S351">
        <v>3</v>
      </c>
      <c r="T351" t="s">
        <v>32</v>
      </c>
      <c r="U351" t="s">
        <v>81</v>
      </c>
      <c r="V351" t="s">
        <v>1948</v>
      </c>
      <c r="W351" t="s">
        <v>1361</v>
      </c>
      <c r="X351">
        <v>870</v>
      </c>
      <c r="Y351">
        <v>300</v>
      </c>
      <c r="Z351">
        <v>900</v>
      </c>
      <c r="AA351" t="s">
        <v>1949</v>
      </c>
    </row>
    <row r="352" spans="1:27" x14ac:dyDescent="0.2">
      <c r="A352">
        <v>3348</v>
      </c>
      <c r="B352" t="s">
        <v>608</v>
      </c>
      <c r="C352" t="str">
        <f>_xlfn.CONCAT(Merge[[#This Row],[Customer First Name]]," ",Merge[[#This Row],[Customer Last Name]])</f>
        <v>Santiago Wilson</v>
      </c>
      <c r="D352" t="s">
        <v>454</v>
      </c>
      <c r="E352">
        <v>1581</v>
      </c>
      <c r="F352" t="s">
        <v>92</v>
      </c>
      <c r="G352" s="1">
        <v>45604</v>
      </c>
      <c r="H352">
        <v>2</v>
      </c>
      <c r="I352" t="s">
        <v>52</v>
      </c>
      <c r="J352" t="s">
        <v>81</v>
      </c>
      <c r="K352">
        <v>0.3</v>
      </c>
      <c r="L352">
        <v>122.1</v>
      </c>
      <c r="M352">
        <v>407</v>
      </c>
      <c r="N352">
        <v>284.89999999999998</v>
      </c>
      <c r="O352" t="s">
        <v>44</v>
      </c>
      <c r="P352">
        <v>1581</v>
      </c>
      <c r="Q352" t="s">
        <v>92</v>
      </c>
      <c r="R352" s="1">
        <v>45604</v>
      </c>
      <c r="S352">
        <v>3</v>
      </c>
      <c r="T352" t="s">
        <v>52</v>
      </c>
      <c r="U352" t="s">
        <v>81</v>
      </c>
      <c r="V352" t="s">
        <v>1950</v>
      </c>
      <c r="W352" t="s">
        <v>1361</v>
      </c>
      <c r="X352">
        <v>870</v>
      </c>
      <c r="Y352">
        <v>600</v>
      </c>
      <c r="Z352">
        <v>1800</v>
      </c>
      <c r="AA352" t="s">
        <v>1951</v>
      </c>
    </row>
    <row r="353" spans="1:27" x14ac:dyDescent="0.2">
      <c r="A353">
        <v>3349</v>
      </c>
      <c r="B353" t="s">
        <v>144</v>
      </c>
      <c r="C353" t="str">
        <f>_xlfn.CONCAT(Merge[[#This Row],[Customer First Name]]," ",Merge[[#This Row],[Customer Last Name]])</f>
        <v>Alejandro Blevins</v>
      </c>
      <c r="D353" t="s">
        <v>609</v>
      </c>
      <c r="E353">
        <v>1582</v>
      </c>
      <c r="F353" t="s">
        <v>76</v>
      </c>
      <c r="G353" s="1">
        <v>45564</v>
      </c>
      <c r="H353">
        <v>1</v>
      </c>
      <c r="I353" t="s">
        <v>52</v>
      </c>
      <c r="J353" t="s">
        <v>64</v>
      </c>
      <c r="K353">
        <v>0.25</v>
      </c>
      <c r="L353">
        <v>176</v>
      </c>
      <c r="M353">
        <v>704</v>
      </c>
      <c r="N353">
        <v>528</v>
      </c>
      <c r="O353" t="s">
        <v>48</v>
      </c>
      <c r="P353">
        <v>1582</v>
      </c>
      <c r="Q353" t="s">
        <v>76</v>
      </c>
      <c r="R353" s="1">
        <v>45564</v>
      </c>
      <c r="S353">
        <v>1</v>
      </c>
      <c r="T353" t="s">
        <v>52</v>
      </c>
      <c r="U353" t="s">
        <v>64</v>
      </c>
      <c r="V353" t="s">
        <v>1952</v>
      </c>
      <c r="W353" t="s">
        <v>1265</v>
      </c>
      <c r="X353">
        <v>7000</v>
      </c>
      <c r="Y353">
        <v>1200</v>
      </c>
      <c r="Z353">
        <v>1200</v>
      </c>
      <c r="AA353" t="s">
        <v>1953</v>
      </c>
    </row>
    <row r="354" spans="1:27" x14ac:dyDescent="0.2">
      <c r="A354">
        <v>3350</v>
      </c>
      <c r="B354" t="s">
        <v>610</v>
      </c>
      <c r="C354" t="str">
        <f>_xlfn.CONCAT(Merge[[#This Row],[Customer First Name]]," ",Merge[[#This Row],[Customer Last Name]])</f>
        <v>Elliott Leon</v>
      </c>
      <c r="D354" t="s">
        <v>611</v>
      </c>
      <c r="E354">
        <v>1583</v>
      </c>
      <c r="F354" t="s">
        <v>92</v>
      </c>
      <c r="G354" s="1">
        <v>45590</v>
      </c>
      <c r="H354">
        <v>2</v>
      </c>
      <c r="I354" t="s">
        <v>52</v>
      </c>
      <c r="J354" t="s">
        <v>57</v>
      </c>
      <c r="K354">
        <v>0.3</v>
      </c>
      <c r="L354">
        <v>176.4</v>
      </c>
      <c r="M354">
        <v>588</v>
      </c>
      <c r="N354">
        <v>411.6</v>
      </c>
      <c r="O354" t="s">
        <v>48</v>
      </c>
      <c r="P354">
        <v>1583</v>
      </c>
      <c r="Q354" t="s">
        <v>92</v>
      </c>
      <c r="R354" s="1">
        <v>45590</v>
      </c>
      <c r="S354">
        <v>3</v>
      </c>
      <c r="T354" t="s">
        <v>52</v>
      </c>
      <c r="U354" t="s">
        <v>57</v>
      </c>
      <c r="V354" t="s">
        <v>1954</v>
      </c>
      <c r="W354" t="s">
        <v>1253</v>
      </c>
      <c r="X354">
        <v>5290</v>
      </c>
      <c r="Y354">
        <v>600</v>
      </c>
      <c r="Z354">
        <v>1800</v>
      </c>
      <c r="AA354" t="s">
        <v>1955</v>
      </c>
    </row>
    <row r="355" spans="1:27" x14ac:dyDescent="0.2">
      <c r="A355">
        <v>3351</v>
      </c>
      <c r="B355" t="s">
        <v>203</v>
      </c>
      <c r="C355" t="str">
        <f>_xlfn.CONCAT(Merge[[#This Row],[Customer First Name]]," ",Merge[[#This Row],[Customer Last Name]])</f>
        <v>Nasir Cooper</v>
      </c>
      <c r="D355" t="s">
        <v>612</v>
      </c>
      <c r="E355">
        <v>1584</v>
      </c>
      <c r="F355" t="s">
        <v>42</v>
      </c>
      <c r="G355" s="1">
        <v>45588</v>
      </c>
      <c r="H355">
        <v>3</v>
      </c>
      <c r="I355" t="s">
        <v>32</v>
      </c>
      <c r="J355" t="s">
        <v>57</v>
      </c>
      <c r="K355">
        <v>0.25</v>
      </c>
      <c r="L355">
        <v>264.5</v>
      </c>
      <c r="M355">
        <v>1058</v>
      </c>
      <c r="N355">
        <v>793.5</v>
      </c>
      <c r="O355" t="s">
        <v>114</v>
      </c>
      <c r="P355">
        <v>1584</v>
      </c>
      <c r="Q355" t="s">
        <v>42</v>
      </c>
      <c r="R355" s="1">
        <v>45588</v>
      </c>
      <c r="S355">
        <v>3</v>
      </c>
      <c r="T355" t="s">
        <v>32</v>
      </c>
      <c r="U355" t="s">
        <v>57</v>
      </c>
      <c r="V355" t="s">
        <v>1956</v>
      </c>
      <c r="W355" t="s">
        <v>1095</v>
      </c>
      <c r="X355">
        <v>5000</v>
      </c>
      <c r="Y355">
        <v>300</v>
      </c>
      <c r="Z355">
        <v>900</v>
      </c>
      <c r="AA355" t="s">
        <v>1957</v>
      </c>
    </row>
    <row r="356" spans="1:27" x14ac:dyDescent="0.2">
      <c r="A356">
        <v>3352</v>
      </c>
      <c r="B356" t="s">
        <v>613</v>
      </c>
      <c r="C356" t="str">
        <f>_xlfn.CONCAT(Merge[[#This Row],[Customer First Name]]," ",Merge[[#This Row],[Customer Last Name]])</f>
        <v>Calvin Norman</v>
      </c>
      <c r="D356" t="s">
        <v>374</v>
      </c>
      <c r="E356">
        <v>1585</v>
      </c>
      <c r="F356" t="s">
        <v>76</v>
      </c>
      <c r="G356" s="1">
        <v>45411</v>
      </c>
      <c r="H356">
        <v>2</v>
      </c>
      <c r="I356" t="s">
        <v>71</v>
      </c>
      <c r="J356" t="s">
        <v>33</v>
      </c>
      <c r="K356">
        <v>0.25</v>
      </c>
      <c r="L356">
        <v>173</v>
      </c>
      <c r="M356">
        <v>692</v>
      </c>
      <c r="N356">
        <v>519</v>
      </c>
      <c r="O356" t="s">
        <v>44</v>
      </c>
      <c r="P356">
        <v>1585</v>
      </c>
      <c r="Q356" t="s">
        <v>76</v>
      </c>
      <c r="R356" s="1">
        <v>45411</v>
      </c>
      <c r="S356">
        <v>1</v>
      </c>
      <c r="T356" t="s">
        <v>71</v>
      </c>
      <c r="U356" t="s">
        <v>33</v>
      </c>
      <c r="V356" t="s">
        <v>1958</v>
      </c>
      <c r="W356" t="s">
        <v>1259</v>
      </c>
      <c r="X356">
        <v>6160</v>
      </c>
      <c r="Y356">
        <v>1200</v>
      </c>
      <c r="Z356">
        <v>1200</v>
      </c>
      <c r="AA356" t="s">
        <v>1959</v>
      </c>
    </row>
    <row r="357" spans="1:27" x14ac:dyDescent="0.2">
      <c r="A357">
        <v>3353</v>
      </c>
      <c r="B357" t="s">
        <v>426</v>
      </c>
      <c r="C357" t="str">
        <f>_xlfn.CONCAT(Merge[[#This Row],[Customer First Name]]," ",Merge[[#This Row],[Customer Last Name]])</f>
        <v>Aspen Cherry</v>
      </c>
      <c r="D357" t="s">
        <v>124</v>
      </c>
      <c r="E357">
        <v>1586</v>
      </c>
      <c r="F357" t="s">
        <v>37</v>
      </c>
      <c r="G357" s="1">
        <v>45460</v>
      </c>
      <c r="H357">
        <v>3</v>
      </c>
      <c r="I357" t="s">
        <v>71</v>
      </c>
      <c r="J357" t="s">
        <v>39</v>
      </c>
      <c r="K357">
        <v>0.3</v>
      </c>
      <c r="L357">
        <v>491.7</v>
      </c>
      <c r="M357">
        <v>1639</v>
      </c>
      <c r="N357">
        <v>1147.3</v>
      </c>
      <c r="O357" t="s">
        <v>54</v>
      </c>
      <c r="P357">
        <v>1586</v>
      </c>
      <c r="Q357" t="s">
        <v>37</v>
      </c>
      <c r="R357" s="1">
        <v>45460</v>
      </c>
      <c r="S357">
        <v>1</v>
      </c>
      <c r="T357" t="s">
        <v>71</v>
      </c>
      <c r="U357" t="s">
        <v>39</v>
      </c>
      <c r="V357" t="s">
        <v>1960</v>
      </c>
      <c r="W357" t="s">
        <v>1241</v>
      </c>
      <c r="X357">
        <v>2600</v>
      </c>
      <c r="Y357">
        <v>800</v>
      </c>
      <c r="Z357">
        <v>800</v>
      </c>
      <c r="AA357" t="s">
        <v>1961</v>
      </c>
    </row>
    <row r="358" spans="1:27" x14ac:dyDescent="0.2">
      <c r="A358">
        <v>3354</v>
      </c>
      <c r="B358" t="s">
        <v>240</v>
      </c>
      <c r="C358" t="str">
        <f>_xlfn.CONCAT(Merge[[#This Row],[Customer First Name]]," ",Merge[[#This Row],[Customer Last Name]])</f>
        <v>Esme Ellis</v>
      </c>
      <c r="D358" t="s">
        <v>614</v>
      </c>
      <c r="E358">
        <v>1587</v>
      </c>
      <c r="F358" t="s">
        <v>76</v>
      </c>
      <c r="G358" s="1">
        <v>45396</v>
      </c>
      <c r="H358">
        <v>1</v>
      </c>
      <c r="I358" t="s">
        <v>32</v>
      </c>
      <c r="J358" t="s">
        <v>43</v>
      </c>
      <c r="K358">
        <v>0.25</v>
      </c>
      <c r="L358">
        <v>295.25</v>
      </c>
      <c r="M358">
        <v>1181</v>
      </c>
      <c r="N358">
        <v>885.75</v>
      </c>
      <c r="O358" t="s">
        <v>114</v>
      </c>
      <c r="P358">
        <v>1587</v>
      </c>
      <c r="Q358" t="s">
        <v>76</v>
      </c>
      <c r="R358" s="1">
        <v>45396</v>
      </c>
      <c r="S358">
        <v>1</v>
      </c>
      <c r="T358" t="s">
        <v>32</v>
      </c>
      <c r="U358" t="s">
        <v>43</v>
      </c>
      <c r="V358" t="s">
        <v>1962</v>
      </c>
      <c r="W358" t="s">
        <v>865</v>
      </c>
      <c r="X358">
        <v>2000</v>
      </c>
      <c r="Y358">
        <v>1200</v>
      </c>
      <c r="Z358">
        <v>1200</v>
      </c>
      <c r="AA358" t="s">
        <v>1963</v>
      </c>
    </row>
    <row r="359" spans="1:27" x14ac:dyDescent="0.2">
      <c r="A359">
        <v>3355</v>
      </c>
      <c r="B359" t="s">
        <v>615</v>
      </c>
      <c r="C359" t="str">
        <f>_xlfn.CONCAT(Merge[[#This Row],[Customer First Name]]," ",Merge[[#This Row],[Customer Last Name]])</f>
        <v>Blake Vega</v>
      </c>
      <c r="D359" t="s">
        <v>616</v>
      </c>
      <c r="E359">
        <v>1588</v>
      </c>
      <c r="F359" t="s">
        <v>92</v>
      </c>
      <c r="G359" s="1">
        <v>45552</v>
      </c>
      <c r="H359">
        <v>2</v>
      </c>
      <c r="I359" t="s">
        <v>32</v>
      </c>
      <c r="J359" t="s">
        <v>39</v>
      </c>
      <c r="K359">
        <v>0.3</v>
      </c>
      <c r="L359">
        <v>98.7</v>
      </c>
      <c r="M359">
        <v>329</v>
      </c>
      <c r="N359">
        <v>230.3</v>
      </c>
      <c r="O359" t="s">
        <v>44</v>
      </c>
      <c r="P359">
        <v>1588</v>
      </c>
      <c r="Q359" t="s">
        <v>92</v>
      </c>
      <c r="R359" s="1">
        <v>45552</v>
      </c>
      <c r="S359">
        <v>2</v>
      </c>
      <c r="T359" t="s">
        <v>32</v>
      </c>
      <c r="U359" t="s">
        <v>39</v>
      </c>
      <c r="V359" t="s">
        <v>1964</v>
      </c>
      <c r="W359" t="s">
        <v>1241</v>
      </c>
      <c r="X359">
        <v>2600</v>
      </c>
      <c r="Y359">
        <v>600</v>
      </c>
      <c r="Z359">
        <v>1200</v>
      </c>
      <c r="AA359" t="s">
        <v>1965</v>
      </c>
    </row>
    <row r="360" spans="1:27" x14ac:dyDescent="0.2">
      <c r="A360">
        <v>3355</v>
      </c>
      <c r="B360" t="s">
        <v>615</v>
      </c>
      <c r="C360" t="str">
        <f>_xlfn.CONCAT(Merge[[#This Row],[Customer First Name]]," ",Merge[[#This Row],[Customer Last Name]])</f>
        <v>Blake Vega</v>
      </c>
      <c r="D360" t="s">
        <v>616</v>
      </c>
      <c r="E360">
        <v>1588</v>
      </c>
      <c r="F360" t="s">
        <v>92</v>
      </c>
      <c r="G360" s="1">
        <v>45552</v>
      </c>
      <c r="H360">
        <v>2</v>
      </c>
      <c r="I360" t="s">
        <v>32</v>
      </c>
      <c r="J360" t="s">
        <v>39</v>
      </c>
      <c r="K360">
        <v>0.3</v>
      </c>
      <c r="L360">
        <v>98.7</v>
      </c>
      <c r="M360">
        <v>329</v>
      </c>
      <c r="N360">
        <v>230.3</v>
      </c>
      <c r="O360" t="s">
        <v>44</v>
      </c>
      <c r="P360">
        <v>1588</v>
      </c>
      <c r="Q360" t="s">
        <v>42</v>
      </c>
      <c r="R360" s="1">
        <v>45317</v>
      </c>
      <c r="S360">
        <v>2</v>
      </c>
      <c r="T360" t="s">
        <v>52</v>
      </c>
      <c r="U360" t="s">
        <v>53</v>
      </c>
      <c r="V360" t="s">
        <v>2971</v>
      </c>
      <c r="W360" t="s">
        <v>1305</v>
      </c>
      <c r="X360">
        <v>4000</v>
      </c>
      <c r="Y360">
        <v>300</v>
      </c>
      <c r="Z360">
        <v>600</v>
      </c>
      <c r="AA360" t="s">
        <v>2972</v>
      </c>
    </row>
    <row r="361" spans="1:27" x14ac:dyDescent="0.2">
      <c r="A361">
        <v>3859</v>
      </c>
      <c r="B361" t="s">
        <v>615</v>
      </c>
      <c r="C361" t="str">
        <f>_xlfn.CONCAT(Merge[[#This Row],[Customer First Name]]," ",Merge[[#This Row],[Customer Last Name]])</f>
        <v>Blake Vega</v>
      </c>
      <c r="D361" t="s">
        <v>616</v>
      </c>
      <c r="E361">
        <v>1588</v>
      </c>
      <c r="F361" t="s">
        <v>42</v>
      </c>
      <c r="G361" s="1">
        <v>45317</v>
      </c>
      <c r="H361">
        <v>2</v>
      </c>
      <c r="I361" t="s">
        <v>52</v>
      </c>
      <c r="J361" t="s">
        <v>53</v>
      </c>
      <c r="K361">
        <v>0.25</v>
      </c>
      <c r="L361">
        <v>53.5</v>
      </c>
      <c r="M361">
        <v>214</v>
      </c>
      <c r="N361">
        <v>160.5</v>
      </c>
      <c r="O361" t="s">
        <v>34</v>
      </c>
      <c r="P361">
        <v>1588</v>
      </c>
      <c r="Q361" t="s">
        <v>92</v>
      </c>
      <c r="R361" s="1">
        <v>45552</v>
      </c>
      <c r="S361">
        <v>2</v>
      </c>
      <c r="T361" t="s">
        <v>32</v>
      </c>
      <c r="U361" t="s">
        <v>39</v>
      </c>
      <c r="V361" t="s">
        <v>1964</v>
      </c>
      <c r="W361" t="s">
        <v>1241</v>
      </c>
      <c r="X361">
        <v>2600</v>
      </c>
      <c r="Y361">
        <v>600</v>
      </c>
      <c r="Z361">
        <v>1200</v>
      </c>
      <c r="AA361" t="s">
        <v>1965</v>
      </c>
    </row>
    <row r="362" spans="1:27" x14ac:dyDescent="0.2">
      <c r="A362">
        <v>3859</v>
      </c>
      <c r="B362" t="s">
        <v>615</v>
      </c>
      <c r="C362" t="str">
        <f>_xlfn.CONCAT(Merge[[#This Row],[Customer First Name]]," ",Merge[[#This Row],[Customer Last Name]])</f>
        <v>Blake Vega</v>
      </c>
      <c r="D362" t="s">
        <v>616</v>
      </c>
      <c r="E362">
        <v>1588</v>
      </c>
      <c r="F362" t="s">
        <v>42</v>
      </c>
      <c r="G362" s="1">
        <v>45317</v>
      </c>
      <c r="H362">
        <v>2</v>
      </c>
      <c r="I362" t="s">
        <v>52</v>
      </c>
      <c r="J362" t="s">
        <v>53</v>
      </c>
      <c r="K362">
        <v>0.25</v>
      </c>
      <c r="L362">
        <v>53.5</v>
      </c>
      <c r="M362">
        <v>214</v>
      </c>
      <c r="N362">
        <v>160.5</v>
      </c>
      <c r="O362" t="s">
        <v>34</v>
      </c>
      <c r="P362">
        <v>1588</v>
      </c>
      <c r="Q362" t="s">
        <v>42</v>
      </c>
      <c r="R362" s="1">
        <v>45317</v>
      </c>
      <c r="S362">
        <v>2</v>
      </c>
      <c r="T362" t="s">
        <v>52</v>
      </c>
      <c r="U362" t="s">
        <v>53</v>
      </c>
      <c r="V362" t="s">
        <v>2971</v>
      </c>
      <c r="W362" t="s">
        <v>1305</v>
      </c>
      <c r="X362">
        <v>4000</v>
      </c>
      <c r="Y362">
        <v>300</v>
      </c>
      <c r="Z362">
        <v>600</v>
      </c>
      <c r="AA362" t="s">
        <v>2972</v>
      </c>
    </row>
    <row r="363" spans="1:27" x14ac:dyDescent="0.2">
      <c r="A363">
        <v>3356</v>
      </c>
      <c r="B363" t="s">
        <v>411</v>
      </c>
      <c r="C363" t="str">
        <f>_xlfn.CONCAT(Merge[[#This Row],[Customer First Name]]," ",Merge[[#This Row],[Customer Last Name]])</f>
        <v>Oakley English</v>
      </c>
      <c r="D363" t="s">
        <v>617</v>
      </c>
      <c r="E363">
        <v>1589</v>
      </c>
      <c r="F363" t="s">
        <v>51</v>
      </c>
      <c r="G363" s="1">
        <v>45483</v>
      </c>
      <c r="H363">
        <v>2</v>
      </c>
      <c r="I363" t="s">
        <v>38</v>
      </c>
      <c r="J363" t="s">
        <v>39</v>
      </c>
      <c r="K363">
        <v>0.2</v>
      </c>
      <c r="L363">
        <v>239.8</v>
      </c>
      <c r="M363">
        <v>1199</v>
      </c>
      <c r="N363">
        <v>959.2</v>
      </c>
      <c r="O363" t="s">
        <v>114</v>
      </c>
      <c r="P363">
        <v>1589</v>
      </c>
      <c r="Q363" t="s">
        <v>51</v>
      </c>
      <c r="R363" s="1">
        <v>45483</v>
      </c>
      <c r="S363">
        <v>1</v>
      </c>
      <c r="T363" t="s">
        <v>38</v>
      </c>
      <c r="U363" t="s">
        <v>39</v>
      </c>
      <c r="V363" t="s">
        <v>1966</v>
      </c>
      <c r="W363" t="s">
        <v>1241</v>
      </c>
      <c r="X363">
        <v>2600</v>
      </c>
      <c r="Y363">
        <v>250</v>
      </c>
      <c r="Z363">
        <v>250</v>
      </c>
      <c r="AA363" t="s">
        <v>1967</v>
      </c>
    </row>
    <row r="364" spans="1:27" x14ac:dyDescent="0.2">
      <c r="A364">
        <v>3357</v>
      </c>
      <c r="B364" t="s">
        <v>286</v>
      </c>
      <c r="C364" t="str">
        <f>_xlfn.CONCAT(Merge[[#This Row],[Customer First Name]]," ",Merge[[#This Row],[Customer Last Name]])</f>
        <v>Brynlee Costa</v>
      </c>
      <c r="D364" t="s">
        <v>618</v>
      </c>
      <c r="E364">
        <v>1590</v>
      </c>
      <c r="F364" t="s">
        <v>51</v>
      </c>
      <c r="G364" s="1">
        <v>45507</v>
      </c>
      <c r="H364">
        <v>2</v>
      </c>
      <c r="I364" t="s">
        <v>52</v>
      </c>
      <c r="J364" t="s">
        <v>53</v>
      </c>
      <c r="K364">
        <v>0.2</v>
      </c>
      <c r="L364">
        <v>97.800000000000011</v>
      </c>
      <c r="M364">
        <v>489</v>
      </c>
      <c r="N364">
        <v>391.2</v>
      </c>
      <c r="O364" t="s">
        <v>34</v>
      </c>
      <c r="P364">
        <v>1590</v>
      </c>
      <c r="Q364" t="s">
        <v>51</v>
      </c>
      <c r="R364" s="1">
        <v>45507</v>
      </c>
      <c r="S364">
        <v>1</v>
      </c>
      <c r="T364" t="s">
        <v>52</v>
      </c>
      <c r="U364" t="s">
        <v>53</v>
      </c>
      <c r="V364" t="s">
        <v>1968</v>
      </c>
      <c r="W364" t="s">
        <v>1305</v>
      </c>
      <c r="X364">
        <v>4000</v>
      </c>
      <c r="Y364">
        <v>250</v>
      </c>
      <c r="Z364">
        <v>250</v>
      </c>
      <c r="AA364" t="s">
        <v>1969</v>
      </c>
    </row>
    <row r="365" spans="1:27" x14ac:dyDescent="0.2">
      <c r="A365">
        <v>3358</v>
      </c>
      <c r="B365" t="s">
        <v>138</v>
      </c>
      <c r="C365" t="str">
        <f>_xlfn.CONCAT(Merge[[#This Row],[Customer First Name]]," ",Merge[[#This Row],[Customer Last Name]])</f>
        <v>Amir Francis</v>
      </c>
      <c r="D365" t="s">
        <v>218</v>
      </c>
      <c r="E365">
        <v>1591</v>
      </c>
      <c r="F365" t="s">
        <v>42</v>
      </c>
      <c r="G365" s="1">
        <v>45618</v>
      </c>
      <c r="H365">
        <v>1</v>
      </c>
      <c r="I365" t="s">
        <v>32</v>
      </c>
      <c r="J365" t="s">
        <v>39</v>
      </c>
      <c r="K365">
        <v>0.25</v>
      </c>
      <c r="L365">
        <v>97.75</v>
      </c>
      <c r="M365">
        <v>391</v>
      </c>
      <c r="N365">
        <v>293.25</v>
      </c>
      <c r="O365" t="s">
        <v>44</v>
      </c>
      <c r="P365">
        <v>1591</v>
      </c>
      <c r="Q365" t="s">
        <v>42</v>
      </c>
      <c r="R365" s="1">
        <v>45618</v>
      </c>
      <c r="S365">
        <v>2</v>
      </c>
      <c r="T365" t="s">
        <v>32</v>
      </c>
      <c r="U365" t="s">
        <v>39</v>
      </c>
      <c r="V365" t="s">
        <v>1970</v>
      </c>
      <c r="W365" t="s">
        <v>1241</v>
      </c>
      <c r="X365">
        <v>2600</v>
      </c>
      <c r="Y365">
        <v>300</v>
      </c>
      <c r="Z365">
        <v>600</v>
      </c>
      <c r="AA365" t="s">
        <v>1971</v>
      </c>
    </row>
    <row r="366" spans="1:27" x14ac:dyDescent="0.2">
      <c r="A366">
        <v>3359</v>
      </c>
      <c r="B366" t="s">
        <v>619</v>
      </c>
      <c r="C366" t="str">
        <f>_xlfn.CONCAT(Merge[[#This Row],[Customer First Name]]," ",Merge[[#This Row],[Customer Last Name]])</f>
        <v>Reid Wallace</v>
      </c>
      <c r="D366" t="s">
        <v>620</v>
      </c>
      <c r="E366">
        <v>1592</v>
      </c>
      <c r="F366" t="s">
        <v>31</v>
      </c>
      <c r="G366" s="1">
        <v>45446</v>
      </c>
      <c r="H366">
        <v>1</v>
      </c>
      <c r="I366" t="s">
        <v>71</v>
      </c>
      <c r="J366" t="s">
        <v>81</v>
      </c>
      <c r="K366">
        <v>0.1</v>
      </c>
      <c r="L366">
        <v>18.7</v>
      </c>
      <c r="M366">
        <v>187</v>
      </c>
      <c r="N366">
        <v>168.3</v>
      </c>
      <c r="O366" t="s">
        <v>114</v>
      </c>
      <c r="P366">
        <v>1592</v>
      </c>
      <c r="Q366" t="s">
        <v>31</v>
      </c>
      <c r="R366" s="1">
        <v>45446</v>
      </c>
      <c r="S366">
        <v>1</v>
      </c>
      <c r="T366" t="s">
        <v>71</v>
      </c>
      <c r="U366" t="s">
        <v>81</v>
      </c>
      <c r="V366" t="s">
        <v>1972</v>
      </c>
      <c r="W366" t="s">
        <v>1280</v>
      </c>
      <c r="X366">
        <v>800</v>
      </c>
      <c r="Y366">
        <v>250</v>
      </c>
      <c r="Z366">
        <v>250</v>
      </c>
      <c r="AA366" t="s">
        <v>1973</v>
      </c>
    </row>
    <row r="367" spans="1:27" x14ac:dyDescent="0.2">
      <c r="A367">
        <v>3360</v>
      </c>
      <c r="B367" t="s">
        <v>275</v>
      </c>
      <c r="C367" t="str">
        <f>_xlfn.CONCAT(Merge[[#This Row],[Customer First Name]]," ",Merge[[#This Row],[Customer Last Name]])</f>
        <v>Rebecca Johnston</v>
      </c>
      <c r="D367" t="s">
        <v>621</v>
      </c>
      <c r="E367">
        <v>1593</v>
      </c>
      <c r="F367" t="s">
        <v>76</v>
      </c>
      <c r="G367" s="1">
        <v>45506</v>
      </c>
      <c r="H367">
        <v>2</v>
      </c>
      <c r="I367" t="s">
        <v>32</v>
      </c>
      <c r="J367" t="s">
        <v>81</v>
      </c>
      <c r="K367">
        <v>0.25</v>
      </c>
      <c r="L367">
        <v>275</v>
      </c>
      <c r="M367">
        <v>1100</v>
      </c>
      <c r="N367">
        <v>825</v>
      </c>
      <c r="O367" t="s">
        <v>44</v>
      </c>
      <c r="P367">
        <v>1593</v>
      </c>
      <c r="Q367" t="s">
        <v>76</v>
      </c>
      <c r="R367" s="1">
        <v>45506</v>
      </c>
      <c r="S367">
        <v>3</v>
      </c>
      <c r="T367" t="s">
        <v>32</v>
      </c>
      <c r="U367" t="s">
        <v>81</v>
      </c>
      <c r="V367" t="s">
        <v>1974</v>
      </c>
      <c r="W367" t="s">
        <v>1280</v>
      </c>
      <c r="X367">
        <v>800</v>
      </c>
      <c r="Y367">
        <v>1200</v>
      </c>
      <c r="Z367">
        <v>3600</v>
      </c>
      <c r="AA367" t="s">
        <v>1975</v>
      </c>
    </row>
    <row r="368" spans="1:27" x14ac:dyDescent="0.2">
      <c r="A368">
        <v>3361</v>
      </c>
      <c r="B368" t="s">
        <v>622</v>
      </c>
      <c r="C368" t="str">
        <f>_xlfn.CONCAT(Merge[[#This Row],[Customer First Name]]," ",Merge[[#This Row],[Customer Last Name]])</f>
        <v>Zuri Palmer</v>
      </c>
      <c r="D368" t="s">
        <v>242</v>
      </c>
      <c r="E368">
        <v>1594</v>
      </c>
      <c r="F368" t="s">
        <v>76</v>
      </c>
      <c r="G368" s="1">
        <v>45576</v>
      </c>
      <c r="H368">
        <v>1</v>
      </c>
      <c r="I368" t="s">
        <v>52</v>
      </c>
      <c r="J368" t="s">
        <v>33</v>
      </c>
      <c r="K368">
        <v>0.25</v>
      </c>
      <c r="L368">
        <v>359.25</v>
      </c>
      <c r="M368">
        <v>1437</v>
      </c>
      <c r="N368">
        <v>1077.75</v>
      </c>
      <c r="O368" t="s">
        <v>48</v>
      </c>
      <c r="P368">
        <v>1594</v>
      </c>
      <c r="Q368" t="s">
        <v>76</v>
      </c>
      <c r="R368" s="1">
        <v>45576</v>
      </c>
      <c r="S368">
        <v>1</v>
      </c>
      <c r="T368" t="s">
        <v>52</v>
      </c>
      <c r="U368" t="s">
        <v>33</v>
      </c>
      <c r="V368" t="s">
        <v>1976</v>
      </c>
      <c r="W368" t="s">
        <v>1259</v>
      </c>
      <c r="X368">
        <v>6160</v>
      </c>
      <c r="Y368">
        <v>1200</v>
      </c>
      <c r="Z368">
        <v>1200</v>
      </c>
      <c r="AA368" t="s">
        <v>1977</v>
      </c>
    </row>
    <row r="369" spans="1:27" x14ac:dyDescent="0.2">
      <c r="A369">
        <v>3362</v>
      </c>
      <c r="B369" t="s">
        <v>623</v>
      </c>
      <c r="C369" t="str">
        <f>_xlfn.CONCAT(Merge[[#This Row],[Customer First Name]]," ",Merge[[#This Row],[Customer Last Name]])</f>
        <v>Kyler Piñeda</v>
      </c>
      <c r="D369" t="s">
        <v>624</v>
      </c>
      <c r="E369">
        <v>1595</v>
      </c>
      <c r="F369" t="s">
        <v>76</v>
      </c>
      <c r="G369" s="1">
        <v>45441</v>
      </c>
      <c r="H369">
        <v>1</v>
      </c>
      <c r="I369" t="s">
        <v>52</v>
      </c>
      <c r="J369" t="s">
        <v>43</v>
      </c>
      <c r="K369">
        <v>0.25</v>
      </c>
      <c r="L369">
        <v>97.25</v>
      </c>
      <c r="M369">
        <v>389</v>
      </c>
      <c r="N369">
        <v>291.75</v>
      </c>
      <c r="O369" t="s">
        <v>114</v>
      </c>
      <c r="P369">
        <v>1595</v>
      </c>
      <c r="Q369" t="s">
        <v>76</v>
      </c>
      <c r="R369" s="1">
        <v>45441</v>
      </c>
      <c r="S369">
        <v>2</v>
      </c>
      <c r="T369" t="s">
        <v>52</v>
      </c>
      <c r="U369" t="s">
        <v>43</v>
      </c>
      <c r="V369" t="s">
        <v>1978</v>
      </c>
      <c r="W369" t="s">
        <v>865</v>
      </c>
      <c r="X369">
        <v>2000</v>
      </c>
      <c r="Y369">
        <v>1200</v>
      </c>
      <c r="Z369">
        <v>2400</v>
      </c>
      <c r="AA369" t="s">
        <v>1979</v>
      </c>
    </row>
    <row r="370" spans="1:27" x14ac:dyDescent="0.2">
      <c r="A370">
        <v>3363</v>
      </c>
      <c r="B370" t="s">
        <v>351</v>
      </c>
      <c r="C370" t="str">
        <f>_xlfn.CONCAT(Merge[[#This Row],[Customer First Name]]," ",Merge[[#This Row],[Customer Last Name]])</f>
        <v>Lennox Barrera</v>
      </c>
      <c r="D370" t="s">
        <v>531</v>
      </c>
      <c r="E370">
        <v>1596</v>
      </c>
      <c r="F370" t="s">
        <v>92</v>
      </c>
      <c r="G370" s="1">
        <v>45464</v>
      </c>
      <c r="H370">
        <v>2</v>
      </c>
      <c r="I370" t="s">
        <v>71</v>
      </c>
      <c r="J370" t="s">
        <v>81</v>
      </c>
      <c r="K370">
        <v>0.3</v>
      </c>
      <c r="L370">
        <v>208.79999999999998</v>
      </c>
      <c r="M370">
        <v>696</v>
      </c>
      <c r="N370">
        <v>487.20000000000005</v>
      </c>
      <c r="O370" t="s">
        <v>54</v>
      </c>
      <c r="P370">
        <v>1596</v>
      </c>
      <c r="Q370" t="s">
        <v>92</v>
      </c>
      <c r="R370" s="1">
        <v>45464</v>
      </c>
      <c r="S370">
        <v>1</v>
      </c>
      <c r="T370" t="s">
        <v>71</v>
      </c>
      <c r="U370" t="s">
        <v>81</v>
      </c>
      <c r="V370" t="s">
        <v>1980</v>
      </c>
      <c r="W370" t="s">
        <v>1280</v>
      </c>
      <c r="X370">
        <v>800</v>
      </c>
      <c r="Y370">
        <v>600</v>
      </c>
      <c r="Z370">
        <v>600</v>
      </c>
      <c r="AA370" t="s">
        <v>1981</v>
      </c>
    </row>
    <row r="371" spans="1:27" x14ac:dyDescent="0.2">
      <c r="A371">
        <v>3364</v>
      </c>
      <c r="B371" t="s">
        <v>411</v>
      </c>
      <c r="C371" t="str">
        <f>_xlfn.CONCAT(Merge[[#This Row],[Customer First Name]]," ",Merge[[#This Row],[Customer Last Name]])</f>
        <v>Holden English</v>
      </c>
      <c r="D371" t="s">
        <v>625</v>
      </c>
      <c r="E371">
        <v>1597</v>
      </c>
      <c r="F371" t="s">
        <v>31</v>
      </c>
      <c r="G371" s="1">
        <v>45348</v>
      </c>
      <c r="H371">
        <v>2</v>
      </c>
      <c r="I371" t="s">
        <v>52</v>
      </c>
      <c r="J371" t="s">
        <v>33</v>
      </c>
      <c r="K371">
        <v>0.1</v>
      </c>
      <c r="L371">
        <v>79.400000000000006</v>
      </c>
      <c r="M371">
        <v>794</v>
      </c>
      <c r="N371">
        <v>714.6</v>
      </c>
      <c r="O371" t="s">
        <v>114</v>
      </c>
      <c r="P371">
        <v>1597</v>
      </c>
      <c r="Q371" t="s">
        <v>31</v>
      </c>
      <c r="R371" s="1">
        <v>45348</v>
      </c>
      <c r="S371">
        <v>1</v>
      </c>
      <c r="T371" t="s">
        <v>52</v>
      </c>
      <c r="U371" t="s">
        <v>33</v>
      </c>
      <c r="V371" t="s">
        <v>1982</v>
      </c>
      <c r="W371" t="s">
        <v>1302</v>
      </c>
      <c r="X371">
        <v>6000</v>
      </c>
      <c r="Y371">
        <v>250</v>
      </c>
      <c r="Z371">
        <v>250</v>
      </c>
      <c r="AA371" t="s">
        <v>1983</v>
      </c>
    </row>
    <row r="372" spans="1:27" x14ac:dyDescent="0.2">
      <c r="A372">
        <v>3365</v>
      </c>
      <c r="B372" t="s">
        <v>626</v>
      </c>
      <c r="C372" t="str">
        <f>_xlfn.CONCAT(Merge[[#This Row],[Customer First Name]]," ",Merge[[#This Row],[Customer Last Name]])</f>
        <v>Elaina Stafford</v>
      </c>
      <c r="D372" t="s">
        <v>399</v>
      </c>
      <c r="E372">
        <v>1598</v>
      </c>
      <c r="F372" t="s">
        <v>76</v>
      </c>
      <c r="G372" s="1">
        <v>45582</v>
      </c>
      <c r="H372">
        <v>3</v>
      </c>
      <c r="I372" t="s">
        <v>52</v>
      </c>
      <c r="J372" t="s">
        <v>57</v>
      </c>
      <c r="K372">
        <v>0.25</v>
      </c>
      <c r="L372">
        <v>199.5</v>
      </c>
      <c r="M372">
        <v>798</v>
      </c>
      <c r="N372">
        <v>598.5</v>
      </c>
      <c r="O372" t="s">
        <v>54</v>
      </c>
      <c r="P372">
        <v>1598</v>
      </c>
      <c r="Q372" t="s">
        <v>76</v>
      </c>
      <c r="R372" s="1">
        <v>45582</v>
      </c>
      <c r="S372">
        <v>3</v>
      </c>
      <c r="T372" t="s">
        <v>52</v>
      </c>
      <c r="U372" t="s">
        <v>57</v>
      </c>
      <c r="V372" t="s">
        <v>1984</v>
      </c>
      <c r="W372" t="s">
        <v>1095</v>
      </c>
      <c r="X372">
        <v>5000</v>
      </c>
      <c r="Y372">
        <v>1200</v>
      </c>
      <c r="Z372">
        <v>3600</v>
      </c>
      <c r="AA372" t="s">
        <v>1985</v>
      </c>
    </row>
    <row r="373" spans="1:27" x14ac:dyDescent="0.2">
      <c r="A373">
        <v>3366</v>
      </c>
      <c r="B373" t="s">
        <v>627</v>
      </c>
      <c r="C373" t="str">
        <f>_xlfn.CONCAT(Merge[[#This Row],[Customer First Name]]," ",Merge[[#This Row],[Customer Last Name]])</f>
        <v>Ari Smith</v>
      </c>
      <c r="D373" t="s">
        <v>206</v>
      </c>
      <c r="E373">
        <v>1599</v>
      </c>
      <c r="F373" t="s">
        <v>31</v>
      </c>
      <c r="G373" s="1">
        <v>45563</v>
      </c>
      <c r="H373">
        <v>1</v>
      </c>
      <c r="I373" t="s">
        <v>32</v>
      </c>
      <c r="J373" t="s">
        <v>33</v>
      </c>
      <c r="K373">
        <v>0.1</v>
      </c>
      <c r="L373">
        <v>100.9</v>
      </c>
      <c r="M373">
        <v>1009</v>
      </c>
      <c r="N373">
        <v>908.1</v>
      </c>
      <c r="O373" t="s">
        <v>44</v>
      </c>
      <c r="P373">
        <v>1599</v>
      </c>
      <c r="Q373" t="s">
        <v>31</v>
      </c>
      <c r="R373" s="1">
        <v>45563</v>
      </c>
      <c r="S373">
        <v>2</v>
      </c>
      <c r="T373" t="s">
        <v>32</v>
      </c>
      <c r="U373" t="s">
        <v>33</v>
      </c>
      <c r="V373" t="s">
        <v>1986</v>
      </c>
      <c r="W373" t="s">
        <v>1238</v>
      </c>
      <c r="X373">
        <v>6725</v>
      </c>
      <c r="Y373">
        <v>250</v>
      </c>
      <c r="Z373">
        <v>500</v>
      </c>
      <c r="AA373" t="s">
        <v>1987</v>
      </c>
    </row>
    <row r="374" spans="1:27" x14ac:dyDescent="0.2">
      <c r="A374">
        <v>3367</v>
      </c>
      <c r="B374" t="s">
        <v>105</v>
      </c>
      <c r="C374" t="str">
        <f>_xlfn.CONCAT(Merge[[#This Row],[Customer First Name]]," ",Merge[[#This Row],[Customer Last Name]])</f>
        <v>Parker James</v>
      </c>
      <c r="D374" t="s">
        <v>190</v>
      </c>
      <c r="E374">
        <v>1600</v>
      </c>
      <c r="F374" t="s">
        <v>92</v>
      </c>
      <c r="G374" s="1">
        <v>45349</v>
      </c>
      <c r="H374">
        <v>2</v>
      </c>
      <c r="I374" t="s">
        <v>38</v>
      </c>
      <c r="J374" t="s">
        <v>43</v>
      </c>
      <c r="K374">
        <v>0.3</v>
      </c>
      <c r="L374">
        <v>364.5</v>
      </c>
      <c r="M374">
        <v>1215</v>
      </c>
      <c r="N374">
        <v>850.5</v>
      </c>
      <c r="O374" t="s">
        <v>54</v>
      </c>
      <c r="P374">
        <v>1600</v>
      </c>
      <c r="Q374" t="s">
        <v>92</v>
      </c>
      <c r="R374" s="1">
        <v>45349</v>
      </c>
      <c r="S374">
        <v>2</v>
      </c>
      <c r="T374" t="s">
        <v>38</v>
      </c>
      <c r="U374" t="s">
        <v>43</v>
      </c>
      <c r="V374" t="s">
        <v>1988</v>
      </c>
      <c r="W374" t="s">
        <v>1244</v>
      </c>
      <c r="X374">
        <v>2300</v>
      </c>
      <c r="Y374">
        <v>600</v>
      </c>
      <c r="Z374">
        <v>1200</v>
      </c>
      <c r="AA374" t="s">
        <v>1989</v>
      </c>
    </row>
    <row r="375" spans="1:27" x14ac:dyDescent="0.2">
      <c r="A375">
        <v>3368</v>
      </c>
      <c r="B375" t="s">
        <v>628</v>
      </c>
      <c r="C375" t="str">
        <f>_xlfn.CONCAT(Merge[[#This Row],[Customer First Name]]," ",Merge[[#This Row],[Customer Last Name]])</f>
        <v>Norah Hancock</v>
      </c>
      <c r="D375" t="s">
        <v>629</v>
      </c>
      <c r="E375">
        <v>1601</v>
      </c>
      <c r="F375" t="s">
        <v>37</v>
      </c>
      <c r="G375" s="1">
        <v>45631</v>
      </c>
      <c r="H375">
        <v>3</v>
      </c>
      <c r="I375" t="s">
        <v>52</v>
      </c>
      <c r="J375" t="s">
        <v>53</v>
      </c>
      <c r="K375">
        <v>0.3</v>
      </c>
      <c r="L375">
        <v>499.5</v>
      </c>
      <c r="M375">
        <v>1665</v>
      </c>
      <c r="N375">
        <v>1165.5</v>
      </c>
      <c r="O375" t="s">
        <v>34</v>
      </c>
      <c r="P375">
        <v>1601</v>
      </c>
      <c r="Q375" t="s">
        <v>37</v>
      </c>
      <c r="R375" s="1">
        <v>45631</v>
      </c>
      <c r="S375">
        <v>1</v>
      </c>
      <c r="T375" t="s">
        <v>52</v>
      </c>
      <c r="U375" t="s">
        <v>53</v>
      </c>
      <c r="V375" t="s">
        <v>1990</v>
      </c>
      <c r="W375" t="s">
        <v>1250</v>
      </c>
      <c r="X375">
        <v>4217</v>
      </c>
      <c r="Y375">
        <v>800</v>
      </c>
      <c r="Z375">
        <v>800</v>
      </c>
      <c r="AA375" t="s">
        <v>1991</v>
      </c>
    </row>
    <row r="376" spans="1:27" x14ac:dyDescent="0.2">
      <c r="A376">
        <v>3369</v>
      </c>
      <c r="B376" t="s">
        <v>209</v>
      </c>
      <c r="C376" t="str">
        <f>_xlfn.CONCAT(Merge[[#This Row],[Customer First Name]]," ",Merge[[#This Row],[Customer Last Name]])</f>
        <v>Ruby Coleman</v>
      </c>
      <c r="D376" t="s">
        <v>630</v>
      </c>
      <c r="E376">
        <v>1602</v>
      </c>
      <c r="F376" t="s">
        <v>42</v>
      </c>
      <c r="G376" s="1">
        <v>45337</v>
      </c>
      <c r="H376">
        <v>3</v>
      </c>
      <c r="I376" t="s">
        <v>32</v>
      </c>
      <c r="J376" t="s">
        <v>33</v>
      </c>
      <c r="K376">
        <v>0.25</v>
      </c>
      <c r="L376">
        <v>166.75</v>
      </c>
      <c r="M376">
        <v>667</v>
      </c>
      <c r="N376">
        <v>500.25</v>
      </c>
      <c r="O376" t="s">
        <v>54</v>
      </c>
      <c r="P376">
        <v>1602</v>
      </c>
      <c r="Q376" t="s">
        <v>42</v>
      </c>
      <c r="R376" s="1">
        <v>45337</v>
      </c>
      <c r="S376">
        <v>2</v>
      </c>
      <c r="T376" t="s">
        <v>32</v>
      </c>
      <c r="U376" t="s">
        <v>33</v>
      </c>
      <c r="V376" t="s">
        <v>1992</v>
      </c>
      <c r="W376" t="s">
        <v>1238</v>
      </c>
      <c r="X376">
        <v>6725</v>
      </c>
      <c r="Y376">
        <v>300</v>
      </c>
      <c r="Z376">
        <v>600</v>
      </c>
      <c r="AA376" t="s">
        <v>1993</v>
      </c>
    </row>
    <row r="377" spans="1:27" x14ac:dyDescent="0.2">
      <c r="A377">
        <v>3370</v>
      </c>
      <c r="B377" t="s">
        <v>631</v>
      </c>
      <c r="C377" t="str">
        <f>_xlfn.CONCAT(Merge[[#This Row],[Customer First Name]]," ",Merge[[#This Row],[Customer Last Name]])</f>
        <v>Morgan Boyle</v>
      </c>
      <c r="D377" t="s">
        <v>632</v>
      </c>
      <c r="E377">
        <v>1603</v>
      </c>
      <c r="F377" t="s">
        <v>92</v>
      </c>
      <c r="G377" s="1">
        <v>45576</v>
      </c>
      <c r="H377">
        <v>2</v>
      </c>
      <c r="I377" t="s">
        <v>32</v>
      </c>
      <c r="J377" t="s">
        <v>64</v>
      </c>
      <c r="K377">
        <v>0.3</v>
      </c>
      <c r="L377">
        <v>354</v>
      </c>
      <c r="M377">
        <v>1180</v>
      </c>
      <c r="N377">
        <v>826</v>
      </c>
      <c r="O377" t="s">
        <v>48</v>
      </c>
      <c r="P377">
        <v>1603</v>
      </c>
      <c r="Q377" t="s">
        <v>92</v>
      </c>
      <c r="R377" s="1">
        <v>45576</v>
      </c>
      <c r="S377">
        <v>2</v>
      </c>
      <c r="T377" t="s">
        <v>32</v>
      </c>
      <c r="U377" t="s">
        <v>64</v>
      </c>
      <c r="V377" t="s">
        <v>1994</v>
      </c>
      <c r="W377" t="s">
        <v>1262</v>
      </c>
      <c r="X377">
        <v>7250</v>
      </c>
      <c r="Y377">
        <v>600</v>
      </c>
      <c r="Z377">
        <v>1200</v>
      </c>
      <c r="AA377" t="s">
        <v>1995</v>
      </c>
    </row>
    <row r="378" spans="1:27" x14ac:dyDescent="0.2">
      <c r="A378">
        <v>3371</v>
      </c>
      <c r="B378" t="s">
        <v>633</v>
      </c>
      <c r="C378" t="str">
        <f>_xlfn.CONCAT(Merge[[#This Row],[Customer First Name]]," ",Merge[[#This Row],[Customer Last Name]])</f>
        <v>Ayla Whitehead</v>
      </c>
      <c r="D378" t="s">
        <v>607</v>
      </c>
      <c r="E378">
        <v>1604</v>
      </c>
      <c r="F378" t="s">
        <v>76</v>
      </c>
      <c r="G378" s="1">
        <v>45628</v>
      </c>
      <c r="H378">
        <v>2</v>
      </c>
      <c r="I378" t="s">
        <v>52</v>
      </c>
      <c r="J378" t="s">
        <v>33</v>
      </c>
      <c r="K378">
        <v>0.25</v>
      </c>
      <c r="L378">
        <v>121.25</v>
      </c>
      <c r="M378">
        <v>485</v>
      </c>
      <c r="N378">
        <v>363.75</v>
      </c>
      <c r="O378" t="s">
        <v>54</v>
      </c>
      <c r="P378">
        <v>1604</v>
      </c>
      <c r="Q378" t="s">
        <v>76</v>
      </c>
      <c r="R378" s="1">
        <v>45628</v>
      </c>
      <c r="S378">
        <v>3</v>
      </c>
      <c r="T378" t="s">
        <v>52</v>
      </c>
      <c r="U378" t="s">
        <v>33</v>
      </c>
      <c r="V378" t="s">
        <v>1996</v>
      </c>
      <c r="W378" t="s">
        <v>1259</v>
      </c>
      <c r="X378">
        <v>6160</v>
      </c>
      <c r="Y378">
        <v>1200</v>
      </c>
      <c r="Z378">
        <v>3600</v>
      </c>
      <c r="AA378" t="s">
        <v>1997</v>
      </c>
    </row>
    <row r="379" spans="1:27" x14ac:dyDescent="0.2">
      <c r="A379">
        <v>3372</v>
      </c>
      <c r="B379" t="s">
        <v>634</v>
      </c>
      <c r="C379" t="str">
        <f>_xlfn.CONCAT(Merge[[#This Row],[Customer First Name]]," ",Merge[[#This Row],[Customer Last Name]])</f>
        <v>Koa Bernal</v>
      </c>
      <c r="D379" t="s">
        <v>635</v>
      </c>
      <c r="E379">
        <v>1605</v>
      </c>
      <c r="F379" t="s">
        <v>76</v>
      </c>
      <c r="G379" s="1">
        <v>45353</v>
      </c>
      <c r="H379">
        <v>3</v>
      </c>
      <c r="I379" t="s">
        <v>52</v>
      </c>
      <c r="J379" t="s">
        <v>47</v>
      </c>
      <c r="K379">
        <v>0.25</v>
      </c>
      <c r="L379">
        <v>75.25</v>
      </c>
      <c r="M379">
        <v>301</v>
      </c>
      <c r="N379">
        <v>225.75</v>
      </c>
      <c r="O379" t="s">
        <v>44</v>
      </c>
      <c r="P379">
        <v>1605</v>
      </c>
      <c r="Q379" t="s">
        <v>76</v>
      </c>
      <c r="R379" s="1">
        <v>45353</v>
      </c>
      <c r="S379">
        <v>3</v>
      </c>
      <c r="T379" t="s">
        <v>52</v>
      </c>
      <c r="U379" t="s">
        <v>47</v>
      </c>
      <c r="V379" t="s">
        <v>1998</v>
      </c>
      <c r="W379" t="s">
        <v>1256</v>
      </c>
      <c r="X379">
        <v>3220</v>
      </c>
      <c r="Y379">
        <v>1200</v>
      </c>
      <c r="Z379">
        <v>3600</v>
      </c>
      <c r="AA379" t="s">
        <v>1999</v>
      </c>
    </row>
    <row r="380" spans="1:27" x14ac:dyDescent="0.2">
      <c r="A380">
        <v>3373</v>
      </c>
      <c r="B380" t="s">
        <v>636</v>
      </c>
      <c r="C380" t="str">
        <f>_xlfn.CONCAT(Merge[[#This Row],[Customer First Name]]," ",Merge[[#This Row],[Customer Last Name]])</f>
        <v>Patrick Walsh</v>
      </c>
      <c r="D380" t="s">
        <v>372</v>
      </c>
      <c r="E380">
        <v>1606</v>
      </c>
      <c r="F380" t="s">
        <v>92</v>
      </c>
      <c r="G380" s="1">
        <v>45370</v>
      </c>
      <c r="H380">
        <v>3</v>
      </c>
      <c r="I380" t="s">
        <v>52</v>
      </c>
      <c r="J380" t="s">
        <v>64</v>
      </c>
      <c r="K380">
        <v>0.3</v>
      </c>
      <c r="L380">
        <v>365.4</v>
      </c>
      <c r="M380">
        <v>1218</v>
      </c>
      <c r="N380">
        <v>852.6</v>
      </c>
      <c r="O380" t="s">
        <v>34</v>
      </c>
      <c r="P380">
        <v>1606</v>
      </c>
      <c r="Q380" t="s">
        <v>92</v>
      </c>
      <c r="R380" s="1">
        <v>45370</v>
      </c>
      <c r="S380">
        <v>3</v>
      </c>
      <c r="T380" t="s">
        <v>52</v>
      </c>
      <c r="U380" t="s">
        <v>64</v>
      </c>
      <c r="V380" t="s">
        <v>2000</v>
      </c>
      <c r="W380" t="s">
        <v>1400</v>
      </c>
      <c r="X380">
        <v>7310</v>
      </c>
      <c r="Y380">
        <v>600</v>
      </c>
      <c r="Z380">
        <v>1800</v>
      </c>
      <c r="AA380" t="s">
        <v>2001</v>
      </c>
    </row>
    <row r="381" spans="1:27" x14ac:dyDescent="0.2">
      <c r="A381">
        <v>3374</v>
      </c>
      <c r="B381" t="s">
        <v>637</v>
      </c>
      <c r="C381" t="str">
        <f>_xlfn.CONCAT(Merge[[#This Row],[Customer First Name]]," ",Merge[[#This Row],[Customer Last Name]])</f>
        <v>Logan Portillo</v>
      </c>
      <c r="D381" t="s">
        <v>501</v>
      </c>
      <c r="E381">
        <v>1607</v>
      </c>
      <c r="F381" t="s">
        <v>37</v>
      </c>
      <c r="G381" s="1">
        <v>45501</v>
      </c>
      <c r="H381">
        <v>3</v>
      </c>
      <c r="I381" t="s">
        <v>32</v>
      </c>
      <c r="J381" t="s">
        <v>53</v>
      </c>
      <c r="K381">
        <v>0.3</v>
      </c>
      <c r="L381">
        <v>36.299999999999997</v>
      </c>
      <c r="M381">
        <v>121</v>
      </c>
      <c r="N381">
        <v>84.7</v>
      </c>
      <c r="O381" t="s">
        <v>44</v>
      </c>
      <c r="P381">
        <v>1607</v>
      </c>
      <c r="Q381" t="s">
        <v>37</v>
      </c>
      <c r="R381" s="1">
        <v>45501</v>
      </c>
      <c r="S381">
        <v>3</v>
      </c>
      <c r="T381" t="s">
        <v>32</v>
      </c>
      <c r="U381" t="s">
        <v>53</v>
      </c>
      <c r="V381" t="s">
        <v>2002</v>
      </c>
      <c r="W381" t="s">
        <v>1268</v>
      </c>
      <c r="X381">
        <v>4870</v>
      </c>
      <c r="Y381">
        <v>800</v>
      </c>
      <c r="Z381">
        <v>2400</v>
      </c>
      <c r="AA381" t="s">
        <v>2003</v>
      </c>
    </row>
    <row r="382" spans="1:27" x14ac:dyDescent="0.2">
      <c r="A382">
        <v>3375</v>
      </c>
      <c r="B382" t="s">
        <v>568</v>
      </c>
      <c r="C382" t="str">
        <f>_xlfn.CONCAT(Merge[[#This Row],[Customer First Name]]," ",Merge[[#This Row],[Customer Last Name]])</f>
        <v>Jensen Torres</v>
      </c>
      <c r="D382" t="s">
        <v>396</v>
      </c>
      <c r="E382">
        <v>1608</v>
      </c>
      <c r="F382" t="s">
        <v>31</v>
      </c>
      <c r="G382" s="1">
        <v>45377</v>
      </c>
      <c r="H382">
        <v>1</v>
      </c>
      <c r="I382" t="s">
        <v>52</v>
      </c>
      <c r="J382" t="s">
        <v>33</v>
      </c>
      <c r="K382">
        <v>0.1</v>
      </c>
      <c r="L382">
        <v>68</v>
      </c>
      <c r="M382">
        <v>680</v>
      </c>
      <c r="N382">
        <v>612</v>
      </c>
      <c r="O382" t="s">
        <v>114</v>
      </c>
      <c r="P382">
        <v>1608</v>
      </c>
      <c r="Q382" t="s">
        <v>31</v>
      </c>
      <c r="R382" s="1">
        <v>45377</v>
      </c>
      <c r="S382">
        <v>3</v>
      </c>
      <c r="T382" t="s">
        <v>52</v>
      </c>
      <c r="U382" t="s">
        <v>33</v>
      </c>
      <c r="V382" t="s">
        <v>2004</v>
      </c>
      <c r="W382" t="s">
        <v>1302</v>
      </c>
      <c r="X382">
        <v>6000</v>
      </c>
      <c r="Y382">
        <v>250</v>
      </c>
      <c r="Z382">
        <v>750</v>
      </c>
      <c r="AA382" t="s">
        <v>2005</v>
      </c>
    </row>
    <row r="383" spans="1:27" x14ac:dyDescent="0.2">
      <c r="A383">
        <v>3376</v>
      </c>
      <c r="B383" t="s">
        <v>638</v>
      </c>
      <c r="C383" t="str">
        <f>_xlfn.CONCAT(Merge[[#This Row],[Customer First Name]]," ",Merge[[#This Row],[Customer Last Name]])</f>
        <v>Lana Kline</v>
      </c>
      <c r="D383" t="s">
        <v>639</v>
      </c>
      <c r="E383">
        <v>1609</v>
      </c>
      <c r="F383" t="s">
        <v>92</v>
      </c>
      <c r="G383" s="1">
        <v>45526</v>
      </c>
      <c r="H383">
        <v>2</v>
      </c>
      <c r="I383" t="s">
        <v>38</v>
      </c>
      <c r="J383" t="s">
        <v>64</v>
      </c>
      <c r="K383">
        <v>0.3</v>
      </c>
      <c r="L383">
        <v>165</v>
      </c>
      <c r="M383">
        <v>550</v>
      </c>
      <c r="N383">
        <v>385</v>
      </c>
      <c r="O383" t="s">
        <v>114</v>
      </c>
      <c r="P383">
        <v>1609</v>
      </c>
      <c r="Q383" t="s">
        <v>92</v>
      </c>
      <c r="R383" s="1">
        <v>45526</v>
      </c>
      <c r="S383">
        <v>2</v>
      </c>
      <c r="T383" t="s">
        <v>38</v>
      </c>
      <c r="U383" t="s">
        <v>64</v>
      </c>
      <c r="V383" t="s">
        <v>2006</v>
      </c>
      <c r="W383" t="s">
        <v>1400</v>
      </c>
      <c r="X383">
        <v>7310</v>
      </c>
      <c r="Y383">
        <v>600</v>
      </c>
      <c r="Z383">
        <v>1200</v>
      </c>
      <c r="AA383" t="s">
        <v>2007</v>
      </c>
    </row>
    <row r="384" spans="1:27" x14ac:dyDescent="0.2">
      <c r="A384">
        <v>3377</v>
      </c>
      <c r="B384" t="s">
        <v>640</v>
      </c>
      <c r="C384" t="str">
        <f>_xlfn.CONCAT(Merge[[#This Row],[Customer First Name]]," ",Merge[[#This Row],[Customer Last Name]])</f>
        <v>Milani Ahmed</v>
      </c>
      <c r="D384" t="s">
        <v>567</v>
      </c>
      <c r="E384">
        <v>1610</v>
      </c>
      <c r="F384" t="s">
        <v>42</v>
      </c>
      <c r="G384" s="1">
        <v>45566</v>
      </c>
      <c r="H384">
        <v>1</v>
      </c>
      <c r="I384" t="s">
        <v>38</v>
      </c>
      <c r="J384" t="s">
        <v>57</v>
      </c>
      <c r="K384">
        <v>0.25</v>
      </c>
      <c r="L384">
        <v>266.25</v>
      </c>
      <c r="M384">
        <v>1065</v>
      </c>
      <c r="N384">
        <v>798.75</v>
      </c>
      <c r="O384" t="s">
        <v>54</v>
      </c>
      <c r="P384">
        <v>1610</v>
      </c>
      <c r="Q384" t="s">
        <v>42</v>
      </c>
      <c r="R384" s="1">
        <v>45566</v>
      </c>
      <c r="S384">
        <v>3</v>
      </c>
      <c r="T384" t="s">
        <v>38</v>
      </c>
      <c r="U384" t="s">
        <v>57</v>
      </c>
      <c r="V384" t="s">
        <v>2008</v>
      </c>
      <c r="W384" t="s">
        <v>1350</v>
      </c>
      <c r="X384">
        <v>5600</v>
      </c>
      <c r="Y384">
        <v>300</v>
      </c>
      <c r="Z384">
        <v>900</v>
      </c>
      <c r="AA384" t="s">
        <v>2009</v>
      </c>
    </row>
    <row r="385" spans="1:27" x14ac:dyDescent="0.2">
      <c r="A385">
        <v>3378</v>
      </c>
      <c r="B385" t="s">
        <v>219</v>
      </c>
      <c r="C385" t="str">
        <f>_xlfn.CONCAT(Merge[[#This Row],[Customer First Name]]," ",Merge[[#This Row],[Customer Last Name]])</f>
        <v>Laura Weber</v>
      </c>
      <c r="D385" t="s">
        <v>641</v>
      </c>
      <c r="E385">
        <v>1611</v>
      </c>
      <c r="F385" t="s">
        <v>76</v>
      </c>
      <c r="G385" s="1">
        <v>45515</v>
      </c>
      <c r="H385">
        <v>2</v>
      </c>
      <c r="I385" t="s">
        <v>71</v>
      </c>
      <c r="J385" t="s">
        <v>39</v>
      </c>
      <c r="K385">
        <v>0.25</v>
      </c>
      <c r="L385">
        <v>96.75</v>
      </c>
      <c r="M385">
        <v>387</v>
      </c>
      <c r="N385">
        <v>290.25</v>
      </c>
      <c r="O385" t="s">
        <v>54</v>
      </c>
      <c r="P385">
        <v>1611</v>
      </c>
      <c r="Q385" t="s">
        <v>76</v>
      </c>
      <c r="R385" s="1">
        <v>45515</v>
      </c>
      <c r="S385">
        <v>3</v>
      </c>
      <c r="T385" t="s">
        <v>71</v>
      </c>
      <c r="U385" t="s">
        <v>39</v>
      </c>
      <c r="V385" t="s">
        <v>2010</v>
      </c>
      <c r="W385" t="s">
        <v>1241</v>
      </c>
      <c r="X385">
        <v>2600</v>
      </c>
      <c r="Y385">
        <v>1200</v>
      </c>
      <c r="Z385">
        <v>3600</v>
      </c>
      <c r="AA385" t="s">
        <v>2011</v>
      </c>
    </row>
    <row r="386" spans="1:27" x14ac:dyDescent="0.2">
      <c r="A386">
        <v>3379</v>
      </c>
      <c r="B386" t="s">
        <v>642</v>
      </c>
      <c r="C386" t="str">
        <f>_xlfn.CONCAT(Merge[[#This Row],[Customer First Name]]," ",Merge[[#This Row],[Customer Last Name]])</f>
        <v>Arthur Conner</v>
      </c>
      <c r="D386" t="s">
        <v>643</v>
      </c>
      <c r="E386">
        <v>1612</v>
      </c>
      <c r="F386" t="s">
        <v>76</v>
      </c>
      <c r="G386" s="1">
        <v>45570</v>
      </c>
      <c r="H386">
        <v>3</v>
      </c>
      <c r="I386" t="s">
        <v>32</v>
      </c>
      <c r="J386" t="s">
        <v>57</v>
      </c>
      <c r="K386">
        <v>0.25</v>
      </c>
      <c r="L386">
        <v>79.25</v>
      </c>
      <c r="M386">
        <v>317</v>
      </c>
      <c r="N386">
        <v>237.75</v>
      </c>
      <c r="O386" t="s">
        <v>44</v>
      </c>
      <c r="P386">
        <v>1612</v>
      </c>
      <c r="Q386" t="s">
        <v>76</v>
      </c>
      <c r="R386" s="1">
        <v>45570</v>
      </c>
      <c r="S386">
        <v>1</v>
      </c>
      <c r="T386" t="s">
        <v>32</v>
      </c>
      <c r="U386" t="s">
        <v>57</v>
      </c>
      <c r="V386" t="s">
        <v>2012</v>
      </c>
      <c r="W386" t="s">
        <v>1253</v>
      </c>
      <c r="X386">
        <v>5290</v>
      </c>
      <c r="Y386">
        <v>1200</v>
      </c>
      <c r="Z386">
        <v>1200</v>
      </c>
      <c r="AA386" t="s">
        <v>2013</v>
      </c>
    </row>
    <row r="387" spans="1:27" x14ac:dyDescent="0.2">
      <c r="A387">
        <v>3380</v>
      </c>
      <c r="B387" t="s">
        <v>603</v>
      </c>
      <c r="C387" t="str">
        <f>_xlfn.CONCAT(Merge[[#This Row],[Customer First Name]]," ",Merge[[#This Row],[Customer Last Name]])</f>
        <v>Jayden Reeves</v>
      </c>
      <c r="D387" t="s">
        <v>346</v>
      </c>
      <c r="E387">
        <v>1613</v>
      </c>
      <c r="F387" t="s">
        <v>31</v>
      </c>
      <c r="G387" s="1">
        <v>45471</v>
      </c>
      <c r="H387">
        <v>1</v>
      </c>
      <c r="I387" t="s">
        <v>52</v>
      </c>
      <c r="J387" t="s">
        <v>64</v>
      </c>
      <c r="K387">
        <v>0.1</v>
      </c>
      <c r="L387">
        <v>80.2</v>
      </c>
      <c r="M387">
        <v>802</v>
      </c>
      <c r="N387">
        <v>721.8</v>
      </c>
      <c r="O387" t="s">
        <v>44</v>
      </c>
      <c r="P387">
        <v>1613</v>
      </c>
      <c r="Q387" t="s">
        <v>31</v>
      </c>
      <c r="R387" s="1">
        <v>45471</v>
      </c>
      <c r="S387">
        <v>3</v>
      </c>
      <c r="T387" t="s">
        <v>52</v>
      </c>
      <c r="U387" t="s">
        <v>64</v>
      </c>
      <c r="V387" t="s">
        <v>2014</v>
      </c>
      <c r="W387" t="s">
        <v>1262</v>
      </c>
      <c r="X387">
        <v>7250</v>
      </c>
      <c r="Y387">
        <v>250</v>
      </c>
      <c r="Z387">
        <v>750</v>
      </c>
      <c r="AA387" t="s">
        <v>2015</v>
      </c>
    </row>
    <row r="388" spans="1:27" x14ac:dyDescent="0.2">
      <c r="A388">
        <v>3381</v>
      </c>
      <c r="B388" t="s">
        <v>644</v>
      </c>
      <c r="C388" t="str">
        <f>_xlfn.CONCAT(Merge[[#This Row],[Customer First Name]]," ",Merge[[#This Row],[Customer Last Name]])</f>
        <v>Karson Ávila</v>
      </c>
      <c r="D388" t="s">
        <v>569</v>
      </c>
      <c r="E388">
        <v>1614</v>
      </c>
      <c r="F388" t="s">
        <v>31</v>
      </c>
      <c r="G388" s="1">
        <v>45501</v>
      </c>
      <c r="H388">
        <v>2</v>
      </c>
      <c r="I388" t="s">
        <v>71</v>
      </c>
      <c r="J388" t="s">
        <v>57</v>
      </c>
      <c r="K388">
        <v>0.1</v>
      </c>
      <c r="L388">
        <v>32.200000000000003</v>
      </c>
      <c r="M388">
        <v>322</v>
      </c>
      <c r="N388">
        <v>289.8</v>
      </c>
      <c r="O388" t="s">
        <v>114</v>
      </c>
      <c r="P388">
        <v>1614</v>
      </c>
      <c r="Q388" t="s">
        <v>31</v>
      </c>
      <c r="R388" s="1">
        <v>45501</v>
      </c>
      <c r="S388">
        <v>2</v>
      </c>
      <c r="T388" t="s">
        <v>71</v>
      </c>
      <c r="U388" t="s">
        <v>57</v>
      </c>
      <c r="V388" t="s">
        <v>2016</v>
      </c>
      <c r="W388" t="s">
        <v>1095</v>
      </c>
      <c r="X388">
        <v>5000</v>
      </c>
      <c r="Y388">
        <v>250</v>
      </c>
      <c r="Z388">
        <v>500</v>
      </c>
      <c r="AA388" t="s">
        <v>2017</v>
      </c>
    </row>
    <row r="389" spans="1:27" x14ac:dyDescent="0.2">
      <c r="A389">
        <v>3383</v>
      </c>
      <c r="B389" t="s">
        <v>645</v>
      </c>
      <c r="C389" t="str">
        <f>_xlfn.CONCAT(Merge[[#This Row],[Customer First Name]]," ",Merge[[#This Row],[Customer Last Name]])</f>
        <v>Armani Peterson</v>
      </c>
      <c r="D389" t="s">
        <v>646</v>
      </c>
      <c r="E389">
        <v>1615</v>
      </c>
      <c r="F389" t="s">
        <v>37</v>
      </c>
      <c r="G389" s="1">
        <v>45378</v>
      </c>
      <c r="H389">
        <v>1</v>
      </c>
      <c r="I389" t="s">
        <v>52</v>
      </c>
      <c r="J389" t="s">
        <v>64</v>
      </c>
      <c r="K389">
        <v>0.3</v>
      </c>
      <c r="L389">
        <v>141.29999999999998</v>
      </c>
      <c r="M389">
        <v>471</v>
      </c>
      <c r="N389">
        <v>329.70000000000005</v>
      </c>
      <c r="O389" t="s">
        <v>34</v>
      </c>
      <c r="P389">
        <v>1615</v>
      </c>
      <c r="Q389" t="s">
        <v>37</v>
      </c>
      <c r="R389" s="1">
        <v>45378</v>
      </c>
      <c r="S389">
        <v>1</v>
      </c>
      <c r="T389" t="s">
        <v>52</v>
      </c>
      <c r="U389" t="s">
        <v>64</v>
      </c>
      <c r="V389" t="s">
        <v>2020</v>
      </c>
      <c r="W389" t="s">
        <v>1400</v>
      </c>
      <c r="X389">
        <v>7310</v>
      </c>
      <c r="Y389">
        <v>800</v>
      </c>
      <c r="Z389">
        <v>800</v>
      </c>
      <c r="AA389" t="s">
        <v>2021</v>
      </c>
    </row>
    <row r="390" spans="1:27" x14ac:dyDescent="0.2">
      <c r="A390">
        <v>3384</v>
      </c>
      <c r="B390" t="s">
        <v>647</v>
      </c>
      <c r="C390" t="str">
        <f>_xlfn.CONCAT(Merge[[#This Row],[Customer First Name]]," ",Merge[[#This Row],[Customer Last Name]])</f>
        <v>Hattie Oliver</v>
      </c>
      <c r="D390" t="s">
        <v>179</v>
      </c>
      <c r="E390">
        <v>1616</v>
      </c>
      <c r="F390" t="s">
        <v>76</v>
      </c>
      <c r="G390" s="1">
        <v>45439</v>
      </c>
      <c r="H390">
        <v>3</v>
      </c>
      <c r="I390" t="s">
        <v>38</v>
      </c>
      <c r="J390" t="s">
        <v>53</v>
      </c>
      <c r="K390">
        <v>0.25</v>
      </c>
      <c r="L390">
        <v>131.75</v>
      </c>
      <c r="M390">
        <v>527</v>
      </c>
      <c r="N390">
        <v>395.25</v>
      </c>
      <c r="O390" t="s">
        <v>114</v>
      </c>
      <c r="P390">
        <v>1616</v>
      </c>
      <c r="Q390" t="s">
        <v>76</v>
      </c>
      <c r="R390" s="1">
        <v>45439</v>
      </c>
      <c r="S390">
        <v>3</v>
      </c>
      <c r="T390" t="s">
        <v>38</v>
      </c>
      <c r="U390" t="s">
        <v>53</v>
      </c>
      <c r="V390" t="s">
        <v>2022</v>
      </c>
      <c r="W390" t="s">
        <v>1250</v>
      </c>
      <c r="X390">
        <v>4217</v>
      </c>
      <c r="Y390">
        <v>1200</v>
      </c>
      <c r="Z390">
        <v>3600</v>
      </c>
      <c r="AA390" t="s">
        <v>2023</v>
      </c>
    </row>
    <row r="391" spans="1:27" x14ac:dyDescent="0.2">
      <c r="A391">
        <v>3385</v>
      </c>
      <c r="B391" t="s">
        <v>648</v>
      </c>
      <c r="C391" t="str">
        <f>_xlfn.CONCAT(Merge[[#This Row],[Customer First Name]]," ",Merge[[#This Row],[Customer Last Name]])</f>
        <v>Teagan Barajas</v>
      </c>
      <c r="D391" t="s">
        <v>649</v>
      </c>
      <c r="E391">
        <v>1617</v>
      </c>
      <c r="F391" t="s">
        <v>76</v>
      </c>
      <c r="G391" s="1">
        <v>45605</v>
      </c>
      <c r="H391">
        <v>2</v>
      </c>
      <c r="I391" t="s">
        <v>52</v>
      </c>
      <c r="J391" t="s">
        <v>64</v>
      </c>
      <c r="K391">
        <v>0.25</v>
      </c>
      <c r="L391">
        <v>38.5</v>
      </c>
      <c r="M391">
        <v>154</v>
      </c>
      <c r="N391">
        <v>115.5</v>
      </c>
      <c r="O391" t="s">
        <v>34</v>
      </c>
      <c r="P391">
        <v>1617</v>
      </c>
      <c r="Q391" t="s">
        <v>76</v>
      </c>
      <c r="R391" s="1">
        <v>45605</v>
      </c>
      <c r="S391">
        <v>3</v>
      </c>
      <c r="T391" t="s">
        <v>52</v>
      </c>
      <c r="U391" t="s">
        <v>64</v>
      </c>
      <c r="V391" t="s">
        <v>2024</v>
      </c>
      <c r="W391" t="s">
        <v>1262</v>
      </c>
      <c r="X391">
        <v>7250</v>
      </c>
      <c r="Y391">
        <v>1200</v>
      </c>
      <c r="Z391">
        <v>3600</v>
      </c>
      <c r="AA391" t="s">
        <v>2025</v>
      </c>
    </row>
    <row r="392" spans="1:27" x14ac:dyDescent="0.2">
      <c r="A392">
        <v>3386</v>
      </c>
      <c r="B392" t="s">
        <v>511</v>
      </c>
      <c r="C392" t="str">
        <f>_xlfn.CONCAT(Merge[[#This Row],[Customer First Name]]," ",Merge[[#This Row],[Customer Last Name]])</f>
        <v>Amara Duran</v>
      </c>
      <c r="D392" t="s">
        <v>650</v>
      </c>
      <c r="E392">
        <v>1618</v>
      </c>
      <c r="F392" t="s">
        <v>42</v>
      </c>
      <c r="G392" s="1">
        <v>45415</v>
      </c>
      <c r="H392">
        <v>1</v>
      </c>
      <c r="I392" t="s">
        <v>32</v>
      </c>
      <c r="J392" t="s">
        <v>39</v>
      </c>
      <c r="K392">
        <v>0.25</v>
      </c>
      <c r="L392">
        <v>386.5</v>
      </c>
      <c r="M392">
        <v>1546</v>
      </c>
      <c r="N392">
        <v>1159.5</v>
      </c>
      <c r="O392" t="s">
        <v>44</v>
      </c>
      <c r="P392">
        <v>1618</v>
      </c>
      <c r="Q392" t="s">
        <v>42</v>
      </c>
      <c r="R392" s="1">
        <v>45415</v>
      </c>
      <c r="S392">
        <v>3</v>
      </c>
      <c r="T392" t="s">
        <v>32</v>
      </c>
      <c r="U392" t="s">
        <v>39</v>
      </c>
      <c r="V392" t="s">
        <v>2026</v>
      </c>
      <c r="W392" t="s">
        <v>1241</v>
      </c>
      <c r="X392">
        <v>2600</v>
      </c>
      <c r="Y392">
        <v>300</v>
      </c>
      <c r="Z392">
        <v>900</v>
      </c>
      <c r="AA392" t="s">
        <v>2027</v>
      </c>
    </row>
    <row r="393" spans="1:27" x14ac:dyDescent="0.2">
      <c r="A393">
        <v>3387</v>
      </c>
      <c r="B393" t="s">
        <v>651</v>
      </c>
      <c r="C393" t="str">
        <f>_xlfn.CONCAT(Merge[[#This Row],[Customer First Name]]," ",Merge[[#This Row],[Customer Last Name]])</f>
        <v>Damian Poole</v>
      </c>
      <c r="D393" t="s">
        <v>481</v>
      </c>
      <c r="E393">
        <v>1619</v>
      </c>
      <c r="F393" t="s">
        <v>76</v>
      </c>
      <c r="G393" s="1">
        <v>45573</v>
      </c>
      <c r="H393">
        <v>1</v>
      </c>
      <c r="I393" t="s">
        <v>32</v>
      </c>
      <c r="J393" t="s">
        <v>53</v>
      </c>
      <c r="K393">
        <v>0.25</v>
      </c>
      <c r="L393">
        <v>385.5</v>
      </c>
      <c r="M393">
        <v>1542</v>
      </c>
      <c r="N393">
        <v>1156.5</v>
      </c>
      <c r="O393" t="s">
        <v>48</v>
      </c>
      <c r="P393">
        <v>1619</v>
      </c>
      <c r="Q393" t="s">
        <v>76</v>
      </c>
      <c r="R393" s="1">
        <v>45573</v>
      </c>
      <c r="S393">
        <v>2</v>
      </c>
      <c r="T393" t="s">
        <v>32</v>
      </c>
      <c r="U393" t="s">
        <v>53</v>
      </c>
      <c r="V393" t="s">
        <v>2028</v>
      </c>
      <c r="W393" t="s">
        <v>1268</v>
      </c>
      <c r="X393">
        <v>4870</v>
      </c>
      <c r="Y393">
        <v>1200</v>
      </c>
      <c r="Z393">
        <v>2400</v>
      </c>
      <c r="AA393" t="s">
        <v>2029</v>
      </c>
    </row>
    <row r="394" spans="1:27" x14ac:dyDescent="0.2">
      <c r="A394">
        <v>3388</v>
      </c>
      <c r="B394" t="s">
        <v>152</v>
      </c>
      <c r="C394" t="str">
        <f>_xlfn.CONCAT(Merge[[#This Row],[Customer First Name]]," ",Merge[[#This Row],[Customer Last Name]])</f>
        <v>Lane Harvey</v>
      </c>
      <c r="D394" t="s">
        <v>652</v>
      </c>
      <c r="E394">
        <v>1620</v>
      </c>
      <c r="F394" t="s">
        <v>92</v>
      </c>
      <c r="G394" s="1">
        <v>45491</v>
      </c>
      <c r="H394">
        <v>1</v>
      </c>
      <c r="I394" t="s">
        <v>71</v>
      </c>
      <c r="J394" t="s">
        <v>57</v>
      </c>
      <c r="K394">
        <v>0.3</v>
      </c>
      <c r="L394">
        <v>95.7</v>
      </c>
      <c r="M394">
        <v>319</v>
      </c>
      <c r="N394">
        <v>223.3</v>
      </c>
      <c r="O394" t="s">
        <v>44</v>
      </c>
      <c r="P394">
        <v>1620</v>
      </c>
      <c r="Q394" t="s">
        <v>92</v>
      </c>
      <c r="R394" s="1">
        <v>45491</v>
      </c>
      <c r="S394">
        <v>1</v>
      </c>
      <c r="T394" t="s">
        <v>71</v>
      </c>
      <c r="U394" t="s">
        <v>57</v>
      </c>
      <c r="V394" t="s">
        <v>2030</v>
      </c>
      <c r="W394" t="s">
        <v>1350</v>
      </c>
      <c r="X394">
        <v>5600</v>
      </c>
      <c r="Y394">
        <v>600</v>
      </c>
      <c r="Z394">
        <v>600</v>
      </c>
      <c r="AA394" t="s">
        <v>2031</v>
      </c>
    </row>
    <row r="395" spans="1:27" x14ac:dyDescent="0.2">
      <c r="A395">
        <v>3389</v>
      </c>
      <c r="B395" t="s">
        <v>653</v>
      </c>
      <c r="C395" t="str">
        <f>_xlfn.CONCAT(Merge[[#This Row],[Customer First Name]]," ",Merge[[#This Row],[Customer Last Name]])</f>
        <v>Angela Campbell</v>
      </c>
      <c r="D395" t="s">
        <v>654</v>
      </c>
      <c r="E395">
        <v>1621</v>
      </c>
      <c r="F395" t="s">
        <v>76</v>
      </c>
      <c r="G395" s="1">
        <v>45608</v>
      </c>
      <c r="H395">
        <v>2</v>
      </c>
      <c r="I395" t="s">
        <v>71</v>
      </c>
      <c r="J395" t="s">
        <v>43</v>
      </c>
      <c r="K395">
        <v>0.25</v>
      </c>
      <c r="L395">
        <v>24.75</v>
      </c>
      <c r="M395">
        <v>99</v>
      </c>
      <c r="N395">
        <v>74.25</v>
      </c>
      <c r="O395" t="s">
        <v>54</v>
      </c>
      <c r="P395">
        <v>1621</v>
      </c>
      <c r="Q395" t="s">
        <v>76</v>
      </c>
      <c r="R395" s="1">
        <v>45608</v>
      </c>
      <c r="S395">
        <v>1</v>
      </c>
      <c r="T395" t="s">
        <v>71</v>
      </c>
      <c r="U395" t="s">
        <v>43</v>
      </c>
      <c r="V395" t="s">
        <v>2032</v>
      </c>
      <c r="W395" t="s">
        <v>1299</v>
      </c>
      <c r="X395">
        <v>2500</v>
      </c>
      <c r="Y395">
        <v>1200</v>
      </c>
      <c r="Z395">
        <v>1200</v>
      </c>
      <c r="AA395" t="s">
        <v>2033</v>
      </c>
    </row>
    <row r="396" spans="1:27" x14ac:dyDescent="0.2">
      <c r="A396">
        <v>3390</v>
      </c>
      <c r="B396" t="s">
        <v>655</v>
      </c>
      <c r="C396" t="str">
        <f>_xlfn.CONCAT(Merge[[#This Row],[Customer First Name]]," ",Merge[[#This Row],[Customer Last Name]])</f>
        <v>Molly Stuart</v>
      </c>
      <c r="D396" t="s">
        <v>160</v>
      </c>
      <c r="E396">
        <v>1622</v>
      </c>
      <c r="F396" t="s">
        <v>92</v>
      </c>
      <c r="G396" s="1">
        <v>45536</v>
      </c>
      <c r="H396">
        <v>1</v>
      </c>
      <c r="I396" t="s">
        <v>52</v>
      </c>
      <c r="J396" t="s">
        <v>57</v>
      </c>
      <c r="K396">
        <v>0.3</v>
      </c>
      <c r="L396">
        <v>279.3</v>
      </c>
      <c r="M396">
        <v>931</v>
      </c>
      <c r="N396">
        <v>651.70000000000005</v>
      </c>
      <c r="O396" t="s">
        <v>54</v>
      </c>
      <c r="P396">
        <v>1622</v>
      </c>
      <c r="Q396" t="s">
        <v>92</v>
      </c>
      <c r="R396" s="1">
        <v>45536</v>
      </c>
      <c r="S396">
        <v>3</v>
      </c>
      <c r="T396" t="s">
        <v>52</v>
      </c>
      <c r="U396" t="s">
        <v>57</v>
      </c>
      <c r="V396" t="s">
        <v>2034</v>
      </c>
      <c r="W396" t="s">
        <v>1350</v>
      </c>
      <c r="X396">
        <v>5600</v>
      </c>
      <c r="Y396">
        <v>600</v>
      </c>
      <c r="Z396">
        <v>1800</v>
      </c>
      <c r="AA396" t="s">
        <v>2035</v>
      </c>
    </row>
    <row r="397" spans="1:27" x14ac:dyDescent="0.2">
      <c r="A397">
        <v>3391</v>
      </c>
      <c r="B397" t="s">
        <v>322</v>
      </c>
      <c r="C397" t="str">
        <f>_xlfn.CONCAT(Merge[[#This Row],[Customer First Name]]," ",Merge[[#This Row],[Customer Last Name]])</f>
        <v>Adalynn Blackwell</v>
      </c>
      <c r="D397" t="s">
        <v>167</v>
      </c>
      <c r="E397">
        <v>1623</v>
      </c>
      <c r="F397" t="s">
        <v>51</v>
      </c>
      <c r="G397" s="1">
        <v>45514</v>
      </c>
      <c r="H397">
        <v>2</v>
      </c>
      <c r="I397" t="s">
        <v>32</v>
      </c>
      <c r="J397" t="s">
        <v>64</v>
      </c>
      <c r="K397">
        <v>0.2</v>
      </c>
      <c r="L397">
        <v>319.20000000000005</v>
      </c>
      <c r="M397">
        <v>1596</v>
      </c>
      <c r="N397">
        <v>1276.8</v>
      </c>
      <c r="O397" t="s">
        <v>54</v>
      </c>
      <c r="P397">
        <v>1623</v>
      </c>
      <c r="Q397" t="s">
        <v>51</v>
      </c>
      <c r="R397" s="1">
        <v>45514</v>
      </c>
      <c r="S397">
        <v>3</v>
      </c>
      <c r="T397" t="s">
        <v>32</v>
      </c>
      <c r="U397" t="s">
        <v>64</v>
      </c>
      <c r="V397" t="s">
        <v>2036</v>
      </c>
      <c r="W397" t="s">
        <v>1265</v>
      </c>
      <c r="X397">
        <v>7000</v>
      </c>
      <c r="Y397">
        <v>250</v>
      </c>
      <c r="Z397">
        <v>750</v>
      </c>
      <c r="AA397" t="s">
        <v>2037</v>
      </c>
    </row>
    <row r="398" spans="1:27" x14ac:dyDescent="0.2">
      <c r="A398">
        <v>3392</v>
      </c>
      <c r="B398" t="s">
        <v>656</v>
      </c>
      <c r="C398" t="str">
        <f>_xlfn.CONCAT(Merge[[#This Row],[Customer First Name]]," ",Merge[[#This Row],[Customer Last Name]])</f>
        <v>Alexandria Burgess</v>
      </c>
      <c r="D398" t="s">
        <v>657</v>
      </c>
      <c r="E398">
        <v>1624</v>
      </c>
      <c r="F398" t="s">
        <v>92</v>
      </c>
      <c r="G398" s="1">
        <v>45517</v>
      </c>
      <c r="H398">
        <v>3</v>
      </c>
      <c r="I398" t="s">
        <v>52</v>
      </c>
      <c r="J398" t="s">
        <v>43</v>
      </c>
      <c r="K398">
        <v>0.3</v>
      </c>
      <c r="L398">
        <v>133.5</v>
      </c>
      <c r="M398">
        <v>445</v>
      </c>
      <c r="N398">
        <v>311.5</v>
      </c>
      <c r="O398" t="s">
        <v>44</v>
      </c>
      <c r="P398">
        <v>1624</v>
      </c>
      <c r="Q398" t="s">
        <v>92</v>
      </c>
      <c r="R398" s="1">
        <v>45517</v>
      </c>
      <c r="S398">
        <v>1</v>
      </c>
      <c r="T398" t="s">
        <v>52</v>
      </c>
      <c r="U398" t="s">
        <v>43</v>
      </c>
      <c r="V398" t="s">
        <v>2038</v>
      </c>
      <c r="W398" t="s">
        <v>1299</v>
      </c>
      <c r="X398">
        <v>2500</v>
      </c>
      <c r="Y398">
        <v>600</v>
      </c>
      <c r="Z398">
        <v>600</v>
      </c>
      <c r="AA398" t="s">
        <v>2039</v>
      </c>
    </row>
    <row r="399" spans="1:27" x14ac:dyDescent="0.2">
      <c r="A399">
        <v>3393</v>
      </c>
      <c r="B399" t="s">
        <v>648</v>
      </c>
      <c r="C399" t="str">
        <f>_xlfn.CONCAT(Merge[[#This Row],[Customer First Name]]," ",Merge[[#This Row],[Customer Last Name]])</f>
        <v>Avery Barajas</v>
      </c>
      <c r="D399" t="s">
        <v>123</v>
      </c>
      <c r="E399">
        <v>1625</v>
      </c>
      <c r="F399" t="s">
        <v>51</v>
      </c>
      <c r="G399" s="1">
        <v>45443</v>
      </c>
      <c r="H399">
        <v>3</v>
      </c>
      <c r="I399" t="s">
        <v>71</v>
      </c>
      <c r="J399" t="s">
        <v>47</v>
      </c>
      <c r="K399">
        <v>0.2</v>
      </c>
      <c r="L399">
        <v>102.80000000000001</v>
      </c>
      <c r="M399">
        <v>514</v>
      </c>
      <c r="N399">
        <v>411.2</v>
      </c>
      <c r="O399" t="s">
        <v>54</v>
      </c>
      <c r="P399">
        <v>1625</v>
      </c>
      <c r="Q399" t="s">
        <v>51</v>
      </c>
      <c r="R399" s="1">
        <v>45443</v>
      </c>
      <c r="S399">
        <v>3</v>
      </c>
      <c r="T399" t="s">
        <v>71</v>
      </c>
      <c r="U399" t="s">
        <v>47</v>
      </c>
      <c r="V399" t="s">
        <v>2040</v>
      </c>
      <c r="W399" t="s">
        <v>1247</v>
      </c>
      <c r="X399">
        <v>3350</v>
      </c>
      <c r="Y399">
        <v>250</v>
      </c>
      <c r="Z399">
        <v>750</v>
      </c>
      <c r="AA399" t="s">
        <v>2041</v>
      </c>
    </row>
    <row r="400" spans="1:27" x14ac:dyDescent="0.2">
      <c r="A400">
        <v>3394</v>
      </c>
      <c r="B400" t="s">
        <v>658</v>
      </c>
      <c r="C400" t="str">
        <f>_xlfn.CONCAT(Merge[[#This Row],[Customer First Name]]," ",Merge[[#This Row],[Customer Last Name]])</f>
        <v>Judah Frost</v>
      </c>
      <c r="D400" t="s">
        <v>659</v>
      </c>
      <c r="E400">
        <v>1626</v>
      </c>
      <c r="F400" t="s">
        <v>92</v>
      </c>
      <c r="G400" s="1">
        <v>45611</v>
      </c>
      <c r="H400">
        <v>1</v>
      </c>
      <c r="I400" t="s">
        <v>52</v>
      </c>
      <c r="J400" t="s">
        <v>33</v>
      </c>
      <c r="K400">
        <v>0.3</v>
      </c>
      <c r="L400">
        <v>240.89999999999998</v>
      </c>
      <c r="M400">
        <v>803</v>
      </c>
      <c r="N400">
        <v>562.1</v>
      </c>
      <c r="O400" t="s">
        <v>48</v>
      </c>
      <c r="P400">
        <v>1626</v>
      </c>
      <c r="Q400" t="s">
        <v>92</v>
      </c>
      <c r="R400" s="1">
        <v>45611</v>
      </c>
      <c r="S400">
        <v>1</v>
      </c>
      <c r="T400" t="s">
        <v>52</v>
      </c>
      <c r="U400" t="s">
        <v>33</v>
      </c>
      <c r="V400" t="s">
        <v>2042</v>
      </c>
      <c r="W400" t="s">
        <v>1259</v>
      </c>
      <c r="X400">
        <v>6160</v>
      </c>
      <c r="Y400">
        <v>600</v>
      </c>
      <c r="Z400">
        <v>600</v>
      </c>
      <c r="AA400" t="s">
        <v>2043</v>
      </c>
    </row>
    <row r="401" spans="1:27" x14ac:dyDescent="0.2">
      <c r="A401">
        <v>3395</v>
      </c>
      <c r="B401" t="s">
        <v>660</v>
      </c>
      <c r="C401" t="str">
        <f>_xlfn.CONCAT(Merge[[#This Row],[Customer First Name]]," ",Merge[[#This Row],[Customer Last Name]])</f>
        <v>Kaia Krueger</v>
      </c>
      <c r="D401" t="s">
        <v>661</v>
      </c>
      <c r="E401">
        <v>1627</v>
      </c>
      <c r="F401" t="s">
        <v>76</v>
      </c>
      <c r="G401" s="1">
        <v>45602</v>
      </c>
      <c r="H401">
        <v>1</v>
      </c>
      <c r="I401" t="s">
        <v>32</v>
      </c>
      <c r="J401" t="s">
        <v>81</v>
      </c>
      <c r="K401">
        <v>0.25</v>
      </c>
      <c r="L401">
        <v>10.25</v>
      </c>
      <c r="M401">
        <v>41</v>
      </c>
      <c r="N401">
        <v>30.75</v>
      </c>
      <c r="O401" t="s">
        <v>54</v>
      </c>
      <c r="P401">
        <v>1627</v>
      </c>
      <c r="Q401" t="s">
        <v>76</v>
      </c>
      <c r="R401" s="1">
        <v>45602</v>
      </c>
      <c r="S401">
        <v>1</v>
      </c>
      <c r="T401" t="s">
        <v>32</v>
      </c>
      <c r="U401" t="s">
        <v>81</v>
      </c>
      <c r="V401" t="s">
        <v>2044</v>
      </c>
      <c r="W401" t="s">
        <v>1280</v>
      </c>
      <c r="X401">
        <v>800</v>
      </c>
      <c r="Y401">
        <v>1200</v>
      </c>
      <c r="Z401">
        <v>1200</v>
      </c>
      <c r="AA401" t="s">
        <v>2045</v>
      </c>
    </row>
    <row r="402" spans="1:27" x14ac:dyDescent="0.2">
      <c r="A402">
        <v>3396</v>
      </c>
      <c r="B402" t="s">
        <v>662</v>
      </c>
      <c r="C402" t="str">
        <f>_xlfn.CONCAT(Merge[[#This Row],[Customer First Name]]," ",Merge[[#This Row],[Customer Last Name]])</f>
        <v>Josephine Trejo</v>
      </c>
      <c r="D402" t="s">
        <v>663</v>
      </c>
      <c r="E402">
        <v>1628</v>
      </c>
      <c r="F402" t="s">
        <v>37</v>
      </c>
      <c r="G402" s="1">
        <v>45591</v>
      </c>
      <c r="H402">
        <v>1</v>
      </c>
      <c r="I402" t="s">
        <v>52</v>
      </c>
      <c r="J402" t="s">
        <v>47</v>
      </c>
      <c r="K402">
        <v>0.3</v>
      </c>
      <c r="L402">
        <v>269.09999999999997</v>
      </c>
      <c r="M402">
        <v>897</v>
      </c>
      <c r="N402">
        <v>627.90000000000009</v>
      </c>
      <c r="O402" t="s">
        <v>114</v>
      </c>
      <c r="P402">
        <v>1628</v>
      </c>
      <c r="Q402" t="s">
        <v>37</v>
      </c>
      <c r="R402" s="1">
        <v>45591</v>
      </c>
      <c r="S402">
        <v>3</v>
      </c>
      <c r="T402" t="s">
        <v>52</v>
      </c>
      <c r="U402" t="s">
        <v>47</v>
      </c>
      <c r="V402" t="s">
        <v>2046</v>
      </c>
      <c r="W402" t="s">
        <v>1247</v>
      </c>
      <c r="X402">
        <v>3350</v>
      </c>
      <c r="Y402">
        <v>800</v>
      </c>
      <c r="Z402">
        <v>2400</v>
      </c>
      <c r="AA402" t="s">
        <v>2047</v>
      </c>
    </row>
    <row r="403" spans="1:27" x14ac:dyDescent="0.2">
      <c r="A403">
        <v>3397</v>
      </c>
      <c r="B403" t="s">
        <v>172</v>
      </c>
      <c r="C403" t="str">
        <f>_xlfn.CONCAT(Merge[[#This Row],[Customer First Name]]," ",Merge[[#This Row],[Customer Last Name]])</f>
        <v>Abel Bentley</v>
      </c>
      <c r="D403" t="s">
        <v>327</v>
      </c>
      <c r="E403">
        <v>1629</v>
      </c>
      <c r="F403" t="s">
        <v>76</v>
      </c>
      <c r="G403" s="1">
        <v>45341</v>
      </c>
      <c r="H403">
        <v>2</v>
      </c>
      <c r="I403" t="s">
        <v>52</v>
      </c>
      <c r="J403" t="s">
        <v>81</v>
      </c>
      <c r="K403">
        <v>0.25</v>
      </c>
      <c r="L403">
        <v>289.75</v>
      </c>
      <c r="M403">
        <v>1159</v>
      </c>
      <c r="N403">
        <v>869.25</v>
      </c>
      <c r="O403" t="s">
        <v>34</v>
      </c>
      <c r="P403">
        <v>1629</v>
      </c>
      <c r="Q403" t="s">
        <v>76</v>
      </c>
      <c r="R403" s="1">
        <v>45341</v>
      </c>
      <c r="S403">
        <v>3</v>
      </c>
      <c r="T403" t="s">
        <v>52</v>
      </c>
      <c r="U403" t="s">
        <v>81</v>
      </c>
      <c r="V403" t="s">
        <v>2048</v>
      </c>
      <c r="W403" t="s">
        <v>1361</v>
      </c>
      <c r="X403">
        <v>870</v>
      </c>
      <c r="Y403">
        <v>1200</v>
      </c>
      <c r="Z403">
        <v>3600</v>
      </c>
      <c r="AA403" t="s">
        <v>2049</v>
      </c>
    </row>
    <row r="404" spans="1:27" x14ac:dyDescent="0.2">
      <c r="A404">
        <v>3398</v>
      </c>
      <c r="B404" t="s">
        <v>543</v>
      </c>
      <c r="C404" t="str">
        <f>_xlfn.CONCAT(Merge[[#This Row],[Customer First Name]]," ",Merge[[#This Row],[Customer Last Name]])</f>
        <v>Kali Flowers</v>
      </c>
      <c r="D404" t="s">
        <v>664</v>
      </c>
      <c r="E404">
        <v>1630</v>
      </c>
      <c r="F404" t="s">
        <v>92</v>
      </c>
      <c r="G404" s="1">
        <v>45538</v>
      </c>
      <c r="H404">
        <v>3</v>
      </c>
      <c r="I404" t="s">
        <v>52</v>
      </c>
      <c r="J404" t="s">
        <v>33</v>
      </c>
      <c r="K404">
        <v>0.3</v>
      </c>
      <c r="L404">
        <v>414</v>
      </c>
      <c r="M404">
        <v>1380</v>
      </c>
      <c r="N404">
        <v>966</v>
      </c>
      <c r="O404" t="s">
        <v>114</v>
      </c>
      <c r="P404">
        <v>1630</v>
      </c>
      <c r="Q404" t="s">
        <v>92</v>
      </c>
      <c r="R404" s="1">
        <v>45538</v>
      </c>
      <c r="S404">
        <v>3</v>
      </c>
      <c r="T404" t="s">
        <v>52</v>
      </c>
      <c r="U404" t="s">
        <v>33</v>
      </c>
      <c r="V404" t="s">
        <v>2050</v>
      </c>
      <c r="W404" t="s">
        <v>1238</v>
      </c>
      <c r="X404">
        <v>6725</v>
      </c>
      <c r="Y404">
        <v>600</v>
      </c>
      <c r="Z404">
        <v>1800</v>
      </c>
      <c r="AA404" t="s">
        <v>2051</v>
      </c>
    </row>
    <row r="405" spans="1:27" x14ac:dyDescent="0.2">
      <c r="A405">
        <v>3399</v>
      </c>
      <c r="B405" t="s">
        <v>611</v>
      </c>
      <c r="C405" t="str">
        <f>_xlfn.CONCAT(Merge[[#This Row],[Customer First Name]]," ",Merge[[#This Row],[Customer Last Name]])</f>
        <v>Cooper Elliott</v>
      </c>
      <c r="D405" t="s">
        <v>203</v>
      </c>
      <c r="E405">
        <v>1631</v>
      </c>
      <c r="F405" t="s">
        <v>42</v>
      </c>
      <c r="G405" s="1">
        <v>45375</v>
      </c>
      <c r="H405">
        <v>2</v>
      </c>
      <c r="I405" t="s">
        <v>32</v>
      </c>
      <c r="J405" t="s">
        <v>64</v>
      </c>
      <c r="K405">
        <v>0.25</v>
      </c>
      <c r="L405">
        <v>198.5</v>
      </c>
      <c r="M405">
        <v>794</v>
      </c>
      <c r="N405">
        <v>595.5</v>
      </c>
      <c r="O405" t="s">
        <v>34</v>
      </c>
      <c r="P405">
        <v>1631</v>
      </c>
      <c r="Q405" t="s">
        <v>42</v>
      </c>
      <c r="R405" s="1">
        <v>45375</v>
      </c>
      <c r="S405">
        <v>3</v>
      </c>
      <c r="T405" t="s">
        <v>32</v>
      </c>
      <c r="U405" t="s">
        <v>64</v>
      </c>
      <c r="V405" t="s">
        <v>2052</v>
      </c>
      <c r="W405" t="s">
        <v>1265</v>
      </c>
      <c r="X405">
        <v>7000</v>
      </c>
      <c r="Y405">
        <v>300</v>
      </c>
      <c r="Z405">
        <v>900</v>
      </c>
      <c r="AA405" t="s">
        <v>2053</v>
      </c>
    </row>
    <row r="406" spans="1:27" x14ac:dyDescent="0.2">
      <c r="A406">
        <v>3400</v>
      </c>
      <c r="B406" t="s">
        <v>665</v>
      </c>
      <c r="C406" t="str">
        <f>_xlfn.CONCAT(Merge[[#This Row],[Customer First Name]]," ",Merge[[#This Row],[Customer Last Name]])</f>
        <v>Grady Combs</v>
      </c>
      <c r="D406" t="s">
        <v>459</v>
      </c>
      <c r="E406">
        <v>1632</v>
      </c>
      <c r="F406" t="s">
        <v>92</v>
      </c>
      <c r="G406" s="1">
        <v>45352</v>
      </c>
      <c r="H406">
        <v>2</v>
      </c>
      <c r="I406" t="s">
        <v>32</v>
      </c>
      <c r="J406" t="s">
        <v>47</v>
      </c>
      <c r="K406">
        <v>0.3</v>
      </c>
      <c r="L406">
        <v>94.2</v>
      </c>
      <c r="M406">
        <v>314</v>
      </c>
      <c r="N406">
        <v>219.8</v>
      </c>
      <c r="O406" t="s">
        <v>114</v>
      </c>
      <c r="P406">
        <v>1632</v>
      </c>
      <c r="Q406" t="s">
        <v>92</v>
      </c>
      <c r="R406" s="1">
        <v>45352</v>
      </c>
      <c r="S406">
        <v>3</v>
      </c>
      <c r="T406" t="s">
        <v>32</v>
      </c>
      <c r="U406" t="s">
        <v>47</v>
      </c>
      <c r="V406" t="s">
        <v>2054</v>
      </c>
      <c r="W406" t="s">
        <v>1275</v>
      </c>
      <c r="X406">
        <v>3000</v>
      </c>
      <c r="Y406">
        <v>600</v>
      </c>
      <c r="Z406">
        <v>1800</v>
      </c>
      <c r="AA406" t="s">
        <v>2055</v>
      </c>
    </row>
    <row r="407" spans="1:27" x14ac:dyDescent="0.2">
      <c r="A407">
        <v>3401</v>
      </c>
      <c r="B407" t="s">
        <v>88</v>
      </c>
      <c r="C407" t="str">
        <f>_xlfn.CONCAT(Merge[[#This Row],[Customer First Name]]," ",Merge[[#This Row],[Customer Last Name]])</f>
        <v>Dream Landry</v>
      </c>
      <c r="D407" t="s">
        <v>666</v>
      </c>
      <c r="E407">
        <v>1633</v>
      </c>
      <c r="F407" t="s">
        <v>76</v>
      </c>
      <c r="G407" s="1">
        <v>45607</v>
      </c>
      <c r="H407">
        <v>1</v>
      </c>
      <c r="I407" t="s">
        <v>52</v>
      </c>
      <c r="J407" t="s">
        <v>39</v>
      </c>
      <c r="K407">
        <v>0.25</v>
      </c>
      <c r="L407">
        <v>363.5</v>
      </c>
      <c r="M407">
        <v>1454</v>
      </c>
      <c r="N407">
        <v>1090.5</v>
      </c>
      <c r="O407" t="s">
        <v>54</v>
      </c>
      <c r="P407">
        <v>1633</v>
      </c>
      <c r="Q407" t="s">
        <v>76</v>
      </c>
      <c r="R407" s="1">
        <v>45607</v>
      </c>
      <c r="S407">
        <v>3</v>
      </c>
      <c r="T407" t="s">
        <v>52</v>
      </c>
      <c r="U407" t="s">
        <v>39</v>
      </c>
      <c r="V407" t="s">
        <v>2056</v>
      </c>
      <c r="W407" t="s">
        <v>1241</v>
      </c>
      <c r="X407">
        <v>2600</v>
      </c>
      <c r="Y407">
        <v>1200</v>
      </c>
      <c r="Z407">
        <v>3600</v>
      </c>
      <c r="AA407" t="s">
        <v>2057</v>
      </c>
    </row>
    <row r="408" spans="1:27" x14ac:dyDescent="0.2">
      <c r="A408">
        <v>3402</v>
      </c>
      <c r="B408" t="s">
        <v>667</v>
      </c>
      <c r="C408" t="str">
        <f>_xlfn.CONCAT(Merge[[#This Row],[Customer First Name]]," ",Merge[[#This Row],[Customer Last Name]])</f>
        <v>Nathan Haley</v>
      </c>
      <c r="D408" t="s">
        <v>668</v>
      </c>
      <c r="E408">
        <v>1634</v>
      </c>
      <c r="F408" t="s">
        <v>37</v>
      </c>
      <c r="G408" s="1">
        <v>45419</v>
      </c>
      <c r="H408">
        <v>1</v>
      </c>
      <c r="I408" t="s">
        <v>52</v>
      </c>
      <c r="J408" t="s">
        <v>81</v>
      </c>
      <c r="K408">
        <v>0.3</v>
      </c>
      <c r="L408">
        <v>318.89999999999998</v>
      </c>
      <c r="M408">
        <v>1063</v>
      </c>
      <c r="N408">
        <v>744.1</v>
      </c>
      <c r="O408" t="s">
        <v>54</v>
      </c>
      <c r="P408">
        <v>1634</v>
      </c>
      <c r="Q408" t="s">
        <v>37</v>
      </c>
      <c r="R408" s="1">
        <v>45419</v>
      </c>
      <c r="S408">
        <v>3</v>
      </c>
      <c r="T408" t="s">
        <v>52</v>
      </c>
      <c r="U408" t="s">
        <v>81</v>
      </c>
      <c r="V408" t="s">
        <v>2058</v>
      </c>
      <c r="W408" t="s">
        <v>1280</v>
      </c>
      <c r="X408">
        <v>800</v>
      </c>
      <c r="Y408">
        <v>800</v>
      </c>
      <c r="Z408">
        <v>2400</v>
      </c>
      <c r="AA408" t="s">
        <v>2059</v>
      </c>
    </row>
    <row r="409" spans="1:27" x14ac:dyDescent="0.2">
      <c r="A409">
        <v>3403</v>
      </c>
      <c r="B409" t="s">
        <v>669</v>
      </c>
      <c r="C409" t="str">
        <f>_xlfn.CONCAT(Merge[[#This Row],[Customer First Name]]," ",Merge[[#This Row],[Customer Last Name]])</f>
        <v>Rory Soto</v>
      </c>
      <c r="D409" t="s">
        <v>270</v>
      </c>
      <c r="E409">
        <v>1635</v>
      </c>
      <c r="F409" t="s">
        <v>76</v>
      </c>
      <c r="G409" s="1">
        <v>45529</v>
      </c>
      <c r="H409">
        <v>3</v>
      </c>
      <c r="I409" t="s">
        <v>32</v>
      </c>
      <c r="J409" t="s">
        <v>47</v>
      </c>
      <c r="K409">
        <v>0.25</v>
      </c>
      <c r="L409">
        <v>141.5</v>
      </c>
      <c r="M409">
        <v>566</v>
      </c>
      <c r="N409">
        <v>424.5</v>
      </c>
      <c r="O409" t="s">
        <v>34</v>
      </c>
      <c r="P409">
        <v>1635</v>
      </c>
      <c r="Q409" t="s">
        <v>76</v>
      </c>
      <c r="R409" s="1">
        <v>45529</v>
      </c>
      <c r="S409">
        <v>2</v>
      </c>
      <c r="T409" t="s">
        <v>32</v>
      </c>
      <c r="U409" t="s">
        <v>47</v>
      </c>
      <c r="V409" t="s">
        <v>2060</v>
      </c>
      <c r="W409" t="s">
        <v>1275</v>
      </c>
      <c r="X409">
        <v>3000</v>
      </c>
      <c r="Y409">
        <v>1200</v>
      </c>
      <c r="Z409">
        <v>2400</v>
      </c>
      <c r="AA409" t="s">
        <v>2061</v>
      </c>
    </row>
    <row r="410" spans="1:27" x14ac:dyDescent="0.2">
      <c r="A410">
        <v>3404</v>
      </c>
      <c r="B410" t="s">
        <v>65</v>
      </c>
      <c r="C410" t="str">
        <f>_xlfn.CONCAT(Merge[[#This Row],[Customer First Name]]," ",Merge[[#This Row],[Customer Last Name]])</f>
        <v>Bianca Pierce</v>
      </c>
      <c r="D410" t="s">
        <v>670</v>
      </c>
      <c r="E410">
        <v>1636</v>
      </c>
      <c r="F410" t="s">
        <v>31</v>
      </c>
      <c r="G410" s="1">
        <v>45503</v>
      </c>
      <c r="H410">
        <v>3</v>
      </c>
      <c r="I410" t="s">
        <v>71</v>
      </c>
      <c r="J410" t="s">
        <v>47</v>
      </c>
      <c r="K410">
        <v>0.1</v>
      </c>
      <c r="L410">
        <v>39.1</v>
      </c>
      <c r="M410">
        <v>391</v>
      </c>
      <c r="N410">
        <v>351.9</v>
      </c>
      <c r="O410" t="s">
        <v>34</v>
      </c>
      <c r="P410">
        <v>1636</v>
      </c>
      <c r="Q410" t="s">
        <v>31</v>
      </c>
      <c r="R410" s="1">
        <v>45503</v>
      </c>
      <c r="S410">
        <v>2</v>
      </c>
      <c r="T410" t="s">
        <v>71</v>
      </c>
      <c r="U410" t="s">
        <v>47</v>
      </c>
      <c r="V410" t="s">
        <v>2062</v>
      </c>
      <c r="W410" t="s">
        <v>1275</v>
      </c>
      <c r="X410">
        <v>3000</v>
      </c>
      <c r="Y410">
        <v>250</v>
      </c>
      <c r="Z410">
        <v>500</v>
      </c>
      <c r="AA410" t="s">
        <v>2063</v>
      </c>
    </row>
    <row r="411" spans="1:27" x14ac:dyDescent="0.2">
      <c r="A411">
        <v>3405</v>
      </c>
      <c r="B411" t="s">
        <v>671</v>
      </c>
      <c r="C411" t="str">
        <f>_xlfn.CONCAT(Merge[[#This Row],[Customer First Name]]," ",Merge[[#This Row],[Customer Last Name]])</f>
        <v>Garrett Cisneros</v>
      </c>
      <c r="D411" t="s">
        <v>672</v>
      </c>
      <c r="E411">
        <v>1637</v>
      </c>
      <c r="F411" t="s">
        <v>42</v>
      </c>
      <c r="G411" s="1">
        <v>45656</v>
      </c>
      <c r="H411">
        <v>1</v>
      </c>
      <c r="I411" t="s">
        <v>52</v>
      </c>
      <c r="J411" t="s">
        <v>33</v>
      </c>
      <c r="K411">
        <v>0.25</v>
      </c>
      <c r="L411">
        <v>261.5</v>
      </c>
      <c r="M411">
        <v>1046</v>
      </c>
      <c r="N411">
        <v>784.5</v>
      </c>
      <c r="O411" t="s">
        <v>54</v>
      </c>
      <c r="P411">
        <v>1637</v>
      </c>
      <c r="Q411" t="s">
        <v>42</v>
      </c>
      <c r="R411" s="1">
        <v>45656</v>
      </c>
      <c r="S411">
        <v>3</v>
      </c>
      <c r="T411" t="s">
        <v>52</v>
      </c>
      <c r="U411" t="s">
        <v>33</v>
      </c>
      <c r="V411" t="s">
        <v>2064</v>
      </c>
      <c r="W411" t="s">
        <v>1259</v>
      </c>
      <c r="X411">
        <v>6160</v>
      </c>
      <c r="Y411">
        <v>300</v>
      </c>
      <c r="Z411">
        <v>900</v>
      </c>
      <c r="AA411" t="s">
        <v>2065</v>
      </c>
    </row>
    <row r="412" spans="1:27" x14ac:dyDescent="0.2">
      <c r="A412">
        <v>3406</v>
      </c>
      <c r="B412" t="s">
        <v>673</v>
      </c>
      <c r="C412" t="str">
        <f>_xlfn.CONCAT(Merge[[#This Row],[Customer First Name]]," ",Merge[[#This Row],[Customer Last Name]])</f>
        <v>Kaleb Zimmerman</v>
      </c>
      <c r="D412" t="s">
        <v>529</v>
      </c>
      <c r="E412">
        <v>1638</v>
      </c>
      <c r="F412" t="s">
        <v>37</v>
      </c>
      <c r="G412" s="1">
        <v>45339</v>
      </c>
      <c r="H412">
        <v>3</v>
      </c>
      <c r="I412" t="s">
        <v>38</v>
      </c>
      <c r="J412" t="s">
        <v>39</v>
      </c>
      <c r="K412">
        <v>0.3</v>
      </c>
      <c r="L412">
        <v>319.5</v>
      </c>
      <c r="M412">
        <v>1065</v>
      </c>
      <c r="N412">
        <v>745.5</v>
      </c>
      <c r="O412" t="s">
        <v>34</v>
      </c>
      <c r="P412">
        <v>1638</v>
      </c>
      <c r="Q412" t="s">
        <v>37</v>
      </c>
      <c r="R412" s="1">
        <v>45339</v>
      </c>
      <c r="S412">
        <v>1</v>
      </c>
      <c r="T412" t="s">
        <v>38</v>
      </c>
      <c r="U412" t="s">
        <v>39</v>
      </c>
      <c r="V412" t="s">
        <v>2066</v>
      </c>
      <c r="W412" t="s">
        <v>1241</v>
      </c>
      <c r="X412">
        <v>2600</v>
      </c>
      <c r="Y412">
        <v>800</v>
      </c>
      <c r="Z412">
        <v>800</v>
      </c>
      <c r="AA412" t="s">
        <v>2067</v>
      </c>
    </row>
    <row r="413" spans="1:27" x14ac:dyDescent="0.2">
      <c r="A413">
        <v>3407</v>
      </c>
      <c r="B413" t="s">
        <v>674</v>
      </c>
      <c r="C413" t="str">
        <f>_xlfn.CONCAT(Merge[[#This Row],[Customer First Name]]," ",Merge[[#This Row],[Customer Last Name]])</f>
        <v>Stevie Hahn</v>
      </c>
      <c r="D413" t="s">
        <v>451</v>
      </c>
      <c r="E413">
        <v>1639</v>
      </c>
      <c r="F413" t="s">
        <v>51</v>
      </c>
      <c r="G413" s="1">
        <v>45337</v>
      </c>
      <c r="H413">
        <v>2</v>
      </c>
      <c r="I413" t="s">
        <v>71</v>
      </c>
      <c r="J413" t="s">
        <v>47</v>
      </c>
      <c r="K413">
        <v>0.2</v>
      </c>
      <c r="L413">
        <v>253.60000000000002</v>
      </c>
      <c r="M413">
        <v>1268</v>
      </c>
      <c r="N413">
        <v>1014.4</v>
      </c>
      <c r="O413" t="s">
        <v>34</v>
      </c>
      <c r="P413">
        <v>1639</v>
      </c>
      <c r="Q413" t="s">
        <v>51</v>
      </c>
      <c r="R413" s="1">
        <v>45337</v>
      </c>
      <c r="S413">
        <v>3</v>
      </c>
      <c r="T413" t="s">
        <v>71</v>
      </c>
      <c r="U413" t="s">
        <v>47</v>
      </c>
      <c r="V413" t="s">
        <v>2068</v>
      </c>
      <c r="W413" t="s">
        <v>1275</v>
      </c>
      <c r="X413">
        <v>3000</v>
      </c>
      <c r="Y413">
        <v>250</v>
      </c>
      <c r="Z413">
        <v>750</v>
      </c>
      <c r="AA413" t="s">
        <v>2069</v>
      </c>
    </row>
    <row r="414" spans="1:27" x14ac:dyDescent="0.2">
      <c r="A414">
        <v>3408</v>
      </c>
      <c r="B414" t="s">
        <v>675</v>
      </c>
      <c r="C414" t="str">
        <f>_xlfn.CONCAT(Merge[[#This Row],[Customer First Name]]," ",Merge[[#This Row],[Customer Last Name]])</f>
        <v>Romeo Gibson</v>
      </c>
      <c r="D414" t="s">
        <v>676</v>
      </c>
      <c r="E414">
        <v>1640</v>
      </c>
      <c r="F414" t="s">
        <v>51</v>
      </c>
      <c r="G414" s="1">
        <v>45597</v>
      </c>
      <c r="H414">
        <v>3</v>
      </c>
      <c r="I414" t="s">
        <v>52</v>
      </c>
      <c r="J414" t="s">
        <v>64</v>
      </c>
      <c r="K414">
        <v>0.2</v>
      </c>
      <c r="L414">
        <v>295</v>
      </c>
      <c r="M414">
        <v>1475</v>
      </c>
      <c r="N414">
        <v>1180</v>
      </c>
      <c r="O414" t="s">
        <v>44</v>
      </c>
      <c r="P414">
        <v>1640</v>
      </c>
      <c r="Q414" t="s">
        <v>51</v>
      </c>
      <c r="R414" s="1">
        <v>45597</v>
      </c>
      <c r="S414">
        <v>3</v>
      </c>
      <c r="T414" t="s">
        <v>52</v>
      </c>
      <c r="U414" t="s">
        <v>64</v>
      </c>
      <c r="V414" t="s">
        <v>2070</v>
      </c>
      <c r="W414" t="s">
        <v>1262</v>
      </c>
      <c r="X414">
        <v>7250</v>
      </c>
      <c r="Y414">
        <v>250</v>
      </c>
      <c r="Z414">
        <v>750</v>
      </c>
      <c r="AA414" t="s">
        <v>2071</v>
      </c>
    </row>
    <row r="415" spans="1:27" x14ac:dyDescent="0.2">
      <c r="A415">
        <v>3409</v>
      </c>
      <c r="B415" t="s">
        <v>677</v>
      </c>
      <c r="C415" t="str">
        <f>_xlfn.CONCAT(Merge[[#This Row],[Customer First Name]]," ",Merge[[#This Row],[Customer Last Name]])</f>
        <v>August Rodriguez</v>
      </c>
      <c r="D415" t="s">
        <v>678</v>
      </c>
      <c r="E415">
        <v>1641</v>
      </c>
      <c r="F415" t="s">
        <v>92</v>
      </c>
      <c r="G415" s="1">
        <v>45321</v>
      </c>
      <c r="H415">
        <v>2</v>
      </c>
      <c r="I415" t="s">
        <v>52</v>
      </c>
      <c r="J415" t="s">
        <v>39</v>
      </c>
      <c r="K415">
        <v>0.3</v>
      </c>
      <c r="L415">
        <v>371.09999999999997</v>
      </c>
      <c r="M415">
        <v>1237</v>
      </c>
      <c r="N415">
        <v>865.90000000000009</v>
      </c>
      <c r="O415" t="s">
        <v>34</v>
      </c>
      <c r="P415">
        <v>1641</v>
      </c>
      <c r="Q415" t="s">
        <v>92</v>
      </c>
      <c r="R415" s="1">
        <v>45321</v>
      </c>
      <c r="S415">
        <v>2</v>
      </c>
      <c r="T415" t="s">
        <v>52</v>
      </c>
      <c r="U415" t="s">
        <v>39</v>
      </c>
      <c r="V415" t="s">
        <v>2072</v>
      </c>
      <c r="W415" t="s">
        <v>1241</v>
      </c>
      <c r="X415">
        <v>2600</v>
      </c>
      <c r="Y415">
        <v>600</v>
      </c>
      <c r="Z415">
        <v>1200</v>
      </c>
      <c r="AA415" t="s">
        <v>2073</v>
      </c>
    </row>
    <row r="416" spans="1:27" x14ac:dyDescent="0.2">
      <c r="A416">
        <v>3410</v>
      </c>
      <c r="B416" t="s">
        <v>679</v>
      </c>
      <c r="C416" t="str">
        <f>_xlfn.CONCAT(Merge[[#This Row],[Customer First Name]]," ",Merge[[#This Row],[Customer Last Name]])</f>
        <v>Maeve Wilkinson</v>
      </c>
      <c r="D416" t="s">
        <v>680</v>
      </c>
      <c r="E416">
        <v>1642</v>
      </c>
      <c r="F416" t="s">
        <v>42</v>
      </c>
      <c r="G416" s="1">
        <v>45414</v>
      </c>
      <c r="H416">
        <v>3</v>
      </c>
      <c r="I416" t="s">
        <v>38</v>
      </c>
      <c r="J416" t="s">
        <v>53</v>
      </c>
      <c r="K416">
        <v>0.25</v>
      </c>
      <c r="L416">
        <v>280</v>
      </c>
      <c r="M416">
        <v>1120</v>
      </c>
      <c r="N416">
        <v>840</v>
      </c>
      <c r="O416" t="s">
        <v>34</v>
      </c>
      <c r="P416">
        <v>1642</v>
      </c>
      <c r="Q416" t="s">
        <v>42</v>
      </c>
      <c r="R416" s="1">
        <v>45414</v>
      </c>
      <c r="S416">
        <v>3</v>
      </c>
      <c r="T416" t="s">
        <v>38</v>
      </c>
      <c r="U416" t="s">
        <v>53</v>
      </c>
      <c r="V416" t="s">
        <v>2074</v>
      </c>
      <c r="W416" t="s">
        <v>1305</v>
      </c>
      <c r="X416">
        <v>4000</v>
      </c>
      <c r="Y416">
        <v>300</v>
      </c>
      <c r="Z416">
        <v>900</v>
      </c>
      <c r="AA416" t="s">
        <v>2075</v>
      </c>
    </row>
    <row r="417" spans="1:27" x14ac:dyDescent="0.2">
      <c r="A417">
        <v>3411</v>
      </c>
      <c r="B417" t="s">
        <v>665</v>
      </c>
      <c r="C417" t="str">
        <f>_xlfn.CONCAT(Merge[[#This Row],[Customer First Name]]," ",Merge[[#This Row],[Customer Last Name]])</f>
        <v>Alonzo Combs</v>
      </c>
      <c r="D417" t="s">
        <v>681</v>
      </c>
      <c r="E417">
        <v>1643</v>
      </c>
      <c r="F417" t="s">
        <v>31</v>
      </c>
      <c r="G417" s="1">
        <v>45511</v>
      </c>
      <c r="H417">
        <v>3</v>
      </c>
      <c r="I417" t="s">
        <v>38</v>
      </c>
      <c r="J417" t="s">
        <v>47</v>
      </c>
      <c r="K417">
        <v>0.1</v>
      </c>
      <c r="L417">
        <v>70.400000000000006</v>
      </c>
      <c r="M417">
        <v>704</v>
      </c>
      <c r="N417">
        <v>633.6</v>
      </c>
      <c r="O417" t="s">
        <v>34</v>
      </c>
      <c r="P417">
        <v>1643</v>
      </c>
      <c r="Q417" t="s">
        <v>31</v>
      </c>
      <c r="R417" s="1">
        <v>45511</v>
      </c>
      <c r="S417">
        <v>1</v>
      </c>
      <c r="T417" t="s">
        <v>38</v>
      </c>
      <c r="U417" t="s">
        <v>47</v>
      </c>
      <c r="V417" t="s">
        <v>2076</v>
      </c>
      <c r="W417" t="s">
        <v>1256</v>
      </c>
      <c r="X417">
        <v>3220</v>
      </c>
      <c r="Y417">
        <v>250</v>
      </c>
      <c r="Z417">
        <v>250</v>
      </c>
      <c r="AA417" t="s">
        <v>2077</v>
      </c>
    </row>
    <row r="418" spans="1:27" x14ac:dyDescent="0.2">
      <c r="A418">
        <v>3412</v>
      </c>
      <c r="B418" t="s">
        <v>561</v>
      </c>
      <c r="C418" t="str">
        <f>_xlfn.CONCAT(Merge[[#This Row],[Customer First Name]]," ",Merge[[#This Row],[Customer Last Name]])</f>
        <v>Layla Archer</v>
      </c>
      <c r="D418" t="s">
        <v>118</v>
      </c>
      <c r="E418">
        <v>1644</v>
      </c>
      <c r="F418" t="s">
        <v>92</v>
      </c>
      <c r="G418" s="1">
        <v>45541</v>
      </c>
      <c r="H418">
        <v>2</v>
      </c>
      <c r="I418" t="s">
        <v>52</v>
      </c>
      <c r="J418" t="s">
        <v>43</v>
      </c>
      <c r="K418">
        <v>0.3</v>
      </c>
      <c r="L418">
        <v>340.2</v>
      </c>
      <c r="M418">
        <v>1134</v>
      </c>
      <c r="N418">
        <v>793.8</v>
      </c>
      <c r="O418" t="s">
        <v>34</v>
      </c>
      <c r="P418">
        <v>1644</v>
      </c>
      <c r="Q418" t="s">
        <v>92</v>
      </c>
      <c r="R418" s="1">
        <v>45541</v>
      </c>
      <c r="S418">
        <v>1</v>
      </c>
      <c r="T418" t="s">
        <v>52</v>
      </c>
      <c r="U418" t="s">
        <v>43</v>
      </c>
      <c r="V418" t="s">
        <v>2078</v>
      </c>
      <c r="W418" t="s">
        <v>1299</v>
      </c>
      <c r="X418">
        <v>2500</v>
      </c>
      <c r="Y418">
        <v>600</v>
      </c>
      <c r="Z418">
        <v>600</v>
      </c>
      <c r="AA418" t="s">
        <v>2079</v>
      </c>
    </row>
    <row r="419" spans="1:27" x14ac:dyDescent="0.2">
      <c r="A419">
        <v>3413</v>
      </c>
      <c r="B419" t="s">
        <v>682</v>
      </c>
      <c r="C419" t="str">
        <f>_xlfn.CONCAT(Merge[[#This Row],[Customer First Name]]," ",Merge[[#This Row],[Customer Last Name]])</f>
        <v>Londyn Rocha</v>
      </c>
      <c r="D419" t="s">
        <v>683</v>
      </c>
      <c r="E419">
        <v>1645</v>
      </c>
      <c r="F419" t="s">
        <v>76</v>
      </c>
      <c r="G419" s="1">
        <v>45339</v>
      </c>
      <c r="H419">
        <v>3</v>
      </c>
      <c r="I419" t="s">
        <v>32</v>
      </c>
      <c r="J419" t="s">
        <v>64</v>
      </c>
      <c r="K419">
        <v>0.25</v>
      </c>
      <c r="L419">
        <v>380.75</v>
      </c>
      <c r="M419">
        <v>1523</v>
      </c>
      <c r="N419">
        <v>1142.25</v>
      </c>
      <c r="O419" t="s">
        <v>34</v>
      </c>
      <c r="P419">
        <v>1645</v>
      </c>
      <c r="Q419" t="s">
        <v>76</v>
      </c>
      <c r="R419" s="1">
        <v>45339</v>
      </c>
      <c r="S419">
        <v>3</v>
      </c>
      <c r="T419" t="s">
        <v>32</v>
      </c>
      <c r="U419" t="s">
        <v>64</v>
      </c>
      <c r="V419" t="s">
        <v>2080</v>
      </c>
      <c r="W419" t="s">
        <v>1265</v>
      </c>
      <c r="X419">
        <v>7000</v>
      </c>
      <c r="Y419">
        <v>1200</v>
      </c>
      <c r="Z419">
        <v>3600</v>
      </c>
      <c r="AA419" t="s">
        <v>2081</v>
      </c>
    </row>
    <row r="420" spans="1:27" x14ac:dyDescent="0.2">
      <c r="A420">
        <v>3414</v>
      </c>
      <c r="B420" t="s">
        <v>84</v>
      </c>
      <c r="C420" t="str">
        <f>_xlfn.CONCAT(Merge[[#This Row],[Customer First Name]]," ",Merge[[#This Row],[Customer Last Name]])</f>
        <v>Miracle Berry</v>
      </c>
      <c r="D420" t="s">
        <v>684</v>
      </c>
      <c r="E420">
        <v>1646</v>
      </c>
      <c r="F420" t="s">
        <v>92</v>
      </c>
      <c r="G420" s="1">
        <v>45328</v>
      </c>
      <c r="H420">
        <v>1</v>
      </c>
      <c r="I420" t="s">
        <v>38</v>
      </c>
      <c r="J420" t="s">
        <v>39</v>
      </c>
      <c r="K420">
        <v>0.3</v>
      </c>
      <c r="L420">
        <v>117</v>
      </c>
      <c r="M420">
        <v>390</v>
      </c>
      <c r="N420">
        <v>273</v>
      </c>
      <c r="O420" t="s">
        <v>44</v>
      </c>
      <c r="P420">
        <v>1646</v>
      </c>
      <c r="Q420" t="s">
        <v>92</v>
      </c>
      <c r="R420" s="1">
        <v>45328</v>
      </c>
      <c r="S420">
        <v>3</v>
      </c>
      <c r="T420" t="s">
        <v>38</v>
      </c>
      <c r="U420" t="s">
        <v>39</v>
      </c>
      <c r="V420" t="s">
        <v>2082</v>
      </c>
      <c r="W420" t="s">
        <v>1241</v>
      </c>
      <c r="X420">
        <v>2600</v>
      </c>
      <c r="Y420">
        <v>600</v>
      </c>
      <c r="Z420">
        <v>1800</v>
      </c>
      <c r="AA420" t="s">
        <v>2083</v>
      </c>
    </row>
    <row r="421" spans="1:27" x14ac:dyDescent="0.2">
      <c r="A421">
        <v>3415</v>
      </c>
      <c r="B421" t="s">
        <v>685</v>
      </c>
      <c r="C421" t="str">
        <f>_xlfn.CONCAT(Merge[[#This Row],[Customer First Name]]," ",Merge[[#This Row],[Customer Last Name]])</f>
        <v>Luna Mcintosh</v>
      </c>
      <c r="D421" t="s">
        <v>225</v>
      </c>
      <c r="E421">
        <v>1647</v>
      </c>
      <c r="F421" t="s">
        <v>31</v>
      </c>
      <c r="G421" s="1">
        <v>45518</v>
      </c>
      <c r="H421">
        <v>3</v>
      </c>
      <c r="I421" t="s">
        <v>32</v>
      </c>
      <c r="J421" t="s">
        <v>57</v>
      </c>
      <c r="K421">
        <v>0.1</v>
      </c>
      <c r="L421">
        <v>92.100000000000009</v>
      </c>
      <c r="M421">
        <v>921</v>
      </c>
      <c r="N421">
        <v>828.9</v>
      </c>
      <c r="O421" t="s">
        <v>34</v>
      </c>
      <c r="P421">
        <v>1647</v>
      </c>
      <c r="Q421" t="s">
        <v>31</v>
      </c>
      <c r="R421" s="1">
        <v>45518</v>
      </c>
      <c r="S421">
        <v>2</v>
      </c>
      <c r="T421" t="s">
        <v>32</v>
      </c>
      <c r="U421" t="s">
        <v>57</v>
      </c>
      <c r="V421" t="s">
        <v>2084</v>
      </c>
      <c r="W421" t="s">
        <v>1350</v>
      </c>
      <c r="X421">
        <v>5600</v>
      </c>
      <c r="Y421">
        <v>250</v>
      </c>
      <c r="Z421">
        <v>500</v>
      </c>
      <c r="AA421" t="s">
        <v>2085</v>
      </c>
    </row>
    <row r="422" spans="1:27" x14ac:dyDescent="0.2">
      <c r="A422">
        <v>3416</v>
      </c>
      <c r="B422" t="s">
        <v>686</v>
      </c>
      <c r="C422" t="str">
        <f>_xlfn.CONCAT(Merge[[#This Row],[Customer First Name]]," ",Merge[[#This Row],[Customer Last Name]])</f>
        <v>Noelle Daugherty</v>
      </c>
      <c r="D422" t="s">
        <v>687</v>
      </c>
      <c r="E422">
        <v>1648</v>
      </c>
      <c r="F422" t="s">
        <v>51</v>
      </c>
      <c r="G422" s="1">
        <v>45447</v>
      </c>
      <c r="H422">
        <v>2</v>
      </c>
      <c r="I422" t="s">
        <v>32</v>
      </c>
      <c r="J422" t="s">
        <v>47</v>
      </c>
      <c r="K422">
        <v>0.2</v>
      </c>
      <c r="L422">
        <v>221.20000000000002</v>
      </c>
      <c r="M422">
        <v>1106</v>
      </c>
      <c r="N422">
        <v>884.8</v>
      </c>
      <c r="O422" t="s">
        <v>44</v>
      </c>
      <c r="P422">
        <v>1648</v>
      </c>
      <c r="Q422" t="s">
        <v>51</v>
      </c>
      <c r="R422" s="1">
        <v>45447</v>
      </c>
      <c r="S422">
        <v>1</v>
      </c>
      <c r="T422" t="s">
        <v>32</v>
      </c>
      <c r="U422" t="s">
        <v>47</v>
      </c>
      <c r="V422" t="s">
        <v>2086</v>
      </c>
      <c r="W422" t="s">
        <v>1256</v>
      </c>
      <c r="X422">
        <v>3220</v>
      </c>
      <c r="Y422">
        <v>250</v>
      </c>
      <c r="Z422">
        <v>250</v>
      </c>
      <c r="AA422" t="s">
        <v>2087</v>
      </c>
    </row>
    <row r="423" spans="1:27" x14ac:dyDescent="0.2">
      <c r="A423">
        <v>3417</v>
      </c>
      <c r="B423" t="s">
        <v>688</v>
      </c>
      <c r="C423" t="str">
        <f>_xlfn.CONCAT(Merge[[#This Row],[Customer First Name]]," ",Merge[[#This Row],[Customer Last Name]])</f>
        <v>Alessia Newton</v>
      </c>
      <c r="D423" t="s">
        <v>689</v>
      </c>
      <c r="E423">
        <v>1649</v>
      </c>
      <c r="F423" t="s">
        <v>31</v>
      </c>
      <c r="G423" s="1">
        <v>45521</v>
      </c>
      <c r="H423">
        <v>1</v>
      </c>
      <c r="I423" t="s">
        <v>52</v>
      </c>
      <c r="J423" t="s">
        <v>53</v>
      </c>
      <c r="K423">
        <v>0.1</v>
      </c>
      <c r="L423">
        <v>98</v>
      </c>
      <c r="M423">
        <v>980</v>
      </c>
      <c r="N423">
        <v>882</v>
      </c>
      <c r="O423" t="s">
        <v>34</v>
      </c>
      <c r="P423">
        <v>1649</v>
      </c>
      <c r="Q423" t="s">
        <v>31</v>
      </c>
      <c r="R423" s="1">
        <v>45521</v>
      </c>
      <c r="S423">
        <v>1</v>
      </c>
      <c r="T423" t="s">
        <v>52</v>
      </c>
      <c r="U423" t="s">
        <v>53</v>
      </c>
      <c r="V423" t="s">
        <v>2088</v>
      </c>
      <c r="W423" t="s">
        <v>1250</v>
      </c>
      <c r="X423">
        <v>4217</v>
      </c>
      <c r="Y423">
        <v>250</v>
      </c>
      <c r="Z423">
        <v>250</v>
      </c>
      <c r="AA423" t="s">
        <v>2089</v>
      </c>
    </row>
    <row r="424" spans="1:27" x14ac:dyDescent="0.2">
      <c r="A424">
        <v>3418</v>
      </c>
      <c r="B424" t="s">
        <v>690</v>
      </c>
      <c r="C424" t="str">
        <f>_xlfn.CONCAT(Merge[[#This Row],[Customer First Name]]," ",Merge[[#This Row],[Customer Last Name]])</f>
        <v>Chloe Livingston</v>
      </c>
      <c r="D424" t="s">
        <v>691</v>
      </c>
      <c r="E424">
        <v>1650</v>
      </c>
      <c r="F424" t="s">
        <v>37</v>
      </c>
      <c r="G424" s="1">
        <v>45657</v>
      </c>
      <c r="H424">
        <v>1</v>
      </c>
      <c r="I424" t="s">
        <v>52</v>
      </c>
      <c r="J424" t="s">
        <v>57</v>
      </c>
      <c r="K424">
        <v>0.3</v>
      </c>
      <c r="L424">
        <v>347.7</v>
      </c>
      <c r="M424">
        <v>1159</v>
      </c>
      <c r="N424">
        <v>811.3</v>
      </c>
      <c r="O424" t="s">
        <v>34</v>
      </c>
      <c r="P424">
        <v>1650</v>
      </c>
      <c r="Q424" t="s">
        <v>37</v>
      </c>
      <c r="R424" s="1">
        <v>45657</v>
      </c>
      <c r="S424">
        <v>2</v>
      </c>
      <c r="T424" t="s">
        <v>52</v>
      </c>
      <c r="U424" t="s">
        <v>57</v>
      </c>
      <c r="V424" t="s">
        <v>2090</v>
      </c>
      <c r="W424" t="s">
        <v>1095</v>
      </c>
      <c r="X424">
        <v>5000</v>
      </c>
      <c r="Y424">
        <v>800</v>
      </c>
      <c r="Z424">
        <v>1600</v>
      </c>
      <c r="AA424" t="s">
        <v>2091</v>
      </c>
    </row>
    <row r="425" spans="1:27" x14ac:dyDescent="0.2">
      <c r="A425">
        <v>3419</v>
      </c>
      <c r="B425" t="s">
        <v>692</v>
      </c>
      <c r="C425" t="str">
        <f>_xlfn.CONCAT(Merge[[#This Row],[Customer First Name]]," ",Merge[[#This Row],[Customer Last Name]])</f>
        <v>Maxwell Stanley</v>
      </c>
      <c r="D425" t="s">
        <v>693</v>
      </c>
      <c r="E425">
        <v>1651</v>
      </c>
      <c r="F425" t="s">
        <v>51</v>
      </c>
      <c r="G425" s="1">
        <v>45456</v>
      </c>
      <c r="H425">
        <v>1</v>
      </c>
      <c r="I425" t="s">
        <v>71</v>
      </c>
      <c r="J425" t="s">
        <v>64</v>
      </c>
      <c r="K425">
        <v>0.2</v>
      </c>
      <c r="L425">
        <v>31</v>
      </c>
      <c r="M425">
        <v>155</v>
      </c>
      <c r="N425">
        <v>124</v>
      </c>
      <c r="O425" t="s">
        <v>48</v>
      </c>
      <c r="P425">
        <v>1651</v>
      </c>
      <c r="Q425" t="s">
        <v>51</v>
      </c>
      <c r="R425" s="1">
        <v>45456</v>
      </c>
      <c r="S425">
        <v>2</v>
      </c>
      <c r="T425" t="s">
        <v>71</v>
      </c>
      <c r="U425" t="s">
        <v>64</v>
      </c>
      <c r="V425" t="s">
        <v>2092</v>
      </c>
      <c r="W425" t="s">
        <v>1400</v>
      </c>
      <c r="X425">
        <v>7310</v>
      </c>
      <c r="Y425">
        <v>250</v>
      </c>
      <c r="Z425">
        <v>500</v>
      </c>
      <c r="AA425" t="s">
        <v>2093</v>
      </c>
    </row>
    <row r="426" spans="1:27" x14ac:dyDescent="0.2">
      <c r="A426">
        <v>3420</v>
      </c>
      <c r="B426" t="s">
        <v>154</v>
      </c>
      <c r="C426" t="str">
        <f>_xlfn.CONCAT(Merge[[#This Row],[Customer First Name]]," ",Merge[[#This Row],[Customer Last Name]])</f>
        <v>Leon Hunter</v>
      </c>
      <c r="D426" t="s">
        <v>610</v>
      </c>
      <c r="E426">
        <v>1652</v>
      </c>
      <c r="F426" t="s">
        <v>76</v>
      </c>
      <c r="G426" s="1">
        <v>45528</v>
      </c>
      <c r="H426">
        <v>3</v>
      </c>
      <c r="I426" t="s">
        <v>32</v>
      </c>
      <c r="J426" t="s">
        <v>43</v>
      </c>
      <c r="K426">
        <v>0.25</v>
      </c>
      <c r="L426">
        <v>192.5</v>
      </c>
      <c r="M426">
        <v>770</v>
      </c>
      <c r="N426">
        <v>577.5</v>
      </c>
      <c r="O426" t="s">
        <v>34</v>
      </c>
      <c r="P426">
        <v>1652</v>
      </c>
      <c r="Q426" t="s">
        <v>76</v>
      </c>
      <c r="R426" s="1">
        <v>45528</v>
      </c>
      <c r="S426">
        <v>2</v>
      </c>
      <c r="T426" t="s">
        <v>32</v>
      </c>
      <c r="U426" t="s">
        <v>43</v>
      </c>
      <c r="V426" t="s">
        <v>2094</v>
      </c>
      <c r="W426" t="s">
        <v>865</v>
      </c>
      <c r="X426">
        <v>2000</v>
      </c>
      <c r="Y426">
        <v>1200</v>
      </c>
      <c r="Z426">
        <v>2400</v>
      </c>
      <c r="AA426" t="s">
        <v>2095</v>
      </c>
    </row>
    <row r="427" spans="1:27" x14ac:dyDescent="0.2">
      <c r="A427">
        <v>3421</v>
      </c>
      <c r="B427" t="s">
        <v>306</v>
      </c>
      <c r="C427" t="str">
        <f>_xlfn.CONCAT(Merge[[#This Row],[Customer First Name]]," ",Merge[[#This Row],[Customer Last Name]])</f>
        <v>Hayden Shepherd</v>
      </c>
      <c r="D427" t="s">
        <v>56</v>
      </c>
      <c r="E427">
        <v>1653</v>
      </c>
      <c r="F427" t="s">
        <v>37</v>
      </c>
      <c r="G427" s="1">
        <v>45591</v>
      </c>
      <c r="H427">
        <v>2</v>
      </c>
      <c r="I427" t="s">
        <v>38</v>
      </c>
      <c r="J427" t="s">
        <v>33</v>
      </c>
      <c r="K427">
        <v>0.3</v>
      </c>
      <c r="L427">
        <v>514.19999999999993</v>
      </c>
      <c r="M427">
        <v>1714</v>
      </c>
      <c r="N427">
        <v>1199.8000000000002</v>
      </c>
      <c r="O427" t="s">
        <v>44</v>
      </c>
      <c r="P427">
        <v>1653</v>
      </c>
      <c r="Q427" t="s">
        <v>37</v>
      </c>
      <c r="R427" s="1">
        <v>45591</v>
      </c>
      <c r="S427">
        <v>3</v>
      </c>
      <c r="T427" t="s">
        <v>38</v>
      </c>
      <c r="U427" t="s">
        <v>33</v>
      </c>
      <c r="V427" t="s">
        <v>2096</v>
      </c>
      <c r="W427" t="s">
        <v>1238</v>
      </c>
      <c r="X427">
        <v>6725</v>
      </c>
      <c r="Y427">
        <v>800</v>
      </c>
      <c r="Z427">
        <v>2400</v>
      </c>
      <c r="AA427" t="s">
        <v>2097</v>
      </c>
    </row>
    <row r="428" spans="1:27" x14ac:dyDescent="0.2">
      <c r="A428">
        <v>3422</v>
      </c>
      <c r="B428" t="s">
        <v>694</v>
      </c>
      <c r="C428" t="str">
        <f>_xlfn.CONCAT(Merge[[#This Row],[Customer First Name]]," ",Merge[[#This Row],[Customer Last Name]])</f>
        <v>Nora Serrano</v>
      </c>
      <c r="D428" t="s">
        <v>695</v>
      </c>
      <c r="E428">
        <v>1654</v>
      </c>
      <c r="F428" t="s">
        <v>76</v>
      </c>
      <c r="G428" s="1">
        <v>45422</v>
      </c>
      <c r="H428">
        <v>3</v>
      </c>
      <c r="I428" t="s">
        <v>32</v>
      </c>
      <c r="J428" t="s">
        <v>33</v>
      </c>
      <c r="K428">
        <v>0.25</v>
      </c>
      <c r="L428">
        <v>32.25</v>
      </c>
      <c r="M428">
        <v>129</v>
      </c>
      <c r="N428">
        <v>96.75</v>
      </c>
      <c r="O428" t="s">
        <v>34</v>
      </c>
      <c r="P428">
        <v>1654</v>
      </c>
      <c r="Q428" t="s">
        <v>76</v>
      </c>
      <c r="R428" s="1">
        <v>45422</v>
      </c>
      <c r="S428">
        <v>1</v>
      </c>
      <c r="T428" t="s">
        <v>32</v>
      </c>
      <c r="U428" t="s">
        <v>33</v>
      </c>
      <c r="V428" t="s">
        <v>2098</v>
      </c>
      <c r="W428" t="s">
        <v>1238</v>
      </c>
      <c r="X428">
        <v>6725</v>
      </c>
      <c r="Y428">
        <v>1200</v>
      </c>
      <c r="Z428">
        <v>1200</v>
      </c>
      <c r="AA428" t="s">
        <v>2099</v>
      </c>
    </row>
    <row r="429" spans="1:27" x14ac:dyDescent="0.2">
      <c r="A429">
        <v>3423</v>
      </c>
      <c r="B429" t="s">
        <v>696</v>
      </c>
      <c r="C429" t="str">
        <f>_xlfn.CONCAT(Merge[[#This Row],[Customer First Name]]," ",Merge[[#This Row],[Customer Last Name]])</f>
        <v>Lyra Fletcher</v>
      </c>
      <c r="D429" t="s">
        <v>376</v>
      </c>
      <c r="E429">
        <v>1655</v>
      </c>
      <c r="F429" t="s">
        <v>37</v>
      </c>
      <c r="G429" s="1">
        <v>45609</v>
      </c>
      <c r="H429">
        <v>3</v>
      </c>
      <c r="I429" t="s">
        <v>32</v>
      </c>
      <c r="J429" t="s">
        <v>81</v>
      </c>
      <c r="K429">
        <v>0.3</v>
      </c>
      <c r="L429">
        <v>63.599999999999994</v>
      </c>
      <c r="M429">
        <v>212</v>
      </c>
      <c r="N429">
        <v>148.4</v>
      </c>
      <c r="O429" t="s">
        <v>48</v>
      </c>
      <c r="P429">
        <v>1655</v>
      </c>
      <c r="Q429" t="s">
        <v>37</v>
      </c>
      <c r="R429" s="1">
        <v>45609</v>
      </c>
      <c r="S429">
        <v>3</v>
      </c>
      <c r="T429" t="s">
        <v>32</v>
      </c>
      <c r="U429" t="s">
        <v>81</v>
      </c>
      <c r="V429" t="s">
        <v>2100</v>
      </c>
      <c r="W429" t="s">
        <v>1361</v>
      </c>
      <c r="X429">
        <v>870</v>
      </c>
      <c r="Y429">
        <v>800</v>
      </c>
      <c r="Z429">
        <v>2400</v>
      </c>
      <c r="AA429" t="s">
        <v>2101</v>
      </c>
    </row>
    <row r="430" spans="1:27" x14ac:dyDescent="0.2">
      <c r="A430">
        <v>3424</v>
      </c>
      <c r="B430" t="s">
        <v>454</v>
      </c>
      <c r="C430" t="str">
        <f>_xlfn.CONCAT(Merge[[#This Row],[Customer First Name]]," ",Merge[[#This Row],[Customer Last Name]])</f>
        <v>Charli Santiago</v>
      </c>
      <c r="D430" t="s">
        <v>307</v>
      </c>
      <c r="E430">
        <v>1656</v>
      </c>
      <c r="F430" t="s">
        <v>51</v>
      </c>
      <c r="G430" s="1">
        <v>45379</v>
      </c>
      <c r="H430">
        <v>2</v>
      </c>
      <c r="I430" t="s">
        <v>52</v>
      </c>
      <c r="J430" t="s">
        <v>53</v>
      </c>
      <c r="K430">
        <v>0.2</v>
      </c>
      <c r="L430">
        <v>83.4</v>
      </c>
      <c r="M430">
        <v>417</v>
      </c>
      <c r="N430">
        <v>333.6</v>
      </c>
      <c r="O430" t="s">
        <v>48</v>
      </c>
      <c r="P430">
        <v>1656</v>
      </c>
      <c r="Q430" t="s">
        <v>51</v>
      </c>
      <c r="R430" s="1">
        <v>45379</v>
      </c>
      <c r="S430">
        <v>3</v>
      </c>
      <c r="T430" t="s">
        <v>52</v>
      </c>
      <c r="U430" t="s">
        <v>53</v>
      </c>
      <c r="V430" t="s">
        <v>2102</v>
      </c>
      <c r="W430" t="s">
        <v>1268</v>
      </c>
      <c r="X430">
        <v>4870</v>
      </c>
      <c r="Y430">
        <v>250</v>
      </c>
      <c r="Z430">
        <v>750</v>
      </c>
      <c r="AA430" t="s">
        <v>2103</v>
      </c>
    </row>
    <row r="431" spans="1:27" x14ac:dyDescent="0.2">
      <c r="A431">
        <v>3425</v>
      </c>
      <c r="B431" t="s">
        <v>697</v>
      </c>
      <c r="C431" t="str">
        <f>_xlfn.CONCAT(Merge[[#This Row],[Customer First Name]]," ",Merge[[#This Row],[Customer Last Name]])</f>
        <v>Enzo Leal</v>
      </c>
      <c r="D431" t="s">
        <v>698</v>
      </c>
      <c r="E431">
        <v>1657</v>
      </c>
      <c r="F431" t="s">
        <v>42</v>
      </c>
      <c r="G431" s="1">
        <v>45335</v>
      </c>
      <c r="H431">
        <v>2</v>
      </c>
      <c r="I431" t="s">
        <v>32</v>
      </c>
      <c r="J431" t="s">
        <v>33</v>
      </c>
      <c r="K431">
        <v>0.25</v>
      </c>
      <c r="L431">
        <v>268.75</v>
      </c>
      <c r="M431">
        <v>1075</v>
      </c>
      <c r="N431">
        <v>806.25</v>
      </c>
      <c r="O431" t="s">
        <v>44</v>
      </c>
      <c r="P431">
        <v>1657</v>
      </c>
      <c r="Q431" t="s">
        <v>42</v>
      </c>
      <c r="R431" s="1">
        <v>45335</v>
      </c>
      <c r="S431">
        <v>2</v>
      </c>
      <c r="T431" t="s">
        <v>32</v>
      </c>
      <c r="U431" t="s">
        <v>33</v>
      </c>
      <c r="V431" t="s">
        <v>2104</v>
      </c>
      <c r="W431" t="s">
        <v>1302</v>
      </c>
      <c r="X431">
        <v>6000</v>
      </c>
      <c r="Y431">
        <v>300</v>
      </c>
      <c r="Z431">
        <v>600</v>
      </c>
      <c r="AA431" t="s">
        <v>2105</v>
      </c>
    </row>
    <row r="432" spans="1:27" x14ac:dyDescent="0.2">
      <c r="A432">
        <v>3426</v>
      </c>
      <c r="B432" t="s">
        <v>125</v>
      </c>
      <c r="C432" t="str">
        <f>_xlfn.CONCAT(Merge[[#This Row],[Customer First Name]]," ",Merge[[#This Row],[Customer Last Name]])</f>
        <v>Brooke Fitzgerald</v>
      </c>
      <c r="D432" t="s">
        <v>59</v>
      </c>
      <c r="E432">
        <v>1658</v>
      </c>
      <c r="F432" t="s">
        <v>37</v>
      </c>
      <c r="G432" s="1">
        <v>45550</v>
      </c>
      <c r="H432">
        <v>3</v>
      </c>
      <c r="I432" t="s">
        <v>71</v>
      </c>
      <c r="J432" t="s">
        <v>64</v>
      </c>
      <c r="K432">
        <v>0.3</v>
      </c>
      <c r="L432">
        <v>71.099999999999994</v>
      </c>
      <c r="M432">
        <v>237</v>
      </c>
      <c r="N432">
        <v>165.9</v>
      </c>
      <c r="O432" t="s">
        <v>34</v>
      </c>
      <c r="P432">
        <v>1658</v>
      </c>
      <c r="Q432" t="s">
        <v>37</v>
      </c>
      <c r="R432" s="1">
        <v>45550</v>
      </c>
      <c r="S432">
        <v>1</v>
      </c>
      <c r="T432" t="s">
        <v>71</v>
      </c>
      <c r="U432" t="s">
        <v>64</v>
      </c>
      <c r="V432" t="s">
        <v>2106</v>
      </c>
      <c r="W432" t="s">
        <v>1262</v>
      </c>
      <c r="X432">
        <v>7250</v>
      </c>
      <c r="Y432">
        <v>800</v>
      </c>
      <c r="Z432">
        <v>800</v>
      </c>
      <c r="AA432" t="s">
        <v>2107</v>
      </c>
    </row>
    <row r="433" spans="1:27" x14ac:dyDescent="0.2">
      <c r="A433">
        <v>3427</v>
      </c>
      <c r="B433" t="s">
        <v>699</v>
      </c>
      <c r="C433" t="str">
        <f>_xlfn.CONCAT(Merge[[#This Row],[Customer First Name]]," ",Merge[[#This Row],[Customer Last Name]])</f>
        <v>Finn Robertson</v>
      </c>
      <c r="D433" t="s">
        <v>700</v>
      </c>
      <c r="E433">
        <v>1659</v>
      </c>
      <c r="F433" t="s">
        <v>31</v>
      </c>
      <c r="G433" s="1">
        <v>45457</v>
      </c>
      <c r="H433">
        <v>3</v>
      </c>
      <c r="I433" t="s">
        <v>52</v>
      </c>
      <c r="J433" t="s">
        <v>81</v>
      </c>
      <c r="K433">
        <v>0.1</v>
      </c>
      <c r="L433">
        <v>16.7</v>
      </c>
      <c r="M433">
        <v>167</v>
      </c>
      <c r="N433">
        <v>150.30000000000001</v>
      </c>
      <c r="O433" t="s">
        <v>34</v>
      </c>
      <c r="P433">
        <v>1659</v>
      </c>
      <c r="Q433" t="s">
        <v>31</v>
      </c>
      <c r="R433" s="1">
        <v>45457</v>
      </c>
      <c r="S433">
        <v>3</v>
      </c>
      <c r="T433" t="s">
        <v>52</v>
      </c>
      <c r="U433" t="s">
        <v>81</v>
      </c>
      <c r="V433" t="s">
        <v>2108</v>
      </c>
      <c r="W433" t="s">
        <v>1361</v>
      </c>
      <c r="X433">
        <v>870</v>
      </c>
      <c r="Y433">
        <v>250</v>
      </c>
      <c r="Z433">
        <v>750</v>
      </c>
      <c r="AA433" t="s">
        <v>2109</v>
      </c>
    </row>
    <row r="434" spans="1:27" x14ac:dyDescent="0.2">
      <c r="A434">
        <v>3428</v>
      </c>
      <c r="B434" t="s">
        <v>701</v>
      </c>
      <c r="C434" t="str">
        <f>_xlfn.CONCAT(Merge[[#This Row],[Customer First Name]]," ",Merge[[#This Row],[Customer Last Name]])</f>
        <v>Brody Goodwin</v>
      </c>
      <c r="D434" t="s">
        <v>702</v>
      </c>
      <c r="E434">
        <v>1660</v>
      </c>
      <c r="F434" t="s">
        <v>42</v>
      </c>
      <c r="G434" s="1">
        <v>45627</v>
      </c>
      <c r="H434">
        <v>3</v>
      </c>
      <c r="I434" t="s">
        <v>52</v>
      </c>
      <c r="J434" t="s">
        <v>64</v>
      </c>
      <c r="K434">
        <v>0.25</v>
      </c>
      <c r="L434">
        <v>12</v>
      </c>
      <c r="M434">
        <v>48</v>
      </c>
      <c r="N434">
        <v>36</v>
      </c>
      <c r="O434" t="s">
        <v>34</v>
      </c>
      <c r="P434">
        <v>1660</v>
      </c>
      <c r="Q434" t="s">
        <v>42</v>
      </c>
      <c r="R434" s="1">
        <v>45627</v>
      </c>
      <c r="S434">
        <v>2</v>
      </c>
      <c r="T434" t="s">
        <v>52</v>
      </c>
      <c r="U434" t="s">
        <v>64</v>
      </c>
      <c r="V434" t="s">
        <v>2110</v>
      </c>
      <c r="W434" t="s">
        <v>1265</v>
      </c>
      <c r="X434">
        <v>7000</v>
      </c>
      <c r="Y434">
        <v>300</v>
      </c>
      <c r="Z434">
        <v>600</v>
      </c>
      <c r="AA434" t="s">
        <v>2111</v>
      </c>
    </row>
    <row r="435" spans="1:27" x14ac:dyDescent="0.2">
      <c r="A435">
        <v>3429</v>
      </c>
      <c r="B435" t="s">
        <v>448</v>
      </c>
      <c r="C435" t="str">
        <f>_xlfn.CONCAT(Merge[[#This Row],[Customer First Name]]," ",Merge[[#This Row],[Customer Last Name]])</f>
        <v>Kyle Nuñez</v>
      </c>
      <c r="D435" t="s">
        <v>703</v>
      </c>
      <c r="E435">
        <v>1661</v>
      </c>
      <c r="F435" t="s">
        <v>51</v>
      </c>
      <c r="G435" s="1">
        <v>45657</v>
      </c>
      <c r="H435">
        <v>3</v>
      </c>
      <c r="I435" t="s">
        <v>38</v>
      </c>
      <c r="J435" t="s">
        <v>43</v>
      </c>
      <c r="K435">
        <v>0.2</v>
      </c>
      <c r="L435">
        <v>63.6</v>
      </c>
      <c r="M435">
        <v>318</v>
      </c>
      <c r="N435">
        <v>254.4</v>
      </c>
      <c r="O435" t="s">
        <v>34</v>
      </c>
      <c r="P435">
        <v>1661</v>
      </c>
      <c r="Q435" t="s">
        <v>51</v>
      </c>
      <c r="R435" s="1">
        <v>45657</v>
      </c>
      <c r="S435">
        <v>1</v>
      </c>
      <c r="T435" t="s">
        <v>38</v>
      </c>
      <c r="U435" t="s">
        <v>43</v>
      </c>
      <c r="V435" t="s">
        <v>2112</v>
      </c>
      <c r="W435" t="s">
        <v>1244</v>
      </c>
      <c r="X435">
        <v>2300</v>
      </c>
      <c r="Y435">
        <v>250</v>
      </c>
      <c r="Z435">
        <v>250</v>
      </c>
      <c r="AA435" t="s">
        <v>2113</v>
      </c>
    </row>
    <row r="436" spans="1:27" x14ac:dyDescent="0.2">
      <c r="A436">
        <v>3430</v>
      </c>
      <c r="B436" t="s">
        <v>219</v>
      </c>
      <c r="C436" t="str">
        <f>_xlfn.CONCAT(Merge[[#This Row],[Customer First Name]]," ",Merge[[#This Row],[Customer Last Name]])</f>
        <v>Lennox Weber</v>
      </c>
      <c r="D436" t="s">
        <v>531</v>
      </c>
      <c r="E436">
        <v>1662</v>
      </c>
      <c r="F436" t="s">
        <v>92</v>
      </c>
      <c r="G436" s="1">
        <v>45441</v>
      </c>
      <c r="H436">
        <v>2</v>
      </c>
      <c r="I436" t="s">
        <v>32</v>
      </c>
      <c r="J436" t="s">
        <v>39</v>
      </c>
      <c r="K436">
        <v>0.3</v>
      </c>
      <c r="L436">
        <v>520.79999999999995</v>
      </c>
      <c r="M436">
        <v>1736</v>
      </c>
      <c r="N436">
        <v>1215.2</v>
      </c>
      <c r="O436" t="s">
        <v>44</v>
      </c>
      <c r="P436">
        <v>1662</v>
      </c>
      <c r="Q436" t="s">
        <v>92</v>
      </c>
      <c r="R436" s="1">
        <v>45441</v>
      </c>
      <c r="S436">
        <v>2</v>
      </c>
      <c r="T436" t="s">
        <v>32</v>
      </c>
      <c r="U436" t="s">
        <v>39</v>
      </c>
      <c r="V436" t="s">
        <v>2114</v>
      </c>
      <c r="W436" t="s">
        <v>1241</v>
      </c>
      <c r="X436">
        <v>2600</v>
      </c>
      <c r="Y436">
        <v>600</v>
      </c>
      <c r="Z436">
        <v>1200</v>
      </c>
      <c r="AA436" t="s">
        <v>2115</v>
      </c>
    </row>
    <row r="437" spans="1:27" x14ac:dyDescent="0.2">
      <c r="A437">
        <v>3431</v>
      </c>
      <c r="B437" t="s">
        <v>704</v>
      </c>
      <c r="C437" t="str">
        <f>_xlfn.CONCAT(Merge[[#This Row],[Customer First Name]]," ",Merge[[#This Row],[Customer Last Name]])</f>
        <v>Chloe Maynard</v>
      </c>
      <c r="D437" t="s">
        <v>691</v>
      </c>
      <c r="E437">
        <v>1663</v>
      </c>
      <c r="F437" t="s">
        <v>51</v>
      </c>
      <c r="G437" s="1">
        <v>45362</v>
      </c>
      <c r="H437">
        <v>3</v>
      </c>
      <c r="I437" t="s">
        <v>38</v>
      </c>
      <c r="J437" t="s">
        <v>53</v>
      </c>
      <c r="K437">
        <v>0.2</v>
      </c>
      <c r="L437">
        <v>349.40000000000003</v>
      </c>
      <c r="M437">
        <v>1747</v>
      </c>
      <c r="N437">
        <v>1397.6</v>
      </c>
      <c r="O437" t="s">
        <v>114</v>
      </c>
      <c r="P437">
        <v>1663</v>
      </c>
      <c r="Q437" t="s">
        <v>51</v>
      </c>
      <c r="R437" s="1">
        <v>45362</v>
      </c>
      <c r="S437">
        <v>2</v>
      </c>
      <c r="T437" t="s">
        <v>38</v>
      </c>
      <c r="U437" t="s">
        <v>53</v>
      </c>
      <c r="V437" t="s">
        <v>2116</v>
      </c>
      <c r="W437" t="s">
        <v>1268</v>
      </c>
      <c r="X437">
        <v>4870</v>
      </c>
      <c r="Y437">
        <v>250</v>
      </c>
      <c r="Z437">
        <v>500</v>
      </c>
      <c r="AA437" t="s">
        <v>2117</v>
      </c>
    </row>
    <row r="438" spans="1:27" x14ac:dyDescent="0.2">
      <c r="A438">
        <v>3432</v>
      </c>
      <c r="B438" t="s">
        <v>528</v>
      </c>
      <c r="C438" t="str">
        <f>_xlfn.CONCAT(Merge[[#This Row],[Customer First Name]]," ",Merge[[#This Row],[Customer Last Name]])</f>
        <v>Jasper Beil</v>
      </c>
      <c r="D438" t="s">
        <v>705</v>
      </c>
      <c r="E438">
        <v>1664</v>
      </c>
      <c r="F438" t="s">
        <v>42</v>
      </c>
      <c r="G438" s="1">
        <v>45626</v>
      </c>
      <c r="H438">
        <v>1</v>
      </c>
      <c r="I438" t="s">
        <v>32</v>
      </c>
      <c r="J438" t="s">
        <v>33</v>
      </c>
      <c r="K438">
        <v>0.25</v>
      </c>
      <c r="L438">
        <v>356.25</v>
      </c>
      <c r="M438">
        <v>1425</v>
      </c>
      <c r="N438">
        <v>1068.75</v>
      </c>
      <c r="O438" t="s">
        <v>44</v>
      </c>
      <c r="P438">
        <v>1664</v>
      </c>
      <c r="Q438" t="s">
        <v>42</v>
      </c>
      <c r="R438" s="1">
        <v>45626</v>
      </c>
      <c r="S438">
        <v>1</v>
      </c>
      <c r="T438" t="s">
        <v>32</v>
      </c>
      <c r="U438" t="s">
        <v>33</v>
      </c>
      <c r="V438" t="s">
        <v>2118</v>
      </c>
      <c r="W438" t="s">
        <v>1259</v>
      </c>
      <c r="X438">
        <v>6160</v>
      </c>
      <c r="Y438">
        <v>300</v>
      </c>
      <c r="Z438">
        <v>300</v>
      </c>
      <c r="AA438" t="s">
        <v>2119</v>
      </c>
    </row>
    <row r="439" spans="1:27" x14ac:dyDescent="0.2">
      <c r="A439">
        <v>3433</v>
      </c>
      <c r="B439" t="s">
        <v>706</v>
      </c>
      <c r="C439" t="str">
        <f>_xlfn.CONCAT(Merge[[#This Row],[Customer First Name]]," ",Merge[[#This Row],[Customer Last Name]])</f>
        <v>Colin Lee</v>
      </c>
      <c r="D439" t="s">
        <v>707</v>
      </c>
      <c r="E439">
        <v>1665</v>
      </c>
      <c r="F439" t="s">
        <v>42</v>
      </c>
      <c r="G439" s="1">
        <v>45351</v>
      </c>
      <c r="H439">
        <v>1</v>
      </c>
      <c r="I439" t="s">
        <v>32</v>
      </c>
      <c r="J439" t="s">
        <v>53</v>
      </c>
      <c r="K439">
        <v>0.25</v>
      </c>
      <c r="L439">
        <v>309.75</v>
      </c>
      <c r="M439">
        <v>1239</v>
      </c>
      <c r="N439">
        <v>929.25</v>
      </c>
      <c r="O439" t="s">
        <v>48</v>
      </c>
      <c r="P439">
        <v>1665</v>
      </c>
      <c r="Q439" t="s">
        <v>42</v>
      </c>
      <c r="R439" s="1">
        <v>45351</v>
      </c>
      <c r="S439">
        <v>2</v>
      </c>
      <c r="T439" t="s">
        <v>32</v>
      </c>
      <c r="U439" t="s">
        <v>53</v>
      </c>
      <c r="V439" t="s">
        <v>2120</v>
      </c>
      <c r="W439" t="s">
        <v>1305</v>
      </c>
      <c r="X439">
        <v>4000</v>
      </c>
      <c r="Y439">
        <v>300</v>
      </c>
      <c r="Z439">
        <v>600</v>
      </c>
      <c r="AA439" t="s">
        <v>2121</v>
      </c>
    </row>
    <row r="440" spans="1:27" x14ac:dyDescent="0.2">
      <c r="A440">
        <v>3434</v>
      </c>
      <c r="B440" t="s">
        <v>708</v>
      </c>
      <c r="C440" t="str">
        <f>_xlfn.CONCAT(Merge[[#This Row],[Customer First Name]]," ",Merge[[#This Row],[Customer Last Name]])</f>
        <v>Kash Sandoval</v>
      </c>
      <c r="D440" t="s">
        <v>709</v>
      </c>
      <c r="E440">
        <v>1666</v>
      </c>
      <c r="F440" t="s">
        <v>37</v>
      </c>
      <c r="G440" s="1">
        <v>45391</v>
      </c>
      <c r="H440">
        <v>2</v>
      </c>
      <c r="I440" t="s">
        <v>32</v>
      </c>
      <c r="J440" t="s">
        <v>81</v>
      </c>
      <c r="K440">
        <v>0.3</v>
      </c>
      <c r="L440">
        <v>108</v>
      </c>
      <c r="M440">
        <v>360</v>
      </c>
      <c r="N440">
        <v>252</v>
      </c>
      <c r="O440" t="s">
        <v>48</v>
      </c>
      <c r="P440">
        <v>1666</v>
      </c>
      <c r="Q440" t="s">
        <v>37</v>
      </c>
      <c r="R440" s="1">
        <v>45391</v>
      </c>
      <c r="S440">
        <v>2</v>
      </c>
      <c r="T440" t="s">
        <v>32</v>
      </c>
      <c r="U440" t="s">
        <v>81</v>
      </c>
      <c r="V440" t="s">
        <v>2122</v>
      </c>
      <c r="W440" t="s">
        <v>1361</v>
      </c>
      <c r="X440">
        <v>870</v>
      </c>
      <c r="Y440">
        <v>800</v>
      </c>
      <c r="Z440">
        <v>1600</v>
      </c>
      <c r="AA440" t="s">
        <v>2123</v>
      </c>
    </row>
    <row r="441" spans="1:27" x14ac:dyDescent="0.2">
      <c r="A441">
        <v>3435</v>
      </c>
      <c r="B441" t="s">
        <v>710</v>
      </c>
      <c r="C441" t="str">
        <f>_xlfn.CONCAT(Merge[[#This Row],[Customer First Name]]," ",Merge[[#This Row],[Customer Last Name]])</f>
        <v>Amari Wolfe</v>
      </c>
      <c r="D441" t="s">
        <v>711</v>
      </c>
      <c r="E441">
        <v>1667</v>
      </c>
      <c r="F441" t="s">
        <v>37</v>
      </c>
      <c r="G441" s="1">
        <v>45581</v>
      </c>
      <c r="H441">
        <v>1</v>
      </c>
      <c r="I441" t="s">
        <v>32</v>
      </c>
      <c r="J441" t="s">
        <v>43</v>
      </c>
      <c r="K441">
        <v>0.3</v>
      </c>
      <c r="L441">
        <v>54.9</v>
      </c>
      <c r="M441">
        <v>183</v>
      </c>
      <c r="N441">
        <v>128.1</v>
      </c>
      <c r="O441" t="s">
        <v>48</v>
      </c>
      <c r="P441">
        <v>1667</v>
      </c>
      <c r="Q441" t="s">
        <v>37</v>
      </c>
      <c r="R441" s="1">
        <v>45581</v>
      </c>
      <c r="S441">
        <v>3</v>
      </c>
      <c r="T441" t="s">
        <v>32</v>
      </c>
      <c r="U441" t="s">
        <v>43</v>
      </c>
      <c r="V441" t="s">
        <v>2124</v>
      </c>
      <c r="W441" t="s">
        <v>1244</v>
      </c>
      <c r="X441">
        <v>2300</v>
      </c>
      <c r="Y441">
        <v>800</v>
      </c>
      <c r="Z441">
        <v>2400</v>
      </c>
      <c r="AA441" t="s">
        <v>2125</v>
      </c>
    </row>
    <row r="442" spans="1:27" x14ac:dyDescent="0.2">
      <c r="A442">
        <v>3436</v>
      </c>
      <c r="B442" t="s">
        <v>712</v>
      </c>
      <c r="C442" t="str">
        <f>_xlfn.CONCAT(Merge[[#This Row],[Customer First Name]]," ",Merge[[#This Row],[Customer Last Name]])</f>
        <v>Gideon Molina</v>
      </c>
      <c r="D442" t="s">
        <v>492</v>
      </c>
      <c r="E442">
        <v>1668</v>
      </c>
      <c r="F442" t="s">
        <v>51</v>
      </c>
      <c r="G442" s="1">
        <v>45550</v>
      </c>
      <c r="H442">
        <v>3</v>
      </c>
      <c r="I442" t="s">
        <v>52</v>
      </c>
      <c r="J442" t="s">
        <v>33</v>
      </c>
      <c r="K442">
        <v>0.2</v>
      </c>
      <c r="L442">
        <v>293</v>
      </c>
      <c r="M442">
        <v>1465</v>
      </c>
      <c r="N442">
        <v>1172</v>
      </c>
      <c r="O442" t="s">
        <v>44</v>
      </c>
      <c r="P442">
        <v>1668</v>
      </c>
      <c r="Q442" t="s">
        <v>51</v>
      </c>
      <c r="R442" s="1">
        <v>45550</v>
      </c>
      <c r="S442">
        <v>1</v>
      </c>
      <c r="T442" t="s">
        <v>52</v>
      </c>
      <c r="U442" t="s">
        <v>33</v>
      </c>
      <c r="V442" t="s">
        <v>2126</v>
      </c>
      <c r="W442" t="s">
        <v>1238</v>
      </c>
      <c r="X442">
        <v>6725</v>
      </c>
      <c r="Y442">
        <v>250</v>
      </c>
      <c r="Z442">
        <v>250</v>
      </c>
      <c r="AA442" t="s">
        <v>2127</v>
      </c>
    </row>
    <row r="443" spans="1:27" x14ac:dyDescent="0.2">
      <c r="A443">
        <v>3437</v>
      </c>
      <c r="B443" t="s">
        <v>311</v>
      </c>
      <c r="C443" t="str">
        <f>_xlfn.CONCAT(Merge[[#This Row],[Customer First Name]]," ",Merge[[#This Row],[Customer Last Name]])</f>
        <v>Rosie Walton</v>
      </c>
      <c r="D443" t="s">
        <v>185</v>
      </c>
      <c r="E443">
        <v>1669</v>
      </c>
      <c r="F443" t="s">
        <v>51</v>
      </c>
      <c r="G443" s="1">
        <v>45379</v>
      </c>
      <c r="H443">
        <v>1</v>
      </c>
      <c r="I443" t="s">
        <v>52</v>
      </c>
      <c r="J443" t="s">
        <v>53</v>
      </c>
      <c r="K443">
        <v>0.2</v>
      </c>
      <c r="L443">
        <v>133.20000000000002</v>
      </c>
      <c r="M443">
        <v>666</v>
      </c>
      <c r="N443">
        <v>532.79999999999995</v>
      </c>
      <c r="O443" t="s">
        <v>114</v>
      </c>
      <c r="P443">
        <v>1669</v>
      </c>
      <c r="Q443" t="s">
        <v>51</v>
      </c>
      <c r="R443" s="1">
        <v>45379</v>
      </c>
      <c r="S443">
        <v>1</v>
      </c>
      <c r="T443" t="s">
        <v>52</v>
      </c>
      <c r="U443" t="s">
        <v>53</v>
      </c>
      <c r="V443" t="s">
        <v>2128</v>
      </c>
      <c r="W443" t="s">
        <v>1305</v>
      </c>
      <c r="X443">
        <v>4000</v>
      </c>
      <c r="Y443">
        <v>250</v>
      </c>
      <c r="Z443">
        <v>250</v>
      </c>
      <c r="AA443" t="s">
        <v>2129</v>
      </c>
    </row>
    <row r="444" spans="1:27" x14ac:dyDescent="0.2">
      <c r="A444">
        <v>3438</v>
      </c>
      <c r="B444" t="s">
        <v>713</v>
      </c>
      <c r="C444" t="str">
        <f>_xlfn.CONCAT(Merge[[#This Row],[Customer First Name]]," ",Merge[[#This Row],[Customer Last Name]])</f>
        <v>Heidi Rush</v>
      </c>
      <c r="D444" t="s">
        <v>394</v>
      </c>
      <c r="E444">
        <v>1670</v>
      </c>
      <c r="F444" t="s">
        <v>51</v>
      </c>
      <c r="G444" s="1">
        <v>45636</v>
      </c>
      <c r="H444">
        <v>1</v>
      </c>
      <c r="I444" t="s">
        <v>38</v>
      </c>
      <c r="J444" t="s">
        <v>33</v>
      </c>
      <c r="K444">
        <v>0.2</v>
      </c>
      <c r="L444">
        <v>230.60000000000002</v>
      </c>
      <c r="M444">
        <v>1153</v>
      </c>
      <c r="N444">
        <v>922.4</v>
      </c>
      <c r="O444" t="s">
        <v>48</v>
      </c>
      <c r="P444">
        <v>1670</v>
      </c>
      <c r="Q444" t="s">
        <v>51</v>
      </c>
      <c r="R444" s="1">
        <v>45636</v>
      </c>
      <c r="S444">
        <v>2</v>
      </c>
      <c r="T444" t="s">
        <v>38</v>
      </c>
      <c r="U444" t="s">
        <v>33</v>
      </c>
      <c r="V444" t="s">
        <v>2130</v>
      </c>
      <c r="W444" t="s">
        <v>1238</v>
      </c>
      <c r="X444">
        <v>6725</v>
      </c>
      <c r="Y444">
        <v>250</v>
      </c>
      <c r="Z444">
        <v>500</v>
      </c>
      <c r="AA444" t="s">
        <v>2131</v>
      </c>
    </row>
    <row r="445" spans="1:27" x14ac:dyDescent="0.2">
      <c r="A445">
        <v>3439</v>
      </c>
      <c r="B445" t="s">
        <v>714</v>
      </c>
      <c r="C445" t="str">
        <f>_xlfn.CONCAT(Merge[[#This Row],[Customer First Name]]," ",Merge[[#This Row],[Customer Last Name]])</f>
        <v>Alison Harrison</v>
      </c>
      <c r="D445" t="s">
        <v>715</v>
      </c>
      <c r="E445">
        <v>1671</v>
      </c>
      <c r="F445" t="s">
        <v>31</v>
      </c>
      <c r="G445" s="1">
        <v>45296</v>
      </c>
      <c r="H445">
        <v>1</v>
      </c>
      <c r="I445" t="s">
        <v>52</v>
      </c>
      <c r="J445" t="s">
        <v>53</v>
      </c>
      <c r="K445">
        <v>0.1</v>
      </c>
      <c r="L445">
        <v>48.6</v>
      </c>
      <c r="M445">
        <v>486</v>
      </c>
      <c r="N445">
        <v>437.4</v>
      </c>
      <c r="O445" t="s">
        <v>48</v>
      </c>
      <c r="P445">
        <v>1671</v>
      </c>
      <c r="Q445" t="s">
        <v>31</v>
      </c>
      <c r="R445" s="1">
        <v>45296</v>
      </c>
      <c r="S445">
        <v>1</v>
      </c>
      <c r="T445" t="s">
        <v>52</v>
      </c>
      <c r="U445" t="s">
        <v>53</v>
      </c>
      <c r="V445" t="s">
        <v>2132</v>
      </c>
      <c r="W445" t="s">
        <v>1305</v>
      </c>
      <c r="X445">
        <v>4000</v>
      </c>
      <c r="Y445">
        <v>250</v>
      </c>
      <c r="Z445">
        <v>250</v>
      </c>
      <c r="AA445" t="s">
        <v>2133</v>
      </c>
    </row>
    <row r="446" spans="1:27" x14ac:dyDescent="0.2">
      <c r="A446">
        <v>3440</v>
      </c>
      <c r="B446" t="s">
        <v>112</v>
      </c>
      <c r="C446" t="str">
        <f>_xlfn.CONCAT(Merge[[#This Row],[Customer First Name]]," ",Merge[[#This Row],[Customer Last Name]])</f>
        <v>Santino Anderson</v>
      </c>
      <c r="D446" t="s">
        <v>716</v>
      </c>
      <c r="E446">
        <v>1672</v>
      </c>
      <c r="F446" t="s">
        <v>42</v>
      </c>
      <c r="G446" s="1">
        <v>45561</v>
      </c>
      <c r="H446">
        <v>3</v>
      </c>
      <c r="I446" t="s">
        <v>52</v>
      </c>
      <c r="J446" t="s">
        <v>39</v>
      </c>
      <c r="K446">
        <v>0.25</v>
      </c>
      <c r="L446">
        <v>140.5</v>
      </c>
      <c r="M446">
        <v>562</v>
      </c>
      <c r="N446">
        <v>421.5</v>
      </c>
      <c r="O446" t="s">
        <v>114</v>
      </c>
      <c r="P446">
        <v>1672</v>
      </c>
      <c r="Q446" t="s">
        <v>42</v>
      </c>
      <c r="R446" s="1">
        <v>45561</v>
      </c>
      <c r="S446">
        <v>3</v>
      </c>
      <c r="T446" t="s">
        <v>52</v>
      </c>
      <c r="U446" t="s">
        <v>39</v>
      </c>
      <c r="V446" t="s">
        <v>2134</v>
      </c>
      <c r="W446" t="s">
        <v>1241</v>
      </c>
      <c r="X446">
        <v>2600</v>
      </c>
      <c r="Y446">
        <v>300</v>
      </c>
      <c r="Z446">
        <v>900</v>
      </c>
      <c r="AA446" t="s">
        <v>2135</v>
      </c>
    </row>
    <row r="447" spans="1:27" x14ac:dyDescent="0.2">
      <c r="A447">
        <v>3441</v>
      </c>
      <c r="B447" t="s">
        <v>717</v>
      </c>
      <c r="C447" t="str">
        <f>_xlfn.CONCAT(Merge[[#This Row],[Customer First Name]]," ",Merge[[#This Row],[Customer Last Name]])</f>
        <v>Armani Henderson</v>
      </c>
      <c r="D447" t="s">
        <v>646</v>
      </c>
      <c r="E447">
        <v>1673</v>
      </c>
      <c r="F447" t="s">
        <v>76</v>
      </c>
      <c r="G447" s="1">
        <v>45525</v>
      </c>
      <c r="H447">
        <v>1</v>
      </c>
      <c r="I447" t="s">
        <v>32</v>
      </c>
      <c r="J447" t="s">
        <v>53</v>
      </c>
      <c r="K447">
        <v>0.25</v>
      </c>
      <c r="L447">
        <v>237.25</v>
      </c>
      <c r="M447">
        <v>949</v>
      </c>
      <c r="N447">
        <v>711.75</v>
      </c>
      <c r="O447" t="s">
        <v>114</v>
      </c>
      <c r="P447">
        <v>1673</v>
      </c>
      <c r="Q447" t="s">
        <v>76</v>
      </c>
      <c r="R447" s="1">
        <v>45525</v>
      </c>
      <c r="S447">
        <v>3</v>
      </c>
      <c r="T447" t="s">
        <v>32</v>
      </c>
      <c r="U447" t="s">
        <v>53</v>
      </c>
      <c r="V447" t="s">
        <v>2136</v>
      </c>
      <c r="W447" t="s">
        <v>1268</v>
      </c>
      <c r="X447">
        <v>4870</v>
      </c>
      <c r="Y447">
        <v>1200</v>
      </c>
      <c r="Z447">
        <v>3600</v>
      </c>
      <c r="AA447" t="s">
        <v>2137</v>
      </c>
    </row>
    <row r="448" spans="1:27" x14ac:dyDescent="0.2">
      <c r="A448">
        <v>3442</v>
      </c>
      <c r="B448" t="s">
        <v>718</v>
      </c>
      <c r="C448" t="str">
        <f>_xlfn.CONCAT(Merge[[#This Row],[Customer First Name]]," ",Merge[[#This Row],[Customer Last Name]])</f>
        <v>Ismael Dawson</v>
      </c>
      <c r="D448" t="s">
        <v>719</v>
      </c>
      <c r="E448">
        <v>1674</v>
      </c>
      <c r="F448" t="s">
        <v>31</v>
      </c>
      <c r="G448" s="1">
        <v>45468</v>
      </c>
      <c r="H448">
        <v>2</v>
      </c>
      <c r="I448" t="s">
        <v>52</v>
      </c>
      <c r="J448" t="s">
        <v>47</v>
      </c>
      <c r="K448">
        <v>0.1</v>
      </c>
      <c r="L448">
        <v>78.600000000000009</v>
      </c>
      <c r="M448">
        <v>786</v>
      </c>
      <c r="N448">
        <v>707.4</v>
      </c>
      <c r="O448" t="s">
        <v>114</v>
      </c>
      <c r="P448">
        <v>1674</v>
      </c>
      <c r="Q448" t="s">
        <v>31</v>
      </c>
      <c r="R448" s="1">
        <v>45468</v>
      </c>
      <c r="S448">
        <v>1</v>
      </c>
      <c r="T448" t="s">
        <v>52</v>
      </c>
      <c r="U448" t="s">
        <v>47</v>
      </c>
      <c r="V448" t="s">
        <v>2138</v>
      </c>
      <c r="W448" t="s">
        <v>1247</v>
      </c>
      <c r="X448">
        <v>3350</v>
      </c>
      <c r="Y448">
        <v>250</v>
      </c>
      <c r="Z448">
        <v>250</v>
      </c>
      <c r="AA448" t="s">
        <v>2139</v>
      </c>
    </row>
    <row r="449" spans="1:27" x14ac:dyDescent="0.2">
      <c r="A449">
        <v>3443</v>
      </c>
      <c r="B449" t="s">
        <v>720</v>
      </c>
      <c r="C449" t="str">
        <f>_xlfn.CONCAT(Merge[[#This Row],[Customer First Name]]," ",Merge[[#This Row],[Customer Last Name]])</f>
        <v>Felix Porter</v>
      </c>
      <c r="D449" t="s">
        <v>721</v>
      </c>
      <c r="E449">
        <v>1675</v>
      </c>
      <c r="F449" t="s">
        <v>76</v>
      </c>
      <c r="G449" s="1">
        <v>45611</v>
      </c>
      <c r="H449">
        <v>2</v>
      </c>
      <c r="I449" t="s">
        <v>32</v>
      </c>
      <c r="J449" t="s">
        <v>47</v>
      </c>
      <c r="K449">
        <v>0.25</v>
      </c>
      <c r="L449">
        <v>204</v>
      </c>
      <c r="M449">
        <v>816</v>
      </c>
      <c r="N449">
        <v>612</v>
      </c>
      <c r="O449" t="s">
        <v>114</v>
      </c>
      <c r="P449">
        <v>1675</v>
      </c>
      <c r="Q449" t="s">
        <v>76</v>
      </c>
      <c r="R449" s="1">
        <v>45611</v>
      </c>
      <c r="S449">
        <v>2</v>
      </c>
      <c r="T449" t="s">
        <v>32</v>
      </c>
      <c r="U449" t="s">
        <v>47</v>
      </c>
      <c r="V449" t="s">
        <v>2140</v>
      </c>
      <c r="W449" t="s">
        <v>1247</v>
      </c>
      <c r="X449">
        <v>3350</v>
      </c>
      <c r="Y449">
        <v>1200</v>
      </c>
      <c r="Z449">
        <v>2400</v>
      </c>
      <c r="AA449" t="s">
        <v>2141</v>
      </c>
    </row>
    <row r="450" spans="1:27" x14ac:dyDescent="0.2">
      <c r="A450">
        <v>3444</v>
      </c>
      <c r="B450" t="s">
        <v>722</v>
      </c>
      <c r="C450" t="str">
        <f>_xlfn.CONCAT(Merge[[#This Row],[Customer First Name]]," ",Merge[[#This Row],[Customer Last Name]])</f>
        <v>Bradley Singleton</v>
      </c>
      <c r="D450" t="s">
        <v>723</v>
      </c>
      <c r="E450">
        <v>1676</v>
      </c>
      <c r="F450" t="s">
        <v>37</v>
      </c>
      <c r="G450" s="1">
        <v>45469</v>
      </c>
      <c r="H450">
        <v>3</v>
      </c>
      <c r="I450" t="s">
        <v>52</v>
      </c>
      <c r="J450" t="s">
        <v>47</v>
      </c>
      <c r="K450">
        <v>0.3</v>
      </c>
      <c r="L450">
        <v>53.699999999999996</v>
      </c>
      <c r="M450">
        <v>179</v>
      </c>
      <c r="N450">
        <v>125.30000000000001</v>
      </c>
      <c r="O450" t="s">
        <v>48</v>
      </c>
      <c r="P450">
        <v>1676</v>
      </c>
      <c r="Q450" t="s">
        <v>37</v>
      </c>
      <c r="R450" s="1">
        <v>45469</v>
      </c>
      <c r="S450">
        <v>2</v>
      </c>
      <c r="T450" t="s">
        <v>52</v>
      </c>
      <c r="U450" t="s">
        <v>47</v>
      </c>
      <c r="V450" t="s">
        <v>2142</v>
      </c>
      <c r="W450" t="s">
        <v>1247</v>
      </c>
      <c r="X450">
        <v>3350</v>
      </c>
      <c r="Y450">
        <v>800</v>
      </c>
      <c r="Z450">
        <v>1600</v>
      </c>
      <c r="AA450" t="s">
        <v>2143</v>
      </c>
    </row>
    <row r="451" spans="1:27" x14ac:dyDescent="0.2">
      <c r="A451">
        <v>3445</v>
      </c>
      <c r="B451" t="s">
        <v>724</v>
      </c>
      <c r="C451" t="str">
        <f>_xlfn.CONCAT(Merge[[#This Row],[Customer First Name]]," ",Merge[[#This Row],[Customer Last Name]])</f>
        <v>Gregory Castro</v>
      </c>
      <c r="D451" t="s">
        <v>559</v>
      </c>
      <c r="E451">
        <v>1677</v>
      </c>
      <c r="F451" t="s">
        <v>76</v>
      </c>
      <c r="G451" s="1">
        <v>45488</v>
      </c>
      <c r="H451">
        <v>3</v>
      </c>
      <c r="I451" t="s">
        <v>52</v>
      </c>
      <c r="J451" t="s">
        <v>43</v>
      </c>
      <c r="K451">
        <v>0.25</v>
      </c>
      <c r="L451">
        <v>144.25</v>
      </c>
      <c r="M451">
        <v>577</v>
      </c>
      <c r="N451">
        <v>432.75</v>
      </c>
      <c r="O451" t="s">
        <v>48</v>
      </c>
      <c r="P451">
        <v>1677</v>
      </c>
      <c r="Q451" t="s">
        <v>76</v>
      </c>
      <c r="R451" s="1">
        <v>45488</v>
      </c>
      <c r="S451">
        <v>1</v>
      </c>
      <c r="T451" t="s">
        <v>52</v>
      </c>
      <c r="U451" t="s">
        <v>43</v>
      </c>
      <c r="V451" t="s">
        <v>2144</v>
      </c>
      <c r="W451" t="s">
        <v>1244</v>
      </c>
      <c r="X451">
        <v>2300</v>
      </c>
      <c r="Y451">
        <v>1200</v>
      </c>
      <c r="Z451">
        <v>1200</v>
      </c>
      <c r="AA451" t="s">
        <v>2145</v>
      </c>
    </row>
    <row r="452" spans="1:27" x14ac:dyDescent="0.2">
      <c r="A452">
        <v>3446</v>
      </c>
      <c r="B452" t="s">
        <v>487</v>
      </c>
      <c r="C452" t="str">
        <f>_xlfn.CONCAT(Merge[[#This Row],[Customer First Name]]," ",Merge[[#This Row],[Customer Last Name]])</f>
        <v>Brooklynn Riley</v>
      </c>
      <c r="D452" t="s">
        <v>725</v>
      </c>
      <c r="E452">
        <v>1678</v>
      </c>
      <c r="F452" t="s">
        <v>31</v>
      </c>
      <c r="G452" s="1">
        <v>45558</v>
      </c>
      <c r="H452">
        <v>3</v>
      </c>
      <c r="I452" t="s">
        <v>52</v>
      </c>
      <c r="J452" t="s">
        <v>57</v>
      </c>
      <c r="K452">
        <v>0.1</v>
      </c>
      <c r="L452">
        <v>172.70000000000002</v>
      </c>
      <c r="M452">
        <v>1727</v>
      </c>
      <c r="N452">
        <v>1554.3</v>
      </c>
      <c r="O452" t="s">
        <v>48</v>
      </c>
      <c r="P452">
        <v>1678</v>
      </c>
      <c r="Q452" t="s">
        <v>31</v>
      </c>
      <c r="R452" s="1">
        <v>45558</v>
      </c>
      <c r="S452">
        <v>1</v>
      </c>
      <c r="T452" t="s">
        <v>52</v>
      </c>
      <c r="U452" t="s">
        <v>57</v>
      </c>
      <c r="V452" t="s">
        <v>2146</v>
      </c>
      <c r="W452" t="s">
        <v>1095</v>
      </c>
      <c r="X452">
        <v>5000</v>
      </c>
      <c r="Y452">
        <v>250</v>
      </c>
      <c r="Z452">
        <v>250</v>
      </c>
      <c r="AA452" t="s">
        <v>2147</v>
      </c>
    </row>
    <row r="453" spans="1:27" x14ac:dyDescent="0.2">
      <c r="A453">
        <v>3447</v>
      </c>
      <c r="B453" t="s">
        <v>726</v>
      </c>
      <c r="C453" t="str">
        <f>_xlfn.CONCAT(Merge[[#This Row],[Customer First Name]]," ",Merge[[#This Row],[Customer Last Name]])</f>
        <v>Ari Kim</v>
      </c>
      <c r="D453" t="s">
        <v>206</v>
      </c>
      <c r="E453">
        <v>1679</v>
      </c>
      <c r="F453" t="s">
        <v>92</v>
      </c>
      <c r="G453" s="1">
        <v>45530</v>
      </c>
      <c r="H453">
        <v>1</v>
      </c>
      <c r="I453" t="s">
        <v>32</v>
      </c>
      <c r="J453" t="s">
        <v>81</v>
      </c>
      <c r="K453">
        <v>0.3</v>
      </c>
      <c r="L453">
        <v>229.2</v>
      </c>
      <c r="M453">
        <v>764</v>
      </c>
      <c r="N453">
        <v>534.79999999999995</v>
      </c>
      <c r="O453" t="s">
        <v>48</v>
      </c>
      <c r="P453">
        <v>1679</v>
      </c>
      <c r="Q453" t="s">
        <v>92</v>
      </c>
      <c r="R453" s="1">
        <v>45530</v>
      </c>
      <c r="S453">
        <v>1</v>
      </c>
      <c r="T453" t="s">
        <v>32</v>
      </c>
      <c r="U453" t="s">
        <v>81</v>
      </c>
      <c r="V453" t="s">
        <v>2148</v>
      </c>
      <c r="W453" t="s">
        <v>1361</v>
      </c>
      <c r="X453">
        <v>870</v>
      </c>
      <c r="Y453">
        <v>600</v>
      </c>
      <c r="Z453">
        <v>600</v>
      </c>
      <c r="AA453" t="s">
        <v>2149</v>
      </c>
    </row>
    <row r="454" spans="1:27" x14ac:dyDescent="0.2">
      <c r="A454">
        <v>3448</v>
      </c>
      <c r="B454" t="s">
        <v>180</v>
      </c>
      <c r="C454" t="str">
        <f>_xlfn.CONCAT(Merge[[#This Row],[Customer First Name]]," ",Merge[[#This Row],[Customer Last Name]])</f>
        <v>Briella Guerra</v>
      </c>
      <c r="D454" t="s">
        <v>727</v>
      </c>
      <c r="E454">
        <v>1680</v>
      </c>
      <c r="F454" t="s">
        <v>31</v>
      </c>
      <c r="G454" s="1">
        <v>45330</v>
      </c>
      <c r="H454">
        <v>2</v>
      </c>
      <c r="I454" t="s">
        <v>38</v>
      </c>
      <c r="J454" t="s">
        <v>43</v>
      </c>
      <c r="K454">
        <v>0.1</v>
      </c>
      <c r="L454">
        <v>28.6</v>
      </c>
      <c r="M454">
        <v>286</v>
      </c>
      <c r="N454">
        <v>257.39999999999998</v>
      </c>
      <c r="O454" t="s">
        <v>44</v>
      </c>
      <c r="P454">
        <v>1680</v>
      </c>
      <c r="Q454" t="s">
        <v>31</v>
      </c>
      <c r="R454" s="1">
        <v>45330</v>
      </c>
      <c r="S454">
        <v>3</v>
      </c>
      <c r="T454" t="s">
        <v>38</v>
      </c>
      <c r="U454" t="s">
        <v>43</v>
      </c>
      <c r="V454" t="s">
        <v>2150</v>
      </c>
      <c r="W454" t="s">
        <v>1244</v>
      </c>
      <c r="X454">
        <v>2300</v>
      </c>
      <c r="Y454">
        <v>250</v>
      </c>
      <c r="Z454">
        <v>750</v>
      </c>
      <c r="AA454" t="s">
        <v>2151</v>
      </c>
    </row>
    <row r="455" spans="1:27" x14ac:dyDescent="0.2">
      <c r="A455">
        <v>3449</v>
      </c>
      <c r="B455" t="s">
        <v>728</v>
      </c>
      <c r="C455" t="str">
        <f>_xlfn.CONCAT(Merge[[#This Row],[Customer First Name]]," ",Merge[[#This Row],[Customer Last Name]])</f>
        <v>Jeremiah Fischer</v>
      </c>
      <c r="D455" t="s">
        <v>729</v>
      </c>
      <c r="E455">
        <v>1681</v>
      </c>
      <c r="F455" t="s">
        <v>42</v>
      </c>
      <c r="G455" s="1">
        <v>45468</v>
      </c>
      <c r="H455">
        <v>1</v>
      </c>
      <c r="I455" t="s">
        <v>71</v>
      </c>
      <c r="J455" t="s">
        <v>53</v>
      </c>
      <c r="K455">
        <v>0.25</v>
      </c>
      <c r="L455">
        <v>411.5</v>
      </c>
      <c r="M455">
        <v>1646</v>
      </c>
      <c r="N455">
        <v>1234.5</v>
      </c>
      <c r="O455" t="s">
        <v>48</v>
      </c>
      <c r="P455">
        <v>1681</v>
      </c>
      <c r="Q455" t="s">
        <v>42</v>
      </c>
      <c r="R455" s="1">
        <v>45468</v>
      </c>
      <c r="S455">
        <v>2</v>
      </c>
      <c r="T455" t="s">
        <v>71</v>
      </c>
      <c r="U455" t="s">
        <v>53</v>
      </c>
      <c r="V455" t="s">
        <v>2152</v>
      </c>
      <c r="W455" t="s">
        <v>1305</v>
      </c>
      <c r="X455">
        <v>4000</v>
      </c>
      <c r="Y455">
        <v>300</v>
      </c>
      <c r="Z455">
        <v>600</v>
      </c>
      <c r="AA455" t="s">
        <v>2153</v>
      </c>
    </row>
    <row r="456" spans="1:27" x14ac:dyDescent="0.2">
      <c r="A456">
        <v>3450</v>
      </c>
      <c r="B456" t="s">
        <v>128</v>
      </c>
      <c r="C456" t="str">
        <f>_xlfn.CONCAT(Merge[[#This Row],[Customer First Name]]," ",Merge[[#This Row],[Customer Last Name]])</f>
        <v>Alaya Collins</v>
      </c>
      <c r="D456" t="s">
        <v>730</v>
      </c>
      <c r="E456">
        <v>1682</v>
      </c>
      <c r="F456" t="s">
        <v>37</v>
      </c>
      <c r="G456" s="1">
        <v>45458</v>
      </c>
      <c r="H456">
        <v>3</v>
      </c>
      <c r="I456" t="s">
        <v>71</v>
      </c>
      <c r="J456" t="s">
        <v>64</v>
      </c>
      <c r="K456">
        <v>0.3</v>
      </c>
      <c r="L456">
        <v>539.4</v>
      </c>
      <c r="M456">
        <v>1798</v>
      </c>
      <c r="N456">
        <v>1258.5999999999999</v>
      </c>
      <c r="O456" t="s">
        <v>34</v>
      </c>
      <c r="P456">
        <v>1682</v>
      </c>
      <c r="Q456" t="s">
        <v>37</v>
      </c>
      <c r="R456" s="1">
        <v>45458</v>
      </c>
      <c r="S456">
        <v>2</v>
      </c>
      <c r="T456" t="s">
        <v>71</v>
      </c>
      <c r="U456" t="s">
        <v>64</v>
      </c>
      <c r="V456" t="s">
        <v>2154</v>
      </c>
      <c r="W456" t="s">
        <v>1400</v>
      </c>
      <c r="X456">
        <v>7310</v>
      </c>
      <c r="Y456">
        <v>800</v>
      </c>
      <c r="Z456">
        <v>1600</v>
      </c>
      <c r="AA456" t="s">
        <v>2155</v>
      </c>
    </row>
    <row r="457" spans="1:27" x14ac:dyDescent="0.2">
      <c r="A457">
        <v>3451</v>
      </c>
      <c r="B457" t="s">
        <v>731</v>
      </c>
      <c r="C457" t="str">
        <f>_xlfn.CONCAT(Merge[[#This Row],[Customer First Name]]," ",Merge[[#This Row],[Customer Last Name]])</f>
        <v>Ada Small</v>
      </c>
      <c r="D457" t="s">
        <v>732</v>
      </c>
      <c r="E457">
        <v>1683</v>
      </c>
      <c r="F457" t="s">
        <v>51</v>
      </c>
      <c r="G457" s="1">
        <v>45334</v>
      </c>
      <c r="H457">
        <v>2</v>
      </c>
      <c r="I457" t="s">
        <v>32</v>
      </c>
      <c r="J457" t="s">
        <v>53</v>
      </c>
      <c r="K457">
        <v>0.2</v>
      </c>
      <c r="L457">
        <v>302.2</v>
      </c>
      <c r="M457">
        <v>1511</v>
      </c>
      <c r="N457">
        <v>1208.8</v>
      </c>
      <c r="O457" t="s">
        <v>34</v>
      </c>
      <c r="P457">
        <v>1683</v>
      </c>
      <c r="Q457" t="s">
        <v>51</v>
      </c>
      <c r="R457" s="1">
        <v>45334</v>
      </c>
      <c r="S457">
        <v>3</v>
      </c>
      <c r="T457" t="s">
        <v>32</v>
      </c>
      <c r="U457" t="s">
        <v>53</v>
      </c>
      <c r="V457" t="s">
        <v>2156</v>
      </c>
      <c r="W457" t="s">
        <v>1250</v>
      </c>
      <c r="X457">
        <v>4217</v>
      </c>
      <c r="Y457">
        <v>250</v>
      </c>
      <c r="Z457">
        <v>750</v>
      </c>
      <c r="AA457" t="s">
        <v>2157</v>
      </c>
    </row>
    <row r="458" spans="1:27" x14ac:dyDescent="0.2">
      <c r="A458">
        <v>3452</v>
      </c>
      <c r="B458" t="s">
        <v>733</v>
      </c>
      <c r="C458" t="str">
        <f>_xlfn.CONCAT(Merge[[#This Row],[Customer First Name]]," ",Merge[[#This Row],[Customer Last Name]])</f>
        <v>Aylin Perez</v>
      </c>
      <c r="D458" t="s">
        <v>599</v>
      </c>
      <c r="E458">
        <v>1684</v>
      </c>
      <c r="F458" t="s">
        <v>31</v>
      </c>
      <c r="G458" s="1">
        <v>45322</v>
      </c>
      <c r="H458">
        <v>1</v>
      </c>
      <c r="I458" t="s">
        <v>38</v>
      </c>
      <c r="J458" t="s">
        <v>47</v>
      </c>
      <c r="K458">
        <v>0.1</v>
      </c>
      <c r="L458">
        <v>59.800000000000004</v>
      </c>
      <c r="M458">
        <v>598</v>
      </c>
      <c r="N458">
        <v>538.20000000000005</v>
      </c>
      <c r="O458" t="s">
        <v>114</v>
      </c>
      <c r="P458">
        <v>1684</v>
      </c>
      <c r="Q458" t="s">
        <v>31</v>
      </c>
      <c r="R458" s="1">
        <v>45322</v>
      </c>
      <c r="S458">
        <v>3</v>
      </c>
      <c r="T458" t="s">
        <v>38</v>
      </c>
      <c r="U458" t="s">
        <v>47</v>
      </c>
      <c r="V458" t="s">
        <v>2158</v>
      </c>
      <c r="W458" t="s">
        <v>1256</v>
      </c>
      <c r="X458">
        <v>3220</v>
      </c>
      <c r="Y458">
        <v>250</v>
      </c>
      <c r="Z458">
        <v>750</v>
      </c>
      <c r="AA458" t="s">
        <v>2159</v>
      </c>
    </row>
    <row r="459" spans="1:27" x14ac:dyDescent="0.2">
      <c r="A459">
        <v>3453</v>
      </c>
      <c r="B459" t="s">
        <v>734</v>
      </c>
      <c r="C459" t="str">
        <f>_xlfn.CONCAT(Merge[[#This Row],[Customer First Name]]," ",Merge[[#This Row],[Customer Last Name]])</f>
        <v>Chance Greene</v>
      </c>
      <c r="D459" t="s">
        <v>188</v>
      </c>
      <c r="E459">
        <v>1685</v>
      </c>
      <c r="F459" t="s">
        <v>31</v>
      </c>
      <c r="G459" s="1">
        <v>45375</v>
      </c>
      <c r="H459">
        <v>2</v>
      </c>
      <c r="I459" t="s">
        <v>32</v>
      </c>
      <c r="J459" t="s">
        <v>81</v>
      </c>
      <c r="K459">
        <v>0.1</v>
      </c>
      <c r="L459">
        <v>114.5</v>
      </c>
      <c r="M459">
        <v>1145</v>
      </c>
      <c r="N459">
        <v>1030.5</v>
      </c>
      <c r="O459" t="s">
        <v>48</v>
      </c>
      <c r="P459">
        <v>1685</v>
      </c>
      <c r="Q459" t="s">
        <v>31</v>
      </c>
      <c r="R459" s="1">
        <v>45375</v>
      </c>
      <c r="S459">
        <v>1</v>
      </c>
      <c r="T459" t="s">
        <v>32</v>
      </c>
      <c r="U459" t="s">
        <v>81</v>
      </c>
      <c r="V459" t="s">
        <v>2160</v>
      </c>
      <c r="W459" t="s">
        <v>1280</v>
      </c>
      <c r="X459">
        <v>800</v>
      </c>
      <c r="Y459">
        <v>250</v>
      </c>
      <c r="Z459">
        <v>250</v>
      </c>
      <c r="AA459" t="s">
        <v>2161</v>
      </c>
    </row>
    <row r="460" spans="1:27" x14ac:dyDescent="0.2">
      <c r="A460">
        <v>3454</v>
      </c>
      <c r="B460" t="s">
        <v>217</v>
      </c>
      <c r="C460" t="str">
        <f>_xlfn.CONCAT(Merge[[#This Row],[Customer First Name]]," ",Merge[[#This Row],[Customer Last Name]])</f>
        <v>Rylie Ballard</v>
      </c>
      <c r="D460" t="s">
        <v>735</v>
      </c>
      <c r="E460">
        <v>1686</v>
      </c>
      <c r="F460" t="s">
        <v>76</v>
      </c>
      <c r="G460" s="1">
        <v>45591</v>
      </c>
      <c r="H460">
        <v>2</v>
      </c>
      <c r="I460" t="s">
        <v>32</v>
      </c>
      <c r="J460" t="s">
        <v>81</v>
      </c>
      <c r="K460">
        <v>0.25</v>
      </c>
      <c r="L460">
        <v>254.25</v>
      </c>
      <c r="M460">
        <v>1017</v>
      </c>
      <c r="N460">
        <v>762.75</v>
      </c>
      <c r="O460" t="s">
        <v>48</v>
      </c>
      <c r="P460">
        <v>1686</v>
      </c>
      <c r="Q460" t="s">
        <v>76</v>
      </c>
      <c r="R460" s="1">
        <v>45591</v>
      </c>
      <c r="S460">
        <v>2</v>
      </c>
      <c r="T460" t="s">
        <v>32</v>
      </c>
      <c r="U460" t="s">
        <v>81</v>
      </c>
      <c r="V460" t="s">
        <v>2162</v>
      </c>
      <c r="W460" t="s">
        <v>1280</v>
      </c>
      <c r="X460">
        <v>800</v>
      </c>
      <c r="Y460">
        <v>1200</v>
      </c>
      <c r="Z460">
        <v>2400</v>
      </c>
      <c r="AA460" t="s">
        <v>2163</v>
      </c>
    </row>
    <row r="461" spans="1:27" x14ac:dyDescent="0.2">
      <c r="A461">
        <v>3455</v>
      </c>
      <c r="B461" t="s">
        <v>736</v>
      </c>
      <c r="C461" t="str">
        <f>_xlfn.CONCAT(Merge[[#This Row],[Customer First Name]]," ",Merge[[#This Row],[Customer Last Name]])</f>
        <v>Kimberly Nguyen</v>
      </c>
      <c r="D461" t="s">
        <v>527</v>
      </c>
      <c r="E461">
        <v>1687</v>
      </c>
      <c r="F461" t="s">
        <v>51</v>
      </c>
      <c r="G461" s="1">
        <v>45424</v>
      </c>
      <c r="H461">
        <v>1</v>
      </c>
      <c r="I461" t="s">
        <v>52</v>
      </c>
      <c r="J461" t="s">
        <v>53</v>
      </c>
      <c r="K461">
        <v>0.2</v>
      </c>
      <c r="L461">
        <v>170.8</v>
      </c>
      <c r="M461">
        <v>854</v>
      </c>
      <c r="N461">
        <v>683.2</v>
      </c>
      <c r="O461" t="s">
        <v>114</v>
      </c>
      <c r="P461">
        <v>1687</v>
      </c>
      <c r="Q461" t="s">
        <v>51</v>
      </c>
      <c r="R461" s="1">
        <v>45424</v>
      </c>
      <c r="S461">
        <v>1</v>
      </c>
      <c r="T461" t="s">
        <v>52</v>
      </c>
      <c r="U461" t="s">
        <v>53</v>
      </c>
      <c r="V461" t="s">
        <v>2164</v>
      </c>
      <c r="W461" t="s">
        <v>1268</v>
      </c>
      <c r="X461">
        <v>4870</v>
      </c>
      <c r="Y461">
        <v>250</v>
      </c>
      <c r="Z461">
        <v>250</v>
      </c>
      <c r="AA461" t="s">
        <v>2165</v>
      </c>
    </row>
    <row r="462" spans="1:27" x14ac:dyDescent="0.2">
      <c r="A462">
        <v>3456</v>
      </c>
      <c r="B462" t="s">
        <v>737</v>
      </c>
      <c r="C462" t="str">
        <f>_xlfn.CONCAT(Merge[[#This Row],[Customer First Name]]," ",Merge[[#This Row],[Customer Last Name]])</f>
        <v>Kobe Alfaro</v>
      </c>
      <c r="D462" t="s">
        <v>405</v>
      </c>
      <c r="E462">
        <v>1688</v>
      </c>
      <c r="F462" t="s">
        <v>51</v>
      </c>
      <c r="G462" s="1">
        <v>45462</v>
      </c>
      <c r="H462">
        <v>2</v>
      </c>
      <c r="I462" t="s">
        <v>32</v>
      </c>
      <c r="J462" t="s">
        <v>81</v>
      </c>
      <c r="K462">
        <v>0.2</v>
      </c>
      <c r="L462">
        <v>152.80000000000001</v>
      </c>
      <c r="M462">
        <v>764</v>
      </c>
      <c r="N462">
        <v>611.20000000000005</v>
      </c>
      <c r="O462" t="s">
        <v>54</v>
      </c>
      <c r="P462">
        <v>1688</v>
      </c>
      <c r="Q462" t="s">
        <v>51</v>
      </c>
      <c r="R462" s="1">
        <v>45462</v>
      </c>
      <c r="S462">
        <v>3</v>
      </c>
      <c r="T462" t="s">
        <v>32</v>
      </c>
      <c r="U462" t="s">
        <v>81</v>
      </c>
      <c r="V462" t="s">
        <v>2166</v>
      </c>
      <c r="W462" t="s">
        <v>1361</v>
      </c>
      <c r="X462">
        <v>870</v>
      </c>
      <c r="Y462">
        <v>250</v>
      </c>
      <c r="Z462">
        <v>750</v>
      </c>
      <c r="AA462" t="s">
        <v>2167</v>
      </c>
    </row>
    <row r="463" spans="1:27" x14ac:dyDescent="0.2">
      <c r="A463">
        <v>3457</v>
      </c>
      <c r="B463" t="s">
        <v>738</v>
      </c>
      <c r="C463" t="str">
        <f>_xlfn.CONCAT(Merge[[#This Row],[Customer First Name]]," ",Merge[[#This Row],[Customer Last Name]])</f>
        <v>Sienna Hensley</v>
      </c>
      <c r="D463" t="s">
        <v>739</v>
      </c>
      <c r="E463">
        <v>1689</v>
      </c>
      <c r="F463" t="s">
        <v>37</v>
      </c>
      <c r="G463" s="1">
        <v>45571</v>
      </c>
      <c r="H463">
        <v>3</v>
      </c>
      <c r="I463" t="s">
        <v>32</v>
      </c>
      <c r="J463" t="s">
        <v>64</v>
      </c>
      <c r="K463">
        <v>0.3</v>
      </c>
      <c r="L463">
        <v>204.29999999999998</v>
      </c>
      <c r="M463">
        <v>681</v>
      </c>
      <c r="N463">
        <v>476.70000000000005</v>
      </c>
      <c r="O463" t="s">
        <v>34</v>
      </c>
      <c r="P463">
        <v>1689</v>
      </c>
      <c r="Q463" t="s">
        <v>37</v>
      </c>
      <c r="R463" s="1">
        <v>45571</v>
      </c>
      <c r="S463">
        <v>3</v>
      </c>
      <c r="T463" t="s">
        <v>32</v>
      </c>
      <c r="U463" t="s">
        <v>64</v>
      </c>
      <c r="V463" t="s">
        <v>2168</v>
      </c>
      <c r="W463" t="s">
        <v>1262</v>
      </c>
      <c r="X463">
        <v>7250</v>
      </c>
      <c r="Y463">
        <v>800</v>
      </c>
      <c r="Z463">
        <v>2400</v>
      </c>
      <c r="AA463" t="s">
        <v>2169</v>
      </c>
    </row>
    <row r="464" spans="1:27" x14ac:dyDescent="0.2">
      <c r="A464">
        <v>3458</v>
      </c>
      <c r="B464" t="s">
        <v>740</v>
      </c>
      <c r="C464" t="str">
        <f>_xlfn.CONCAT(Merge[[#This Row],[Customer First Name]]," ",Merge[[#This Row],[Customer Last Name]])</f>
        <v>Landon Stevenson</v>
      </c>
      <c r="D464" t="s">
        <v>741</v>
      </c>
      <c r="E464">
        <v>1690</v>
      </c>
      <c r="F464" t="s">
        <v>42</v>
      </c>
      <c r="G464" s="1">
        <v>45497</v>
      </c>
      <c r="H464">
        <v>3</v>
      </c>
      <c r="I464" t="s">
        <v>32</v>
      </c>
      <c r="J464" t="s">
        <v>81</v>
      </c>
      <c r="K464">
        <v>0.25</v>
      </c>
      <c r="L464">
        <v>125.25</v>
      </c>
      <c r="M464">
        <v>501</v>
      </c>
      <c r="N464">
        <v>375.75</v>
      </c>
      <c r="O464" t="s">
        <v>44</v>
      </c>
      <c r="P464">
        <v>1690</v>
      </c>
      <c r="Q464" t="s">
        <v>42</v>
      </c>
      <c r="R464" s="1">
        <v>45497</v>
      </c>
      <c r="S464">
        <v>2</v>
      </c>
      <c r="T464" t="s">
        <v>32</v>
      </c>
      <c r="U464" t="s">
        <v>81</v>
      </c>
      <c r="V464" t="s">
        <v>2170</v>
      </c>
      <c r="W464" t="s">
        <v>1280</v>
      </c>
      <c r="X464">
        <v>800</v>
      </c>
      <c r="Y464">
        <v>300</v>
      </c>
      <c r="Z464">
        <v>600</v>
      </c>
      <c r="AA464" t="s">
        <v>2171</v>
      </c>
    </row>
    <row r="465" spans="1:27" x14ac:dyDescent="0.2">
      <c r="A465">
        <v>3459</v>
      </c>
      <c r="B465" t="s">
        <v>742</v>
      </c>
      <c r="C465" t="str">
        <f>_xlfn.CONCAT(Merge[[#This Row],[Customer First Name]]," ",Merge[[#This Row],[Customer Last Name]])</f>
        <v>Jax Pruitt</v>
      </c>
      <c r="D465" t="s">
        <v>743</v>
      </c>
      <c r="E465">
        <v>1691</v>
      </c>
      <c r="F465" t="s">
        <v>42</v>
      </c>
      <c r="G465" s="1">
        <v>45353</v>
      </c>
      <c r="H465">
        <v>1</v>
      </c>
      <c r="I465" t="s">
        <v>52</v>
      </c>
      <c r="J465" t="s">
        <v>81</v>
      </c>
      <c r="K465">
        <v>0.25</v>
      </c>
      <c r="L465">
        <v>403.75</v>
      </c>
      <c r="M465">
        <v>1615</v>
      </c>
      <c r="N465">
        <v>1211.25</v>
      </c>
      <c r="O465" t="s">
        <v>48</v>
      </c>
      <c r="P465">
        <v>1691</v>
      </c>
      <c r="Q465" t="s">
        <v>42</v>
      </c>
      <c r="R465" s="1">
        <v>45353</v>
      </c>
      <c r="S465">
        <v>1</v>
      </c>
      <c r="T465" t="s">
        <v>52</v>
      </c>
      <c r="U465" t="s">
        <v>81</v>
      </c>
      <c r="V465" t="s">
        <v>2172</v>
      </c>
      <c r="W465" t="s">
        <v>1361</v>
      </c>
      <c r="X465">
        <v>870</v>
      </c>
      <c r="Y465">
        <v>300</v>
      </c>
      <c r="Z465">
        <v>300</v>
      </c>
      <c r="AA465" t="s">
        <v>2173</v>
      </c>
    </row>
    <row r="466" spans="1:27" x14ac:dyDescent="0.2">
      <c r="A466">
        <v>3460</v>
      </c>
      <c r="B466" t="s">
        <v>744</v>
      </c>
      <c r="C466" t="str">
        <f>_xlfn.CONCAT(Merge[[#This Row],[Customer First Name]]," ",Merge[[#This Row],[Customer Last Name]])</f>
        <v>Aubrey Best</v>
      </c>
      <c r="D466" t="s">
        <v>745</v>
      </c>
      <c r="E466">
        <v>1692</v>
      </c>
      <c r="F466" t="s">
        <v>92</v>
      </c>
      <c r="G466" s="1">
        <v>45484</v>
      </c>
      <c r="H466">
        <v>3</v>
      </c>
      <c r="I466" t="s">
        <v>52</v>
      </c>
      <c r="J466" t="s">
        <v>57</v>
      </c>
      <c r="K466">
        <v>0.3</v>
      </c>
      <c r="L466">
        <v>247.5</v>
      </c>
      <c r="M466">
        <v>825</v>
      </c>
      <c r="N466">
        <v>577.5</v>
      </c>
      <c r="O466" t="s">
        <v>34</v>
      </c>
      <c r="P466">
        <v>1692</v>
      </c>
      <c r="Q466" t="s">
        <v>92</v>
      </c>
      <c r="R466" s="1">
        <v>45484</v>
      </c>
      <c r="S466">
        <v>2</v>
      </c>
      <c r="T466" t="s">
        <v>52</v>
      </c>
      <c r="U466" t="s">
        <v>57</v>
      </c>
      <c r="V466" t="s">
        <v>2174</v>
      </c>
      <c r="W466" t="s">
        <v>1350</v>
      </c>
      <c r="X466">
        <v>5600</v>
      </c>
      <c r="Y466">
        <v>600</v>
      </c>
      <c r="Z466">
        <v>1200</v>
      </c>
      <c r="AA466" t="s">
        <v>2175</v>
      </c>
    </row>
    <row r="467" spans="1:27" x14ac:dyDescent="0.2">
      <c r="A467">
        <v>3461</v>
      </c>
      <c r="B467" t="s">
        <v>746</v>
      </c>
      <c r="C467" t="str">
        <f>_xlfn.CONCAT(Merge[[#This Row],[Customer First Name]]," ",Merge[[#This Row],[Customer Last Name]])</f>
        <v>Emanuel Barrett</v>
      </c>
      <c r="D467" t="s">
        <v>228</v>
      </c>
      <c r="E467">
        <v>1693</v>
      </c>
      <c r="F467" t="s">
        <v>76</v>
      </c>
      <c r="G467" s="1">
        <v>45607</v>
      </c>
      <c r="H467">
        <v>3</v>
      </c>
      <c r="I467" t="s">
        <v>52</v>
      </c>
      <c r="J467" t="s">
        <v>57</v>
      </c>
      <c r="K467">
        <v>0.25</v>
      </c>
      <c r="L467">
        <v>184.25</v>
      </c>
      <c r="M467">
        <v>737</v>
      </c>
      <c r="N467">
        <v>552.75</v>
      </c>
      <c r="O467" t="s">
        <v>34</v>
      </c>
      <c r="P467">
        <v>1693</v>
      </c>
      <c r="Q467" t="s">
        <v>76</v>
      </c>
      <c r="R467" s="1">
        <v>45607</v>
      </c>
      <c r="S467">
        <v>2</v>
      </c>
      <c r="T467" t="s">
        <v>52</v>
      </c>
      <c r="U467" t="s">
        <v>57</v>
      </c>
      <c r="V467" t="s">
        <v>2176</v>
      </c>
      <c r="W467" t="s">
        <v>1350</v>
      </c>
      <c r="X467">
        <v>5600</v>
      </c>
      <c r="Y467">
        <v>1200</v>
      </c>
      <c r="Z467">
        <v>2400</v>
      </c>
      <c r="AA467" t="s">
        <v>2177</v>
      </c>
    </row>
    <row r="468" spans="1:27" x14ac:dyDescent="0.2">
      <c r="A468">
        <v>3462</v>
      </c>
      <c r="B468" t="s">
        <v>708</v>
      </c>
      <c r="C468" t="str">
        <f>_xlfn.CONCAT(Merge[[#This Row],[Customer First Name]]," ",Merge[[#This Row],[Customer Last Name]])</f>
        <v>Santiago Sandoval</v>
      </c>
      <c r="D468" t="s">
        <v>454</v>
      </c>
      <c r="E468">
        <v>1694</v>
      </c>
      <c r="F468" t="s">
        <v>76</v>
      </c>
      <c r="G468" s="1">
        <v>45370</v>
      </c>
      <c r="H468">
        <v>3</v>
      </c>
      <c r="I468" t="s">
        <v>38</v>
      </c>
      <c r="J468" t="s">
        <v>64</v>
      </c>
      <c r="K468">
        <v>0.25</v>
      </c>
      <c r="L468">
        <v>316.75</v>
      </c>
      <c r="M468">
        <v>1267</v>
      </c>
      <c r="N468">
        <v>950.25</v>
      </c>
      <c r="O468" t="s">
        <v>114</v>
      </c>
      <c r="P468">
        <v>1694</v>
      </c>
      <c r="Q468" t="s">
        <v>76</v>
      </c>
      <c r="R468" s="1">
        <v>45370</v>
      </c>
      <c r="S468">
        <v>1</v>
      </c>
      <c r="T468" t="s">
        <v>38</v>
      </c>
      <c r="U468" t="s">
        <v>64</v>
      </c>
      <c r="V468" t="s">
        <v>2178</v>
      </c>
      <c r="W468" t="s">
        <v>1262</v>
      </c>
      <c r="X468">
        <v>7250</v>
      </c>
      <c r="Y468">
        <v>1200</v>
      </c>
      <c r="Z468">
        <v>1200</v>
      </c>
      <c r="AA468" t="s">
        <v>2179</v>
      </c>
    </row>
    <row r="469" spans="1:27" x14ac:dyDescent="0.2">
      <c r="A469">
        <v>3463</v>
      </c>
      <c r="B469" t="s">
        <v>502</v>
      </c>
      <c r="C469" t="str">
        <f>_xlfn.CONCAT(Merge[[#This Row],[Customer First Name]]," ",Merge[[#This Row],[Customer Last Name]])</f>
        <v>Matteo Kaur</v>
      </c>
      <c r="D469" t="s">
        <v>747</v>
      </c>
      <c r="E469">
        <v>1695</v>
      </c>
      <c r="F469" t="s">
        <v>42</v>
      </c>
      <c r="G469" s="1">
        <v>45402</v>
      </c>
      <c r="H469">
        <v>1</v>
      </c>
      <c r="I469" t="s">
        <v>32</v>
      </c>
      <c r="J469" t="s">
        <v>33</v>
      </c>
      <c r="K469">
        <v>0.25</v>
      </c>
      <c r="L469">
        <v>30</v>
      </c>
      <c r="M469">
        <v>120</v>
      </c>
      <c r="N469">
        <v>90</v>
      </c>
      <c r="O469" t="s">
        <v>44</v>
      </c>
      <c r="P469">
        <v>1695</v>
      </c>
      <c r="Q469" t="s">
        <v>42</v>
      </c>
      <c r="R469" s="1">
        <v>45402</v>
      </c>
      <c r="S469">
        <v>1</v>
      </c>
      <c r="T469" t="s">
        <v>32</v>
      </c>
      <c r="U469" t="s">
        <v>33</v>
      </c>
      <c r="V469" t="s">
        <v>2180</v>
      </c>
      <c r="W469" t="s">
        <v>1259</v>
      </c>
      <c r="X469">
        <v>6160</v>
      </c>
      <c r="Y469">
        <v>300</v>
      </c>
      <c r="Z469">
        <v>300</v>
      </c>
      <c r="AA469" t="s">
        <v>2181</v>
      </c>
    </row>
    <row r="470" spans="1:27" x14ac:dyDescent="0.2">
      <c r="A470">
        <v>3464</v>
      </c>
      <c r="B470" t="s">
        <v>748</v>
      </c>
      <c r="C470" t="str">
        <f>_xlfn.CONCAT(Merge[[#This Row],[Customer First Name]]," ",Merge[[#This Row],[Customer Last Name]])</f>
        <v>Richard Barker</v>
      </c>
      <c r="D470" t="s">
        <v>749</v>
      </c>
      <c r="E470">
        <v>1696</v>
      </c>
      <c r="F470" t="s">
        <v>37</v>
      </c>
      <c r="G470" s="1">
        <v>45316</v>
      </c>
      <c r="H470">
        <v>3</v>
      </c>
      <c r="I470" t="s">
        <v>52</v>
      </c>
      <c r="J470" t="s">
        <v>57</v>
      </c>
      <c r="K470">
        <v>0.3</v>
      </c>
      <c r="L470">
        <v>71.7</v>
      </c>
      <c r="M470">
        <v>239</v>
      </c>
      <c r="N470">
        <v>167.3</v>
      </c>
      <c r="O470" t="s">
        <v>54</v>
      </c>
      <c r="P470">
        <v>1696</v>
      </c>
      <c r="Q470" t="s">
        <v>37</v>
      </c>
      <c r="R470" s="1">
        <v>45316</v>
      </c>
      <c r="S470">
        <v>2</v>
      </c>
      <c r="T470" t="s">
        <v>52</v>
      </c>
      <c r="U470" t="s">
        <v>57</v>
      </c>
      <c r="V470" t="s">
        <v>2182</v>
      </c>
      <c r="W470" t="s">
        <v>1253</v>
      </c>
      <c r="X470">
        <v>5290</v>
      </c>
      <c r="Y470">
        <v>800</v>
      </c>
      <c r="Z470">
        <v>1600</v>
      </c>
      <c r="AA470" t="s">
        <v>2183</v>
      </c>
    </row>
    <row r="471" spans="1:27" x14ac:dyDescent="0.2">
      <c r="A471">
        <v>3465</v>
      </c>
      <c r="B471" t="s">
        <v>720</v>
      </c>
      <c r="C471" t="str">
        <f>_xlfn.CONCAT(Merge[[#This Row],[Customer First Name]]," ",Merge[[#This Row],[Customer Last Name]])</f>
        <v>Frances Porter</v>
      </c>
      <c r="D471" t="s">
        <v>750</v>
      </c>
      <c r="E471">
        <v>1697</v>
      </c>
      <c r="F471" t="s">
        <v>51</v>
      </c>
      <c r="G471" s="1">
        <v>45344</v>
      </c>
      <c r="H471">
        <v>1</v>
      </c>
      <c r="I471" t="s">
        <v>52</v>
      </c>
      <c r="J471" t="s">
        <v>43</v>
      </c>
      <c r="K471">
        <v>0.2</v>
      </c>
      <c r="L471">
        <v>193</v>
      </c>
      <c r="M471">
        <v>965</v>
      </c>
      <c r="N471">
        <v>772</v>
      </c>
      <c r="O471" t="s">
        <v>114</v>
      </c>
      <c r="P471">
        <v>1697</v>
      </c>
      <c r="Q471" t="s">
        <v>51</v>
      </c>
      <c r="R471" s="1">
        <v>45344</v>
      </c>
      <c r="S471">
        <v>1</v>
      </c>
      <c r="T471" t="s">
        <v>52</v>
      </c>
      <c r="U471" t="s">
        <v>43</v>
      </c>
      <c r="V471" t="s">
        <v>2184</v>
      </c>
      <c r="W471" t="s">
        <v>1299</v>
      </c>
      <c r="X471">
        <v>2500</v>
      </c>
      <c r="Y471">
        <v>250</v>
      </c>
      <c r="Z471">
        <v>250</v>
      </c>
      <c r="AA471" t="s">
        <v>2185</v>
      </c>
    </row>
    <row r="472" spans="1:27" x14ac:dyDescent="0.2">
      <c r="A472">
        <v>3466</v>
      </c>
      <c r="B472" t="s">
        <v>751</v>
      </c>
      <c r="C472" t="str">
        <f>_xlfn.CONCAT(Merge[[#This Row],[Customer First Name]]," ",Merge[[#This Row],[Customer Last Name]])</f>
        <v>Isabel Brown</v>
      </c>
      <c r="D472" t="s">
        <v>752</v>
      </c>
      <c r="E472">
        <v>1698</v>
      </c>
      <c r="F472" t="s">
        <v>51</v>
      </c>
      <c r="G472" s="1">
        <v>45369</v>
      </c>
      <c r="H472">
        <v>1</v>
      </c>
      <c r="I472" t="s">
        <v>52</v>
      </c>
      <c r="J472" t="s">
        <v>47</v>
      </c>
      <c r="K472">
        <v>0.2</v>
      </c>
      <c r="L472">
        <v>108</v>
      </c>
      <c r="M472">
        <v>540</v>
      </c>
      <c r="N472">
        <v>432</v>
      </c>
      <c r="O472" t="s">
        <v>34</v>
      </c>
      <c r="P472">
        <v>1698</v>
      </c>
      <c r="Q472" t="s">
        <v>51</v>
      </c>
      <c r="R472" s="1">
        <v>45369</v>
      </c>
      <c r="S472">
        <v>3</v>
      </c>
      <c r="T472" t="s">
        <v>52</v>
      </c>
      <c r="U472" t="s">
        <v>47</v>
      </c>
      <c r="V472" t="s">
        <v>2186</v>
      </c>
      <c r="W472" t="s">
        <v>1256</v>
      </c>
      <c r="X472">
        <v>3220</v>
      </c>
      <c r="Y472">
        <v>250</v>
      </c>
      <c r="Z472">
        <v>750</v>
      </c>
      <c r="AA472" t="s">
        <v>2187</v>
      </c>
    </row>
    <row r="473" spans="1:27" x14ac:dyDescent="0.2">
      <c r="A473">
        <v>3467</v>
      </c>
      <c r="B473" t="s">
        <v>753</v>
      </c>
      <c r="C473" t="str">
        <f>_xlfn.CONCAT(Merge[[#This Row],[Customer First Name]]," ",Merge[[#This Row],[Customer Last Name]])</f>
        <v>Stephanie Strickland</v>
      </c>
      <c r="D473" t="s">
        <v>754</v>
      </c>
      <c r="E473">
        <v>1699</v>
      </c>
      <c r="F473" t="s">
        <v>42</v>
      </c>
      <c r="G473" s="1">
        <v>45298</v>
      </c>
      <c r="H473">
        <v>1</v>
      </c>
      <c r="I473" t="s">
        <v>32</v>
      </c>
      <c r="J473" t="s">
        <v>39</v>
      </c>
      <c r="K473">
        <v>0.25</v>
      </c>
      <c r="L473">
        <v>110.5</v>
      </c>
      <c r="M473">
        <v>442</v>
      </c>
      <c r="N473">
        <v>331.5</v>
      </c>
      <c r="O473" t="s">
        <v>48</v>
      </c>
      <c r="P473">
        <v>1699</v>
      </c>
      <c r="Q473" t="s">
        <v>42</v>
      </c>
      <c r="R473" s="1">
        <v>45298</v>
      </c>
      <c r="S473">
        <v>3</v>
      </c>
      <c r="T473" t="s">
        <v>32</v>
      </c>
      <c r="U473" t="s">
        <v>39</v>
      </c>
      <c r="V473" t="s">
        <v>2188</v>
      </c>
      <c r="W473" t="s">
        <v>1241</v>
      </c>
      <c r="X473">
        <v>2600</v>
      </c>
      <c r="Y473">
        <v>300</v>
      </c>
      <c r="Z473">
        <v>900</v>
      </c>
      <c r="AA473" t="s">
        <v>2189</v>
      </c>
    </row>
    <row r="474" spans="1:27" x14ac:dyDescent="0.2">
      <c r="A474">
        <v>3468</v>
      </c>
      <c r="B474" t="s">
        <v>547</v>
      </c>
      <c r="C474" t="str">
        <f>_xlfn.CONCAT(Merge[[#This Row],[Customer First Name]]," ",Merge[[#This Row],[Customer Last Name]])</f>
        <v>Callie Nash</v>
      </c>
      <c r="D474" t="s">
        <v>319</v>
      </c>
      <c r="E474">
        <v>1700</v>
      </c>
      <c r="F474" t="s">
        <v>51</v>
      </c>
      <c r="G474" s="1">
        <v>45425</v>
      </c>
      <c r="H474">
        <v>1</v>
      </c>
      <c r="I474" t="s">
        <v>52</v>
      </c>
      <c r="J474" t="s">
        <v>57</v>
      </c>
      <c r="K474">
        <v>0.2</v>
      </c>
      <c r="L474">
        <v>143.4</v>
      </c>
      <c r="M474">
        <v>717</v>
      </c>
      <c r="N474">
        <v>573.6</v>
      </c>
      <c r="O474" t="s">
        <v>44</v>
      </c>
      <c r="P474">
        <v>1700</v>
      </c>
      <c r="Q474" t="s">
        <v>51</v>
      </c>
      <c r="R474" s="1">
        <v>45425</v>
      </c>
      <c r="S474">
        <v>3</v>
      </c>
      <c r="T474" t="s">
        <v>52</v>
      </c>
      <c r="U474" t="s">
        <v>57</v>
      </c>
      <c r="V474" t="s">
        <v>2190</v>
      </c>
      <c r="W474" t="s">
        <v>1253</v>
      </c>
      <c r="X474">
        <v>5290</v>
      </c>
      <c r="Y474">
        <v>250</v>
      </c>
      <c r="Z474">
        <v>750</v>
      </c>
      <c r="AA474" t="s">
        <v>2191</v>
      </c>
    </row>
    <row r="475" spans="1:27" x14ac:dyDescent="0.2">
      <c r="A475">
        <v>3469</v>
      </c>
      <c r="B475" t="s">
        <v>755</v>
      </c>
      <c r="C475" t="str">
        <f>_xlfn.CONCAT(Merge[[#This Row],[Customer First Name]]," ",Merge[[#This Row],[Customer Last Name]])</f>
        <v>Legacy Brandt</v>
      </c>
      <c r="D475" t="s">
        <v>181</v>
      </c>
      <c r="E475">
        <v>1701</v>
      </c>
      <c r="F475" t="s">
        <v>51</v>
      </c>
      <c r="G475" s="1">
        <v>45504</v>
      </c>
      <c r="H475">
        <v>3</v>
      </c>
      <c r="I475" t="s">
        <v>38</v>
      </c>
      <c r="J475" t="s">
        <v>53</v>
      </c>
      <c r="K475">
        <v>0.2</v>
      </c>
      <c r="L475">
        <v>252</v>
      </c>
      <c r="M475">
        <v>1260</v>
      </c>
      <c r="N475">
        <v>1008</v>
      </c>
      <c r="O475" t="s">
        <v>44</v>
      </c>
      <c r="P475">
        <v>1701</v>
      </c>
      <c r="Q475" t="s">
        <v>51</v>
      </c>
      <c r="R475" s="1">
        <v>45504</v>
      </c>
      <c r="S475">
        <v>2</v>
      </c>
      <c r="T475" t="s">
        <v>38</v>
      </c>
      <c r="U475" t="s">
        <v>53</v>
      </c>
      <c r="V475" t="s">
        <v>2192</v>
      </c>
      <c r="W475" t="s">
        <v>1250</v>
      </c>
      <c r="X475">
        <v>4217</v>
      </c>
      <c r="Y475">
        <v>250</v>
      </c>
      <c r="Z475">
        <v>500</v>
      </c>
      <c r="AA475" t="s">
        <v>2193</v>
      </c>
    </row>
    <row r="476" spans="1:27" x14ac:dyDescent="0.2">
      <c r="A476">
        <v>3470</v>
      </c>
      <c r="B476" t="s">
        <v>756</v>
      </c>
      <c r="C476" t="str">
        <f>_xlfn.CONCAT(Merge[[#This Row],[Customer First Name]]," ",Merge[[#This Row],[Customer Last Name]])</f>
        <v>William Durham</v>
      </c>
      <c r="D476" t="s">
        <v>757</v>
      </c>
      <c r="E476">
        <v>1702</v>
      </c>
      <c r="F476" t="s">
        <v>37</v>
      </c>
      <c r="G476" s="1">
        <v>45515</v>
      </c>
      <c r="H476">
        <v>3</v>
      </c>
      <c r="I476" t="s">
        <v>32</v>
      </c>
      <c r="J476" t="s">
        <v>39</v>
      </c>
      <c r="K476">
        <v>0.3</v>
      </c>
      <c r="L476">
        <v>107.1</v>
      </c>
      <c r="M476">
        <v>357</v>
      </c>
      <c r="N476">
        <v>249.9</v>
      </c>
      <c r="O476" t="s">
        <v>114</v>
      </c>
      <c r="P476">
        <v>1702</v>
      </c>
      <c r="Q476" t="s">
        <v>37</v>
      </c>
      <c r="R476" s="1">
        <v>45515</v>
      </c>
      <c r="S476">
        <v>3</v>
      </c>
      <c r="T476" t="s">
        <v>32</v>
      </c>
      <c r="U476" t="s">
        <v>39</v>
      </c>
      <c r="V476" t="s">
        <v>2194</v>
      </c>
      <c r="W476" t="s">
        <v>1241</v>
      </c>
      <c r="X476">
        <v>2600</v>
      </c>
      <c r="Y476">
        <v>800</v>
      </c>
      <c r="Z476">
        <v>2400</v>
      </c>
      <c r="AA476" t="s">
        <v>2195</v>
      </c>
    </row>
    <row r="477" spans="1:27" x14ac:dyDescent="0.2">
      <c r="A477">
        <v>3471</v>
      </c>
      <c r="B477" t="s">
        <v>758</v>
      </c>
      <c r="C477" t="str">
        <f>_xlfn.CONCAT(Merge[[#This Row],[Customer First Name]]," ",Merge[[#This Row],[Customer Last Name]])</f>
        <v>Morgan Myers</v>
      </c>
      <c r="D477" t="s">
        <v>632</v>
      </c>
      <c r="E477">
        <v>1703</v>
      </c>
      <c r="F477" t="s">
        <v>42</v>
      </c>
      <c r="G477" s="1">
        <v>45604</v>
      </c>
      <c r="H477">
        <v>3</v>
      </c>
      <c r="I477" t="s">
        <v>52</v>
      </c>
      <c r="J477" t="s">
        <v>81</v>
      </c>
      <c r="K477">
        <v>0.25</v>
      </c>
      <c r="L477">
        <v>297</v>
      </c>
      <c r="M477">
        <v>1188</v>
      </c>
      <c r="N477">
        <v>891</v>
      </c>
      <c r="O477" t="s">
        <v>34</v>
      </c>
      <c r="P477">
        <v>1703</v>
      </c>
      <c r="Q477" t="s">
        <v>42</v>
      </c>
      <c r="R477" s="1">
        <v>45604</v>
      </c>
      <c r="S477">
        <v>2</v>
      </c>
      <c r="T477" t="s">
        <v>52</v>
      </c>
      <c r="U477" t="s">
        <v>81</v>
      </c>
      <c r="V477" t="s">
        <v>2196</v>
      </c>
      <c r="W477" t="s">
        <v>1280</v>
      </c>
      <c r="X477">
        <v>800</v>
      </c>
      <c r="Y477">
        <v>300</v>
      </c>
      <c r="Z477">
        <v>600</v>
      </c>
      <c r="AA477" t="s">
        <v>2197</v>
      </c>
    </row>
    <row r="478" spans="1:27" x14ac:dyDescent="0.2">
      <c r="A478">
        <v>3472</v>
      </c>
      <c r="B478" t="s">
        <v>759</v>
      </c>
      <c r="C478" t="str">
        <f>_xlfn.CONCAT(Merge[[#This Row],[Customer First Name]]," ",Merge[[#This Row],[Customer Last Name]])</f>
        <v>Aubrey Brewer</v>
      </c>
      <c r="D478" t="s">
        <v>745</v>
      </c>
      <c r="E478">
        <v>1704</v>
      </c>
      <c r="F478" t="s">
        <v>51</v>
      </c>
      <c r="G478" s="1">
        <v>45300</v>
      </c>
      <c r="H478">
        <v>3</v>
      </c>
      <c r="I478" t="s">
        <v>71</v>
      </c>
      <c r="J478" t="s">
        <v>43</v>
      </c>
      <c r="K478">
        <v>0.2</v>
      </c>
      <c r="L478">
        <v>154.60000000000002</v>
      </c>
      <c r="M478">
        <v>773</v>
      </c>
      <c r="N478">
        <v>618.4</v>
      </c>
      <c r="O478" t="s">
        <v>114</v>
      </c>
      <c r="P478">
        <v>1704</v>
      </c>
      <c r="Q478" t="s">
        <v>51</v>
      </c>
      <c r="R478" s="1">
        <v>45300</v>
      </c>
      <c r="S478">
        <v>1</v>
      </c>
      <c r="T478" t="s">
        <v>71</v>
      </c>
      <c r="U478" t="s">
        <v>43</v>
      </c>
      <c r="V478" t="s">
        <v>2198</v>
      </c>
      <c r="W478" t="s">
        <v>1299</v>
      </c>
      <c r="X478">
        <v>2500</v>
      </c>
      <c r="Y478">
        <v>250</v>
      </c>
      <c r="Z478">
        <v>250</v>
      </c>
      <c r="AA478" t="s">
        <v>2199</v>
      </c>
    </row>
    <row r="479" spans="1:27" x14ac:dyDescent="0.2">
      <c r="A479">
        <v>3473</v>
      </c>
      <c r="B479" t="s">
        <v>760</v>
      </c>
      <c r="C479" t="str">
        <f>_xlfn.CONCAT(Merge[[#This Row],[Customer First Name]]," ",Merge[[#This Row],[Customer Last Name]])</f>
        <v>Rory Lucas</v>
      </c>
      <c r="D479" t="s">
        <v>270</v>
      </c>
      <c r="E479">
        <v>1705</v>
      </c>
      <c r="F479" t="s">
        <v>76</v>
      </c>
      <c r="G479" s="1">
        <v>45360</v>
      </c>
      <c r="H479">
        <v>1</v>
      </c>
      <c r="I479" t="s">
        <v>52</v>
      </c>
      <c r="J479" t="s">
        <v>43</v>
      </c>
      <c r="K479">
        <v>0.25</v>
      </c>
      <c r="L479">
        <v>83.5</v>
      </c>
      <c r="M479">
        <v>334</v>
      </c>
      <c r="N479">
        <v>250.5</v>
      </c>
      <c r="O479" t="s">
        <v>54</v>
      </c>
      <c r="P479">
        <v>1705</v>
      </c>
      <c r="Q479" t="s">
        <v>76</v>
      </c>
      <c r="R479" s="1">
        <v>45360</v>
      </c>
      <c r="S479">
        <v>2</v>
      </c>
      <c r="T479" t="s">
        <v>52</v>
      </c>
      <c r="U479" t="s">
        <v>43</v>
      </c>
      <c r="V479" t="s">
        <v>2200</v>
      </c>
      <c r="W479" t="s">
        <v>1244</v>
      </c>
      <c r="X479">
        <v>2300</v>
      </c>
      <c r="Y479">
        <v>1200</v>
      </c>
      <c r="Z479">
        <v>2400</v>
      </c>
      <c r="AA479" t="s">
        <v>2201</v>
      </c>
    </row>
    <row r="480" spans="1:27" x14ac:dyDescent="0.2">
      <c r="A480">
        <v>3474</v>
      </c>
      <c r="B480" t="s">
        <v>761</v>
      </c>
      <c r="C480" t="str">
        <f>_xlfn.CONCAT(Merge[[#This Row],[Customer First Name]]," ",Merge[[#This Row],[Customer Last Name]])</f>
        <v>Leonel Mercado</v>
      </c>
      <c r="D480" t="s">
        <v>762</v>
      </c>
      <c r="E480">
        <v>1706</v>
      </c>
      <c r="F480" t="s">
        <v>42</v>
      </c>
      <c r="G480" s="1">
        <v>45378</v>
      </c>
      <c r="H480">
        <v>1</v>
      </c>
      <c r="I480" t="s">
        <v>52</v>
      </c>
      <c r="J480" t="s">
        <v>39</v>
      </c>
      <c r="K480">
        <v>0.25</v>
      </c>
      <c r="L480">
        <v>419</v>
      </c>
      <c r="M480">
        <v>1676</v>
      </c>
      <c r="N480">
        <v>1257</v>
      </c>
      <c r="O480" t="s">
        <v>114</v>
      </c>
      <c r="P480">
        <v>1706</v>
      </c>
      <c r="Q480" t="s">
        <v>42</v>
      </c>
      <c r="R480" s="1">
        <v>45378</v>
      </c>
      <c r="S480">
        <v>3</v>
      </c>
      <c r="T480" t="s">
        <v>52</v>
      </c>
      <c r="U480" t="s">
        <v>39</v>
      </c>
      <c r="V480" t="s">
        <v>2202</v>
      </c>
      <c r="W480" t="s">
        <v>1241</v>
      </c>
      <c r="X480">
        <v>2600</v>
      </c>
      <c r="Y480">
        <v>300</v>
      </c>
      <c r="Z480">
        <v>900</v>
      </c>
      <c r="AA480" t="s">
        <v>2203</v>
      </c>
    </row>
    <row r="481" spans="1:27" x14ac:dyDescent="0.2">
      <c r="A481">
        <v>3475</v>
      </c>
      <c r="B481" t="s">
        <v>763</v>
      </c>
      <c r="C481" t="str">
        <f>_xlfn.CONCAT(Merge[[#This Row],[Customer First Name]]," ",Merge[[#This Row],[Customer Last Name]])</f>
        <v>Anya Bates</v>
      </c>
      <c r="D481" t="s">
        <v>764</v>
      </c>
      <c r="E481">
        <v>1707</v>
      </c>
      <c r="F481" t="s">
        <v>31</v>
      </c>
      <c r="G481" s="1">
        <v>45496</v>
      </c>
      <c r="H481">
        <v>1</v>
      </c>
      <c r="I481" t="s">
        <v>32</v>
      </c>
      <c r="J481" t="s">
        <v>81</v>
      </c>
      <c r="K481">
        <v>0.1</v>
      </c>
      <c r="L481">
        <v>176.3</v>
      </c>
      <c r="M481">
        <v>1763</v>
      </c>
      <c r="N481">
        <v>1586.7</v>
      </c>
      <c r="O481" t="s">
        <v>114</v>
      </c>
      <c r="P481">
        <v>1707</v>
      </c>
      <c r="Q481" t="s">
        <v>31</v>
      </c>
      <c r="R481" s="1">
        <v>45496</v>
      </c>
      <c r="S481">
        <v>3</v>
      </c>
      <c r="T481" t="s">
        <v>32</v>
      </c>
      <c r="U481" t="s">
        <v>81</v>
      </c>
      <c r="V481" t="s">
        <v>2204</v>
      </c>
      <c r="W481" t="s">
        <v>1280</v>
      </c>
      <c r="X481">
        <v>800</v>
      </c>
      <c r="Y481">
        <v>250</v>
      </c>
      <c r="Z481">
        <v>750</v>
      </c>
      <c r="AA481" t="s">
        <v>2205</v>
      </c>
    </row>
    <row r="482" spans="1:27" x14ac:dyDescent="0.2">
      <c r="A482">
        <v>3476</v>
      </c>
      <c r="B482" t="s">
        <v>690</v>
      </c>
      <c r="C482" t="str">
        <f>_xlfn.CONCAT(Merge[[#This Row],[Customer First Name]]," ",Merge[[#This Row],[Customer Last Name]])</f>
        <v>Annie Livingston</v>
      </c>
      <c r="D482" t="s">
        <v>243</v>
      </c>
      <c r="E482">
        <v>1708</v>
      </c>
      <c r="F482" t="s">
        <v>42</v>
      </c>
      <c r="G482" s="1">
        <v>45323</v>
      </c>
      <c r="H482">
        <v>2</v>
      </c>
      <c r="I482" t="s">
        <v>32</v>
      </c>
      <c r="J482" t="s">
        <v>43</v>
      </c>
      <c r="K482">
        <v>0.25</v>
      </c>
      <c r="L482">
        <v>168.75</v>
      </c>
      <c r="M482">
        <v>675</v>
      </c>
      <c r="N482">
        <v>506.25</v>
      </c>
      <c r="O482" t="s">
        <v>48</v>
      </c>
      <c r="P482">
        <v>1708</v>
      </c>
      <c r="Q482" t="s">
        <v>42</v>
      </c>
      <c r="R482" s="1">
        <v>45323</v>
      </c>
      <c r="S482">
        <v>1</v>
      </c>
      <c r="T482" t="s">
        <v>32</v>
      </c>
      <c r="U482" t="s">
        <v>43</v>
      </c>
      <c r="V482" t="s">
        <v>2206</v>
      </c>
      <c r="W482" t="s">
        <v>1299</v>
      </c>
      <c r="X482">
        <v>2500</v>
      </c>
      <c r="Y482">
        <v>300</v>
      </c>
      <c r="Z482">
        <v>300</v>
      </c>
      <c r="AA482" t="s">
        <v>2207</v>
      </c>
    </row>
    <row r="483" spans="1:27" x14ac:dyDescent="0.2">
      <c r="A483">
        <v>3477</v>
      </c>
      <c r="B483" t="s">
        <v>765</v>
      </c>
      <c r="C483" t="str">
        <f>_xlfn.CONCAT(Merge[[#This Row],[Customer First Name]]," ",Merge[[#This Row],[Customer Last Name]])</f>
        <v>Willa Sweeney</v>
      </c>
      <c r="D483" t="s">
        <v>201</v>
      </c>
      <c r="E483">
        <v>1709</v>
      </c>
      <c r="F483" t="s">
        <v>31</v>
      </c>
      <c r="G483" s="1">
        <v>45636</v>
      </c>
      <c r="H483">
        <v>1</v>
      </c>
      <c r="I483" t="s">
        <v>32</v>
      </c>
      <c r="J483" t="s">
        <v>53</v>
      </c>
      <c r="K483">
        <v>0.1</v>
      </c>
      <c r="L483">
        <v>184.5</v>
      </c>
      <c r="M483">
        <v>1845</v>
      </c>
      <c r="N483">
        <v>1660.5</v>
      </c>
      <c r="O483" t="s">
        <v>44</v>
      </c>
      <c r="P483">
        <v>1709</v>
      </c>
      <c r="Q483" t="s">
        <v>31</v>
      </c>
      <c r="R483" s="1">
        <v>45636</v>
      </c>
      <c r="S483">
        <v>1</v>
      </c>
      <c r="T483" t="s">
        <v>32</v>
      </c>
      <c r="U483" t="s">
        <v>53</v>
      </c>
      <c r="V483" t="s">
        <v>2208</v>
      </c>
      <c r="W483" t="s">
        <v>1268</v>
      </c>
      <c r="X483">
        <v>4870</v>
      </c>
      <c r="Y483">
        <v>250</v>
      </c>
      <c r="Z483">
        <v>250</v>
      </c>
      <c r="AA483" t="s">
        <v>2209</v>
      </c>
    </row>
    <row r="484" spans="1:27" x14ac:dyDescent="0.2">
      <c r="A484">
        <v>3478</v>
      </c>
      <c r="B484" t="s">
        <v>407</v>
      </c>
      <c r="C484" t="str">
        <f>_xlfn.CONCAT(Merge[[#This Row],[Customer First Name]]," ",Merge[[#This Row],[Customer Last Name]])</f>
        <v>Jeremiah Hail</v>
      </c>
      <c r="D484" t="s">
        <v>729</v>
      </c>
      <c r="E484">
        <v>1710</v>
      </c>
      <c r="F484" t="s">
        <v>51</v>
      </c>
      <c r="G484" s="1">
        <v>45424</v>
      </c>
      <c r="H484">
        <v>2</v>
      </c>
      <c r="I484" t="s">
        <v>32</v>
      </c>
      <c r="J484" t="s">
        <v>47</v>
      </c>
      <c r="K484">
        <v>0.2</v>
      </c>
      <c r="L484">
        <v>120.4</v>
      </c>
      <c r="M484">
        <v>602</v>
      </c>
      <c r="N484">
        <v>481.6</v>
      </c>
      <c r="O484" t="s">
        <v>34</v>
      </c>
      <c r="P484">
        <v>1710</v>
      </c>
      <c r="Q484" t="s">
        <v>51</v>
      </c>
      <c r="R484" s="1">
        <v>45424</v>
      </c>
      <c r="S484">
        <v>2</v>
      </c>
      <c r="T484" t="s">
        <v>32</v>
      </c>
      <c r="U484" t="s">
        <v>47</v>
      </c>
      <c r="V484" t="s">
        <v>2210</v>
      </c>
      <c r="W484" t="s">
        <v>1275</v>
      </c>
      <c r="X484">
        <v>3000</v>
      </c>
      <c r="Y484">
        <v>250</v>
      </c>
      <c r="Z484">
        <v>500</v>
      </c>
      <c r="AA484" t="s">
        <v>2211</v>
      </c>
    </row>
    <row r="485" spans="1:27" x14ac:dyDescent="0.2">
      <c r="A485">
        <v>3479</v>
      </c>
      <c r="B485" t="s">
        <v>564</v>
      </c>
      <c r="C485" t="str">
        <f>_xlfn.CONCAT(Merge[[#This Row],[Customer First Name]]," ",Merge[[#This Row],[Customer Last Name]])</f>
        <v>Valeria Case</v>
      </c>
      <c r="D485" t="s">
        <v>766</v>
      </c>
      <c r="E485">
        <v>1711</v>
      </c>
      <c r="F485" t="s">
        <v>37</v>
      </c>
      <c r="G485" s="1">
        <v>45561</v>
      </c>
      <c r="H485">
        <v>1</v>
      </c>
      <c r="I485" t="s">
        <v>52</v>
      </c>
      <c r="J485" t="s">
        <v>53</v>
      </c>
      <c r="K485">
        <v>0.3</v>
      </c>
      <c r="L485">
        <v>46.199999999999996</v>
      </c>
      <c r="M485">
        <v>154</v>
      </c>
      <c r="N485">
        <v>107.80000000000001</v>
      </c>
      <c r="O485" t="s">
        <v>34</v>
      </c>
      <c r="P485">
        <v>1711</v>
      </c>
      <c r="Q485" t="s">
        <v>37</v>
      </c>
      <c r="R485" s="1">
        <v>45561</v>
      </c>
      <c r="S485">
        <v>2</v>
      </c>
      <c r="T485" t="s">
        <v>52</v>
      </c>
      <c r="U485" t="s">
        <v>53</v>
      </c>
      <c r="V485" t="s">
        <v>2212</v>
      </c>
      <c r="W485" t="s">
        <v>1268</v>
      </c>
      <c r="X485">
        <v>4870</v>
      </c>
      <c r="Y485">
        <v>800</v>
      </c>
      <c r="Z485">
        <v>1600</v>
      </c>
      <c r="AA485" t="s">
        <v>2213</v>
      </c>
    </row>
    <row r="486" spans="1:27" x14ac:dyDescent="0.2">
      <c r="A486">
        <v>3480</v>
      </c>
      <c r="B486" t="s">
        <v>477</v>
      </c>
      <c r="C486" t="str">
        <f>_xlfn.CONCAT(Merge[[#This Row],[Customer First Name]]," ",Merge[[#This Row],[Customer Last Name]])</f>
        <v>Genesis Frazier</v>
      </c>
      <c r="D486" t="s">
        <v>522</v>
      </c>
      <c r="E486">
        <v>1712</v>
      </c>
      <c r="F486" t="s">
        <v>51</v>
      </c>
      <c r="G486" s="1">
        <v>45507</v>
      </c>
      <c r="H486">
        <v>3</v>
      </c>
      <c r="I486" t="s">
        <v>32</v>
      </c>
      <c r="J486" t="s">
        <v>39</v>
      </c>
      <c r="K486">
        <v>0.2</v>
      </c>
      <c r="L486">
        <v>307</v>
      </c>
      <c r="M486">
        <v>1535</v>
      </c>
      <c r="N486">
        <v>1228</v>
      </c>
      <c r="O486" t="s">
        <v>114</v>
      </c>
      <c r="P486">
        <v>1712</v>
      </c>
      <c r="Q486" t="s">
        <v>51</v>
      </c>
      <c r="R486" s="1">
        <v>45507</v>
      </c>
      <c r="S486">
        <v>2</v>
      </c>
      <c r="T486" t="s">
        <v>32</v>
      </c>
      <c r="U486" t="s">
        <v>39</v>
      </c>
      <c r="V486" t="s">
        <v>2214</v>
      </c>
      <c r="W486" t="s">
        <v>1241</v>
      </c>
      <c r="X486">
        <v>2600</v>
      </c>
      <c r="Y486">
        <v>250</v>
      </c>
      <c r="Z486">
        <v>500</v>
      </c>
      <c r="AA486" t="s">
        <v>2215</v>
      </c>
    </row>
    <row r="487" spans="1:27" x14ac:dyDescent="0.2">
      <c r="A487">
        <v>3481</v>
      </c>
      <c r="B487" t="s">
        <v>767</v>
      </c>
      <c r="C487" t="str">
        <f>_xlfn.CONCAT(Merge[[#This Row],[Customer First Name]]," ",Merge[[#This Row],[Customer Last Name]])</f>
        <v>Asa Enriquez</v>
      </c>
      <c r="D487" t="s">
        <v>768</v>
      </c>
      <c r="E487">
        <v>1713</v>
      </c>
      <c r="F487" t="s">
        <v>92</v>
      </c>
      <c r="G487" s="1">
        <v>45640</v>
      </c>
      <c r="H487">
        <v>2</v>
      </c>
      <c r="I487" t="s">
        <v>52</v>
      </c>
      <c r="J487" t="s">
        <v>57</v>
      </c>
      <c r="K487">
        <v>0.3</v>
      </c>
      <c r="L487">
        <v>393.3</v>
      </c>
      <c r="M487">
        <v>1311</v>
      </c>
      <c r="N487">
        <v>917.7</v>
      </c>
      <c r="O487" t="s">
        <v>48</v>
      </c>
      <c r="P487">
        <v>1713</v>
      </c>
      <c r="Q487" t="s">
        <v>92</v>
      </c>
      <c r="R487" s="1">
        <v>45640</v>
      </c>
      <c r="S487">
        <v>3</v>
      </c>
      <c r="T487" t="s">
        <v>52</v>
      </c>
      <c r="U487" t="s">
        <v>57</v>
      </c>
      <c r="V487" t="s">
        <v>2216</v>
      </c>
      <c r="W487" t="s">
        <v>1253</v>
      </c>
      <c r="X487">
        <v>5290</v>
      </c>
      <c r="Y487">
        <v>600</v>
      </c>
      <c r="Z487">
        <v>1800</v>
      </c>
      <c r="AA487" t="s">
        <v>2217</v>
      </c>
    </row>
    <row r="488" spans="1:27" x14ac:dyDescent="0.2">
      <c r="A488">
        <v>3482</v>
      </c>
      <c r="B488" t="s">
        <v>769</v>
      </c>
      <c r="C488" t="str">
        <f>_xlfn.CONCAT(Merge[[#This Row],[Customer First Name]]," ",Merge[[#This Row],[Customer Last Name]])</f>
        <v>Amaya Ayers</v>
      </c>
      <c r="D488" t="s">
        <v>488</v>
      </c>
      <c r="E488">
        <v>1714</v>
      </c>
      <c r="F488" t="s">
        <v>51</v>
      </c>
      <c r="G488" s="1">
        <v>45500</v>
      </c>
      <c r="H488">
        <v>3</v>
      </c>
      <c r="I488" t="s">
        <v>52</v>
      </c>
      <c r="J488" t="s">
        <v>33</v>
      </c>
      <c r="K488">
        <v>0.2</v>
      </c>
      <c r="L488">
        <v>204.20000000000002</v>
      </c>
      <c r="M488">
        <v>1021</v>
      </c>
      <c r="N488">
        <v>816.8</v>
      </c>
      <c r="O488" t="s">
        <v>44</v>
      </c>
      <c r="P488">
        <v>1714</v>
      </c>
      <c r="Q488" t="s">
        <v>51</v>
      </c>
      <c r="R488" s="1">
        <v>45500</v>
      </c>
      <c r="S488">
        <v>2</v>
      </c>
      <c r="T488" t="s">
        <v>52</v>
      </c>
      <c r="U488" t="s">
        <v>33</v>
      </c>
      <c r="V488" t="s">
        <v>2218</v>
      </c>
      <c r="W488" t="s">
        <v>1302</v>
      </c>
      <c r="X488">
        <v>6000</v>
      </c>
      <c r="Y488">
        <v>250</v>
      </c>
      <c r="Z488">
        <v>500</v>
      </c>
      <c r="AA488" t="s">
        <v>2219</v>
      </c>
    </row>
    <row r="489" spans="1:27" x14ac:dyDescent="0.2">
      <c r="A489">
        <v>3483</v>
      </c>
      <c r="B489" t="s">
        <v>770</v>
      </c>
      <c r="C489" t="str">
        <f>_xlfn.CONCAT(Merge[[#This Row],[Customer First Name]]," ",Merge[[#This Row],[Customer Last Name]])</f>
        <v>Hank Ramsey</v>
      </c>
      <c r="D489" t="s">
        <v>771</v>
      </c>
      <c r="E489">
        <v>1715</v>
      </c>
      <c r="F489" t="s">
        <v>42</v>
      </c>
      <c r="G489" s="1">
        <v>45375</v>
      </c>
      <c r="H489">
        <v>3</v>
      </c>
      <c r="I489" t="s">
        <v>52</v>
      </c>
      <c r="J489" t="s">
        <v>33</v>
      </c>
      <c r="K489">
        <v>0.25</v>
      </c>
      <c r="L489">
        <v>369</v>
      </c>
      <c r="M489">
        <v>1476</v>
      </c>
      <c r="N489">
        <v>1107</v>
      </c>
      <c r="O489" t="s">
        <v>48</v>
      </c>
      <c r="P489">
        <v>1715</v>
      </c>
      <c r="Q489" t="s">
        <v>42</v>
      </c>
      <c r="R489" s="1">
        <v>45375</v>
      </c>
      <c r="S489">
        <v>3</v>
      </c>
      <c r="T489" t="s">
        <v>52</v>
      </c>
      <c r="U489" t="s">
        <v>33</v>
      </c>
      <c r="V489" t="s">
        <v>2220</v>
      </c>
      <c r="W489" t="s">
        <v>1259</v>
      </c>
      <c r="X489">
        <v>6160</v>
      </c>
      <c r="Y489">
        <v>300</v>
      </c>
      <c r="Z489">
        <v>900</v>
      </c>
      <c r="AA489" t="s">
        <v>2221</v>
      </c>
    </row>
    <row r="490" spans="1:27" x14ac:dyDescent="0.2">
      <c r="A490">
        <v>3484</v>
      </c>
      <c r="B490" t="s">
        <v>450</v>
      </c>
      <c r="C490" t="str">
        <f>_xlfn.CONCAT(Merge[[#This Row],[Customer First Name]]," ",Merge[[#This Row],[Customer Last Name]])</f>
        <v>Kylo Dixon</v>
      </c>
      <c r="D490" t="s">
        <v>295</v>
      </c>
      <c r="E490">
        <v>1716</v>
      </c>
      <c r="F490" t="s">
        <v>42</v>
      </c>
      <c r="G490" s="1">
        <v>45579</v>
      </c>
      <c r="H490">
        <v>2</v>
      </c>
      <c r="I490" t="s">
        <v>52</v>
      </c>
      <c r="J490" t="s">
        <v>53</v>
      </c>
      <c r="K490">
        <v>0.25</v>
      </c>
      <c r="L490">
        <v>141.75</v>
      </c>
      <c r="M490">
        <v>567</v>
      </c>
      <c r="N490">
        <v>425.25</v>
      </c>
      <c r="O490" t="s">
        <v>44</v>
      </c>
      <c r="P490">
        <v>1716</v>
      </c>
      <c r="Q490" t="s">
        <v>42</v>
      </c>
      <c r="R490" s="1">
        <v>45579</v>
      </c>
      <c r="S490">
        <v>2</v>
      </c>
      <c r="T490" t="s">
        <v>52</v>
      </c>
      <c r="U490" t="s">
        <v>53</v>
      </c>
      <c r="V490" t="s">
        <v>2222</v>
      </c>
      <c r="W490" t="s">
        <v>1305</v>
      </c>
      <c r="X490">
        <v>4000</v>
      </c>
      <c r="Y490">
        <v>300</v>
      </c>
      <c r="Z490">
        <v>600</v>
      </c>
      <c r="AA490" t="s">
        <v>2223</v>
      </c>
    </row>
    <row r="491" spans="1:27" x14ac:dyDescent="0.2">
      <c r="A491">
        <v>3485</v>
      </c>
      <c r="B491" t="s">
        <v>772</v>
      </c>
      <c r="C491" t="str">
        <f>_xlfn.CONCAT(Merge[[#This Row],[Customer First Name]]," ",Merge[[#This Row],[Customer Last Name]])</f>
        <v>Kaia Kent</v>
      </c>
      <c r="D491" t="s">
        <v>661</v>
      </c>
      <c r="E491">
        <v>1717</v>
      </c>
      <c r="F491" t="s">
        <v>92</v>
      </c>
      <c r="G491" s="1">
        <v>45617</v>
      </c>
      <c r="H491">
        <v>3</v>
      </c>
      <c r="I491" t="s">
        <v>52</v>
      </c>
      <c r="J491" t="s">
        <v>81</v>
      </c>
      <c r="K491">
        <v>0.3</v>
      </c>
      <c r="L491">
        <v>357.3</v>
      </c>
      <c r="M491">
        <v>1191</v>
      </c>
      <c r="N491">
        <v>833.7</v>
      </c>
      <c r="O491" t="s">
        <v>114</v>
      </c>
      <c r="P491">
        <v>1717</v>
      </c>
      <c r="Q491" t="s">
        <v>92</v>
      </c>
      <c r="R491" s="1">
        <v>45617</v>
      </c>
      <c r="S491">
        <v>1</v>
      </c>
      <c r="T491" t="s">
        <v>52</v>
      </c>
      <c r="U491" t="s">
        <v>81</v>
      </c>
      <c r="V491" t="s">
        <v>2224</v>
      </c>
      <c r="W491" t="s">
        <v>1361</v>
      </c>
      <c r="X491">
        <v>870</v>
      </c>
      <c r="Y491">
        <v>600</v>
      </c>
      <c r="Z491">
        <v>600</v>
      </c>
      <c r="AA491" t="s">
        <v>2225</v>
      </c>
    </row>
    <row r="492" spans="1:27" x14ac:dyDescent="0.2">
      <c r="A492">
        <v>3486</v>
      </c>
      <c r="B492" t="s">
        <v>724</v>
      </c>
      <c r="C492" t="str">
        <f>_xlfn.CONCAT(Merge[[#This Row],[Customer First Name]]," ",Merge[[#This Row],[Customer Last Name]])</f>
        <v>Nico Castro</v>
      </c>
      <c r="D492" t="s">
        <v>303</v>
      </c>
      <c r="E492">
        <v>1718</v>
      </c>
      <c r="F492" t="s">
        <v>31</v>
      </c>
      <c r="G492" s="1">
        <v>45612</v>
      </c>
      <c r="H492">
        <v>3</v>
      </c>
      <c r="I492" t="s">
        <v>52</v>
      </c>
      <c r="J492" t="s">
        <v>33</v>
      </c>
      <c r="K492">
        <v>0.1</v>
      </c>
      <c r="L492">
        <v>11.3</v>
      </c>
      <c r="M492">
        <v>113</v>
      </c>
      <c r="N492">
        <v>101.7</v>
      </c>
      <c r="O492" t="s">
        <v>44</v>
      </c>
      <c r="P492">
        <v>1718</v>
      </c>
      <c r="Q492" t="s">
        <v>31</v>
      </c>
      <c r="R492" s="1">
        <v>45612</v>
      </c>
      <c r="S492">
        <v>2</v>
      </c>
      <c r="T492" t="s">
        <v>52</v>
      </c>
      <c r="U492" t="s">
        <v>33</v>
      </c>
      <c r="V492" t="s">
        <v>2226</v>
      </c>
      <c r="W492" t="s">
        <v>1259</v>
      </c>
      <c r="X492">
        <v>6160</v>
      </c>
      <c r="Y492">
        <v>250</v>
      </c>
      <c r="Z492">
        <v>500</v>
      </c>
      <c r="AA492" t="s">
        <v>2227</v>
      </c>
    </row>
    <row r="493" spans="1:27" x14ac:dyDescent="0.2">
      <c r="A493">
        <v>3487</v>
      </c>
      <c r="B493" t="s">
        <v>773</v>
      </c>
      <c r="C493" t="str">
        <f>_xlfn.CONCAT(Merge[[#This Row],[Customer First Name]]," ",Merge[[#This Row],[Customer Last Name]])</f>
        <v>Marlee Richardson</v>
      </c>
      <c r="D493" t="s">
        <v>499</v>
      </c>
      <c r="E493">
        <v>1719</v>
      </c>
      <c r="F493" t="s">
        <v>31</v>
      </c>
      <c r="G493" s="1">
        <v>45593</v>
      </c>
      <c r="H493">
        <v>2</v>
      </c>
      <c r="I493" t="s">
        <v>52</v>
      </c>
      <c r="J493" t="s">
        <v>39</v>
      </c>
      <c r="K493">
        <v>0.1</v>
      </c>
      <c r="L493">
        <v>86.5</v>
      </c>
      <c r="M493">
        <v>865</v>
      </c>
      <c r="N493">
        <v>778.5</v>
      </c>
      <c r="O493" t="s">
        <v>34</v>
      </c>
      <c r="P493">
        <v>1719</v>
      </c>
      <c r="Q493" t="s">
        <v>31</v>
      </c>
      <c r="R493" s="1">
        <v>45593</v>
      </c>
      <c r="S493">
        <v>2</v>
      </c>
      <c r="T493" t="s">
        <v>52</v>
      </c>
      <c r="U493" t="s">
        <v>39</v>
      </c>
      <c r="V493" t="s">
        <v>2228</v>
      </c>
      <c r="W493" t="s">
        <v>1241</v>
      </c>
      <c r="X493">
        <v>2600</v>
      </c>
      <c r="Y493">
        <v>250</v>
      </c>
      <c r="Z493">
        <v>500</v>
      </c>
      <c r="AA493" t="s">
        <v>2229</v>
      </c>
    </row>
    <row r="494" spans="1:27" x14ac:dyDescent="0.2">
      <c r="A494">
        <v>3488</v>
      </c>
      <c r="B494" t="s">
        <v>381</v>
      </c>
      <c r="C494" t="str">
        <f>_xlfn.CONCAT(Merge[[#This Row],[Customer First Name]]," ",Merge[[#This Row],[Customer Last Name]])</f>
        <v>Madelyn Escobar</v>
      </c>
      <c r="D494" t="s">
        <v>774</v>
      </c>
      <c r="E494">
        <v>1720</v>
      </c>
      <c r="F494" t="s">
        <v>42</v>
      </c>
      <c r="G494" s="1">
        <v>45569</v>
      </c>
      <c r="H494">
        <v>2</v>
      </c>
      <c r="I494" t="s">
        <v>32</v>
      </c>
      <c r="J494" t="s">
        <v>43</v>
      </c>
      <c r="K494">
        <v>0.25</v>
      </c>
      <c r="L494">
        <v>213</v>
      </c>
      <c r="M494">
        <v>852</v>
      </c>
      <c r="N494">
        <v>639</v>
      </c>
      <c r="O494" t="s">
        <v>48</v>
      </c>
      <c r="P494">
        <v>1720</v>
      </c>
      <c r="Q494" t="s">
        <v>42</v>
      </c>
      <c r="R494" s="1">
        <v>45569</v>
      </c>
      <c r="S494">
        <v>1</v>
      </c>
      <c r="T494" t="s">
        <v>32</v>
      </c>
      <c r="U494" t="s">
        <v>43</v>
      </c>
      <c r="V494" t="s">
        <v>2230</v>
      </c>
      <c r="W494" t="s">
        <v>865</v>
      </c>
      <c r="X494">
        <v>2000</v>
      </c>
      <c r="Y494">
        <v>300</v>
      </c>
      <c r="Z494">
        <v>300</v>
      </c>
      <c r="AA494" t="s">
        <v>2231</v>
      </c>
    </row>
    <row r="495" spans="1:27" x14ac:dyDescent="0.2">
      <c r="A495">
        <v>3489</v>
      </c>
      <c r="B495" t="s">
        <v>347</v>
      </c>
      <c r="C495" t="str">
        <f>_xlfn.CONCAT(Merge[[#This Row],[Customer First Name]]," ",Merge[[#This Row],[Customer Last Name]])</f>
        <v>Bodie Carpenter</v>
      </c>
      <c r="D495" t="s">
        <v>335</v>
      </c>
      <c r="E495">
        <v>1721</v>
      </c>
      <c r="F495" t="s">
        <v>51</v>
      </c>
      <c r="G495" s="1">
        <v>45499</v>
      </c>
      <c r="H495">
        <v>2</v>
      </c>
      <c r="I495" t="s">
        <v>32</v>
      </c>
      <c r="J495" t="s">
        <v>33</v>
      </c>
      <c r="K495">
        <v>0.2</v>
      </c>
      <c r="L495">
        <v>327.60000000000002</v>
      </c>
      <c r="M495">
        <v>1638</v>
      </c>
      <c r="N495">
        <v>1310.4000000000001</v>
      </c>
      <c r="O495" t="s">
        <v>54</v>
      </c>
      <c r="P495">
        <v>1721</v>
      </c>
      <c r="Q495" t="s">
        <v>51</v>
      </c>
      <c r="R495" s="1">
        <v>45499</v>
      </c>
      <c r="S495">
        <v>3</v>
      </c>
      <c r="T495" t="s">
        <v>32</v>
      </c>
      <c r="U495" t="s">
        <v>33</v>
      </c>
      <c r="V495" t="s">
        <v>2232</v>
      </c>
      <c r="W495" t="s">
        <v>1238</v>
      </c>
      <c r="X495">
        <v>6725</v>
      </c>
      <c r="Y495">
        <v>250</v>
      </c>
      <c r="Z495">
        <v>750</v>
      </c>
      <c r="AA495" t="s">
        <v>2233</v>
      </c>
    </row>
    <row r="496" spans="1:27" x14ac:dyDescent="0.2">
      <c r="A496">
        <v>3490</v>
      </c>
      <c r="B496" t="s">
        <v>775</v>
      </c>
      <c r="C496" t="str">
        <f>_xlfn.CONCAT(Merge[[#This Row],[Customer First Name]]," ",Merge[[#This Row],[Customer Last Name]])</f>
        <v>Thea Mclean</v>
      </c>
      <c r="D496" t="s">
        <v>73</v>
      </c>
      <c r="E496">
        <v>1722</v>
      </c>
      <c r="F496" t="s">
        <v>76</v>
      </c>
      <c r="G496" s="1">
        <v>45549</v>
      </c>
      <c r="H496">
        <v>2</v>
      </c>
      <c r="I496" t="s">
        <v>52</v>
      </c>
      <c r="J496" t="s">
        <v>81</v>
      </c>
      <c r="K496">
        <v>0.25</v>
      </c>
      <c r="L496">
        <v>366.5</v>
      </c>
      <c r="M496">
        <v>1466</v>
      </c>
      <c r="N496">
        <v>1099.5</v>
      </c>
      <c r="O496" t="s">
        <v>114</v>
      </c>
      <c r="P496">
        <v>1722</v>
      </c>
      <c r="Q496" t="s">
        <v>76</v>
      </c>
      <c r="R496" s="1">
        <v>45549</v>
      </c>
      <c r="S496">
        <v>1</v>
      </c>
      <c r="T496" t="s">
        <v>52</v>
      </c>
      <c r="U496" t="s">
        <v>81</v>
      </c>
      <c r="V496" t="s">
        <v>2234</v>
      </c>
      <c r="W496" t="s">
        <v>1361</v>
      </c>
      <c r="X496">
        <v>870</v>
      </c>
      <c r="Y496">
        <v>1200</v>
      </c>
      <c r="Z496">
        <v>1200</v>
      </c>
      <c r="AA496" t="s">
        <v>2235</v>
      </c>
    </row>
    <row r="497" spans="1:27" x14ac:dyDescent="0.2">
      <c r="A497">
        <v>3491</v>
      </c>
      <c r="B497" t="s">
        <v>776</v>
      </c>
      <c r="C497" t="str">
        <f>_xlfn.CONCAT(Merge[[#This Row],[Customer First Name]]," ",Merge[[#This Row],[Customer Last Name]])</f>
        <v>Maryam Duncan</v>
      </c>
      <c r="D497" t="s">
        <v>777</v>
      </c>
      <c r="E497">
        <v>1723</v>
      </c>
      <c r="F497" t="s">
        <v>42</v>
      </c>
      <c r="G497" s="1">
        <v>45499</v>
      </c>
      <c r="H497">
        <v>2</v>
      </c>
      <c r="I497" t="s">
        <v>32</v>
      </c>
      <c r="J497" t="s">
        <v>33</v>
      </c>
      <c r="K497">
        <v>0.25</v>
      </c>
      <c r="L497">
        <v>320.5</v>
      </c>
      <c r="M497">
        <v>1282</v>
      </c>
      <c r="N497">
        <v>961.5</v>
      </c>
      <c r="O497" t="s">
        <v>114</v>
      </c>
      <c r="P497">
        <v>1723</v>
      </c>
      <c r="Q497" t="s">
        <v>42</v>
      </c>
      <c r="R497" s="1">
        <v>45499</v>
      </c>
      <c r="S497">
        <v>3</v>
      </c>
      <c r="T497" t="s">
        <v>32</v>
      </c>
      <c r="U497" t="s">
        <v>33</v>
      </c>
      <c r="V497" t="s">
        <v>2236</v>
      </c>
      <c r="W497" t="s">
        <v>1302</v>
      </c>
      <c r="X497">
        <v>6000</v>
      </c>
      <c r="Y497">
        <v>300</v>
      </c>
      <c r="Z497">
        <v>900</v>
      </c>
      <c r="AA497" t="s">
        <v>2237</v>
      </c>
    </row>
    <row r="498" spans="1:27" x14ac:dyDescent="0.2">
      <c r="A498">
        <v>3492</v>
      </c>
      <c r="B498" t="s">
        <v>345</v>
      </c>
      <c r="C498" t="str">
        <f>_xlfn.CONCAT(Merge[[#This Row],[Customer First Name]]," ",Merge[[#This Row],[Customer Last Name]])</f>
        <v>Haven Reed</v>
      </c>
      <c r="D498" t="s">
        <v>778</v>
      </c>
      <c r="E498">
        <v>1724</v>
      </c>
      <c r="F498" t="s">
        <v>37</v>
      </c>
      <c r="G498" s="1">
        <v>45567</v>
      </c>
      <c r="H498">
        <v>2</v>
      </c>
      <c r="I498" t="s">
        <v>71</v>
      </c>
      <c r="J498" t="s">
        <v>57</v>
      </c>
      <c r="K498">
        <v>0.3</v>
      </c>
      <c r="L498">
        <v>512.4</v>
      </c>
      <c r="M498">
        <v>1708</v>
      </c>
      <c r="N498">
        <v>1195.5999999999999</v>
      </c>
      <c r="O498" t="s">
        <v>44</v>
      </c>
      <c r="P498">
        <v>1724</v>
      </c>
      <c r="Q498" t="s">
        <v>37</v>
      </c>
      <c r="R498" s="1">
        <v>45567</v>
      </c>
      <c r="S498">
        <v>1</v>
      </c>
      <c r="T498" t="s">
        <v>71</v>
      </c>
      <c r="U498" t="s">
        <v>57</v>
      </c>
      <c r="V498" t="s">
        <v>2238</v>
      </c>
      <c r="W498" t="s">
        <v>1350</v>
      </c>
      <c r="X498">
        <v>5600</v>
      </c>
      <c r="Y498">
        <v>800</v>
      </c>
      <c r="Z498">
        <v>800</v>
      </c>
      <c r="AA498" t="s">
        <v>2239</v>
      </c>
    </row>
    <row r="499" spans="1:27" x14ac:dyDescent="0.2">
      <c r="A499">
        <v>3493</v>
      </c>
      <c r="B499" t="s">
        <v>299</v>
      </c>
      <c r="C499" t="str">
        <f>_xlfn.CONCAT(Merge[[#This Row],[Customer First Name]]," ",Merge[[#This Row],[Customer Last Name]])</f>
        <v>Eden Montgomery</v>
      </c>
      <c r="D499" t="s">
        <v>779</v>
      </c>
      <c r="E499">
        <v>1725</v>
      </c>
      <c r="F499" t="s">
        <v>51</v>
      </c>
      <c r="G499" s="1">
        <v>45326</v>
      </c>
      <c r="H499">
        <v>1</v>
      </c>
      <c r="I499" t="s">
        <v>71</v>
      </c>
      <c r="J499" t="s">
        <v>33</v>
      </c>
      <c r="K499">
        <v>0.2</v>
      </c>
      <c r="L499">
        <v>233.60000000000002</v>
      </c>
      <c r="M499">
        <v>1168</v>
      </c>
      <c r="N499">
        <v>934.4</v>
      </c>
      <c r="O499" t="s">
        <v>48</v>
      </c>
      <c r="P499">
        <v>1725</v>
      </c>
      <c r="Q499" t="s">
        <v>51</v>
      </c>
      <c r="R499" s="1">
        <v>45326</v>
      </c>
      <c r="S499">
        <v>2</v>
      </c>
      <c r="T499" t="s">
        <v>71</v>
      </c>
      <c r="U499" t="s">
        <v>33</v>
      </c>
      <c r="V499" t="s">
        <v>2240</v>
      </c>
      <c r="W499" t="s">
        <v>1238</v>
      </c>
      <c r="X499">
        <v>6725</v>
      </c>
      <c r="Y499">
        <v>250</v>
      </c>
      <c r="Z499">
        <v>500</v>
      </c>
      <c r="AA499" t="s">
        <v>2241</v>
      </c>
    </row>
    <row r="500" spans="1:27" x14ac:dyDescent="0.2">
      <c r="A500">
        <v>3494</v>
      </c>
      <c r="B500" t="s">
        <v>780</v>
      </c>
      <c r="C500" t="str">
        <f>_xlfn.CONCAT(Merge[[#This Row],[Customer First Name]]," ",Merge[[#This Row],[Customer Last Name]])</f>
        <v>Matias Esquivel</v>
      </c>
      <c r="D500" t="s">
        <v>781</v>
      </c>
      <c r="E500">
        <v>1726</v>
      </c>
      <c r="F500" t="s">
        <v>37</v>
      </c>
      <c r="G500" s="1">
        <v>45557</v>
      </c>
      <c r="H500">
        <v>2</v>
      </c>
      <c r="I500" t="s">
        <v>71</v>
      </c>
      <c r="J500" t="s">
        <v>81</v>
      </c>
      <c r="K500">
        <v>0.3</v>
      </c>
      <c r="L500">
        <v>119.39999999999999</v>
      </c>
      <c r="M500">
        <v>398</v>
      </c>
      <c r="N500">
        <v>278.60000000000002</v>
      </c>
      <c r="O500" t="s">
        <v>48</v>
      </c>
      <c r="P500">
        <v>1726</v>
      </c>
      <c r="Q500" t="s">
        <v>37</v>
      </c>
      <c r="R500" s="1">
        <v>45557</v>
      </c>
      <c r="S500">
        <v>3</v>
      </c>
      <c r="T500" t="s">
        <v>71</v>
      </c>
      <c r="U500" t="s">
        <v>81</v>
      </c>
      <c r="V500" t="s">
        <v>2242</v>
      </c>
      <c r="W500" t="s">
        <v>1361</v>
      </c>
      <c r="X500">
        <v>870</v>
      </c>
      <c r="Y500">
        <v>800</v>
      </c>
      <c r="Z500">
        <v>2400</v>
      </c>
      <c r="AA500" t="s">
        <v>2243</v>
      </c>
    </row>
    <row r="501" spans="1:27" x14ac:dyDescent="0.2">
      <c r="A501">
        <v>3495</v>
      </c>
      <c r="B501" t="s">
        <v>782</v>
      </c>
      <c r="C501" t="str">
        <f>_xlfn.CONCAT(Merge[[#This Row],[Customer First Name]]," ",Merge[[#This Row],[Customer Last Name]])</f>
        <v>Kyson Murray</v>
      </c>
      <c r="D501" t="s">
        <v>783</v>
      </c>
      <c r="E501">
        <v>1727</v>
      </c>
      <c r="F501" t="s">
        <v>92</v>
      </c>
      <c r="G501" s="1">
        <v>45612</v>
      </c>
      <c r="H501">
        <v>1</v>
      </c>
      <c r="I501" t="s">
        <v>52</v>
      </c>
      <c r="J501" t="s">
        <v>47</v>
      </c>
      <c r="K501">
        <v>0.3</v>
      </c>
      <c r="L501">
        <v>385.2</v>
      </c>
      <c r="M501">
        <v>1284</v>
      </c>
      <c r="N501">
        <v>898.8</v>
      </c>
      <c r="O501" t="s">
        <v>114</v>
      </c>
      <c r="P501">
        <v>1727</v>
      </c>
      <c r="Q501" t="s">
        <v>92</v>
      </c>
      <c r="R501" s="1">
        <v>45612</v>
      </c>
      <c r="S501">
        <v>2</v>
      </c>
      <c r="T501" t="s">
        <v>52</v>
      </c>
      <c r="U501" t="s">
        <v>47</v>
      </c>
      <c r="V501" t="s">
        <v>2244</v>
      </c>
      <c r="W501" t="s">
        <v>1256</v>
      </c>
      <c r="X501">
        <v>3220</v>
      </c>
      <c r="Y501">
        <v>600</v>
      </c>
      <c r="Z501">
        <v>1200</v>
      </c>
      <c r="AA501" t="s">
        <v>2245</v>
      </c>
    </row>
    <row r="502" spans="1:27" x14ac:dyDescent="0.2">
      <c r="A502">
        <v>3496</v>
      </c>
      <c r="B502" t="s">
        <v>784</v>
      </c>
      <c r="C502" t="str">
        <f>_xlfn.CONCAT(Merge[[#This Row],[Customer First Name]]," ",Merge[[#This Row],[Customer Last Name]])</f>
        <v>Fernanda Joseph</v>
      </c>
      <c r="D502" t="s">
        <v>785</v>
      </c>
      <c r="E502">
        <v>1728</v>
      </c>
      <c r="F502" t="s">
        <v>92</v>
      </c>
      <c r="G502" s="1">
        <v>45585</v>
      </c>
      <c r="H502">
        <v>1</v>
      </c>
      <c r="I502" t="s">
        <v>32</v>
      </c>
      <c r="J502" t="s">
        <v>47</v>
      </c>
      <c r="K502">
        <v>0.3</v>
      </c>
      <c r="L502">
        <v>530.69999999999993</v>
      </c>
      <c r="M502">
        <v>1769</v>
      </c>
      <c r="N502">
        <v>1238.3000000000002</v>
      </c>
      <c r="O502" t="s">
        <v>48</v>
      </c>
      <c r="P502">
        <v>1728</v>
      </c>
      <c r="Q502" t="s">
        <v>92</v>
      </c>
      <c r="R502" s="1">
        <v>45585</v>
      </c>
      <c r="S502">
        <v>2</v>
      </c>
      <c r="T502" t="s">
        <v>32</v>
      </c>
      <c r="U502" t="s">
        <v>47</v>
      </c>
      <c r="V502" t="s">
        <v>2246</v>
      </c>
      <c r="W502" t="s">
        <v>1247</v>
      </c>
      <c r="X502">
        <v>3350</v>
      </c>
      <c r="Y502">
        <v>600</v>
      </c>
      <c r="Z502">
        <v>1200</v>
      </c>
      <c r="AA502" t="s">
        <v>2247</v>
      </c>
    </row>
    <row r="503" spans="1:27" x14ac:dyDescent="0.2">
      <c r="A503">
        <v>3497</v>
      </c>
      <c r="B503" t="s">
        <v>422</v>
      </c>
      <c r="C503" t="str">
        <f>_xlfn.CONCAT(Merge[[#This Row],[Customer First Name]]," ",Merge[[#This Row],[Customer Last Name]])</f>
        <v>Brooklynn Rich</v>
      </c>
      <c r="D503" t="s">
        <v>725</v>
      </c>
      <c r="E503">
        <v>1729</v>
      </c>
      <c r="F503" t="s">
        <v>76</v>
      </c>
      <c r="G503" s="1">
        <v>45560</v>
      </c>
      <c r="H503">
        <v>2</v>
      </c>
      <c r="I503" t="s">
        <v>52</v>
      </c>
      <c r="J503" t="s">
        <v>39</v>
      </c>
      <c r="K503">
        <v>0.25</v>
      </c>
      <c r="L503">
        <v>94.5</v>
      </c>
      <c r="M503">
        <v>378</v>
      </c>
      <c r="N503">
        <v>283.5</v>
      </c>
      <c r="O503" t="s">
        <v>34</v>
      </c>
      <c r="P503">
        <v>1729</v>
      </c>
      <c r="Q503" t="s">
        <v>76</v>
      </c>
      <c r="R503" s="1">
        <v>45560</v>
      </c>
      <c r="S503">
        <v>2</v>
      </c>
      <c r="T503" t="s">
        <v>52</v>
      </c>
      <c r="U503" t="s">
        <v>39</v>
      </c>
      <c r="V503" t="s">
        <v>2248</v>
      </c>
      <c r="W503" t="s">
        <v>1241</v>
      </c>
      <c r="X503">
        <v>2600</v>
      </c>
      <c r="Y503">
        <v>1200</v>
      </c>
      <c r="Z503">
        <v>2400</v>
      </c>
      <c r="AA503" t="s">
        <v>2249</v>
      </c>
    </row>
    <row r="504" spans="1:27" x14ac:dyDescent="0.2">
      <c r="A504">
        <v>3498</v>
      </c>
      <c r="B504" t="s">
        <v>233</v>
      </c>
      <c r="C504" t="str">
        <f>_xlfn.CONCAT(Merge[[#This Row],[Customer First Name]]," ",Merge[[#This Row],[Customer Last Name]])</f>
        <v>Ivan Weiss</v>
      </c>
      <c r="D504" t="s">
        <v>786</v>
      </c>
      <c r="E504">
        <v>1730</v>
      </c>
      <c r="F504" t="s">
        <v>76</v>
      </c>
      <c r="G504" s="1">
        <v>45409</v>
      </c>
      <c r="H504">
        <v>3</v>
      </c>
      <c r="I504" t="s">
        <v>52</v>
      </c>
      <c r="J504" t="s">
        <v>47</v>
      </c>
      <c r="K504">
        <v>0.25</v>
      </c>
      <c r="L504">
        <v>337.75</v>
      </c>
      <c r="M504">
        <v>1351</v>
      </c>
      <c r="N504">
        <v>1013.25</v>
      </c>
      <c r="O504" t="s">
        <v>54</v>
      </c>
      <c r="P504">
        <v>1730</v>
      </c>
      <c r="Q504" t="s">
        <v>76</v>
      </c>
      <c r="R504" s="1">
        <v>45409</v>
      </c>
      <c r="S504">
        <v>2</v>
      </c>
      <c r="T504" t="s">
        <v>52</v>
      </c>
      <c r="U504" t="s">
        <v>47</v>
      </c>
      <c r="V504" t="s">
        <v>2250</v>
      </c>
      <c r="W504" t="s">
        <v>1275</v>
      </c>
      <c r="X504">
        <v>3000</v>
      </c>
      <c r="Y504">
        <v>1200</v>
      </c>
      <c r="Z504">
        <v>2400</v>
      </c>
      <c r="AA504" t="s">
        <v>2251</v>
      </c>
    </row>
    <row r="505" spans="1:27" x14ac:dyDescent="0.2">
      <c r="A505">
        <v>3499</v>
      </c>
      <c r="B505" t="s">
        <v>656</v>
      </c>
      <c r="C505" t="str">
        <f>_xlfn.CONCAT(Merge[[#This Row],[Customer First Name]]," ",Merge[[#This Row],[Customer Last Name]])</f>
        <v>Dominic Burgess</v>
      </c>
      <c r="D505" t="s">
        <v>787</v>
      </c>
      <c r="E505">
        <v>1731</v>
      </c>
      <c r="F505" t="s">
        <v>76</v>
      </c>
      <c r="G505" s="1">
        <v>45300</v>
      </c>
      <c r="H505">
        <v>2</v>
      </c>
      <c r="I505" t="s">
        <v>32</v>
      </c>
      <c r="J505" t="s">
        <v>64</v>
      </c>
      <c r="K505">
        <v>0.25</v>
      </c>
      <c r="L505">
        <v>345.25</v>
      </c>
      <c r="M505">
        <v>1381</v>
      </c>
      <c r="N505">
        <v>1035.75</v>
      </c>
      <c r="O505" t="s">
        <v>34</v>
      </c>
      <c r="P505">
        <v>1731</v>
      </c>
      <c r="Q505" t="s">
        <v>76</v>
      </c>
      <c r="R505" s="1">
        <v>45300</v>
      </c>
      <c r="S505">
        <v>1</v>
      </c>
      <c r="T505" t="s">
        <v>32</v>
      </c>
      <c r="U505" t="s">
        <v>64</v>
      </c>
      <c r="V505" t="s">
        <v>2252</v>
      </c>
      <c r="W505" t="s">
        <v>1262</v>
      </c>
      <c r="X505">
        <v>7250</v>
      </c>
      <c r="Y505">
        <v>1200</v>
      </c>
      <c r="Z505">
        <v>1200</v>
      </c>
      <c r="AA505" t="s">
        <v>2253</v>
      </c>
    </row>
    <row r="506" spans="1:27" x14ac:dyDescent="0.2">
      <c r="A506">
        <v>3500</v>
      </c>
      <c r="B506" t="s">
        <v>364</v>
      </c>
      <c r="C506" t="str">
        <f>_xlfn.CONCAT(Merge[[#This Row],[Customer First Name]]," ",Merge[[#This Row],[Customer Last Name]])</f>
        <v>Renata Horn</v>
      </c>
      <c r="D506" t="s">
        <v>788</v>
      </c>
      <c r="E506">
        <v>1732</v>
      </c>
      <c r="F506" t="s">
        <v>37</v>
      </c>
      <c r="G506" s="1">
        <v>45576</v>
      </c>
      <c r="H506">
        <v>2</v>
      </c>
      <c r="I506" t="s">
        <v>71</v>
      </c>
      <c r="J506" t="s">
        <v>33</v>
      </c>
      <c r="K506">
        <v>0.3</v>
      </c>
      <c r="L506">
        <v>414.9</v>
      </c>
      <c r="M506">
        <v>1383</v>
      </c>
      <c r="N506">
        <v>968.1</v>
      </c>
      <c r="O506" t="s">
        <v>44</v>
      </c>
      <c r="P506">
        <v>1732</v>
      </c>
      <c r="Q506" t="s">
        <v>37</v>
      </c>
      <c r="R506" s="1">
        <v>45576</v>
      </c>
      <c r="S506">
        <v>3</v>
      </c>
      <c r="T506" t="s">
        <v>71</v>
      </c>
      <c r="U506" t="s">
        <v>33</v>
      </c>
      <c r="V506" t="s">
        <v>2254</v>
      </c>
      <c r="W506" t="s">
        <v>1302</v>
      </c>
      <c r="X506">
        <v>6000</v>
      </c>
      <c r="Y506">
        <v>800</v>
      </c>
      <c r="Z506">
        <v>2400</v>
      </c>
      <c r="AA506" t="s">
        <v>2255</v>
      </c>
    </row>
    <row r="507" spans="1:27" x14ac:dyDescent="0.2">
      <c r="A507">
        <v>3501</v>
      </c>
      <c r="B507" t="s">
        <v>789</v>
      </c>
      <c r="C507" t="str">
        <f>_xlfn.CONCAT(Merge[[#This Row],[Customer First Name]]," ",Merge[[#This Row],[Customer Last Name]])</f>
        <v>Briggs Yu</v>
      </c>
      <c r="D507" t="s">
        <v>74</v>
      </c>
      <c r="E507">
        <v>1733</v>
      </c>
      <c r="F507" t="s">
        <v>92</v>
      </c>
      <c r="G507" s="1">
        <v>45368</v>
      </c>
      <c r="H507">
        <v>2</v>
      </c>
      <c r="I507" t="s">
        <v>32</v>
      </c>
      <c r="J507" t="s">
        <v>33</v>
      </c>
      <c r="K507">
        <v>0.3</v>
      </c>
      <c r="L507">
        <v>515.69999999999993</v>
      </c>
      <c r="M507">
        <v>1719</v>
      </c>
      <c r="N507">
        <v>1203.3000000000002</v>
      </c>
      <c r="O507" t="s">
        <v>48</v>
      </c>
      <c r="P507">
        <v>1733</v>
      </c>
      <c r="Q507" t="s">
        <v>92</v>
      </c>
      <c r="R507" s="1">
        <v>45368</v>
      </c>
      <c r="S507">
        <v>3</v>
      </c>
      <c r="T507" t="s">
        <v>32</v>
      </c>
      <c r="U507" t="s">
        <v>33</v>
      </c>
      <c r="V507" t="s">
        <v>2256</v>
      </c>
      <c r="W507" t="s">
        <v>1259</v>
      </c>
      <c r="X507">
        <v>6160</v>
      </c>
      <c r="Y507">
        <v>600</v>
      </c>
      <c r="Z507">
        <v>1800</v>
      </c>
      <c r="AA507" t="s">
        <v>2257</v>
      </c>
    </row>
    <row r="508" spans="1:27" x14ac:dyDescent="0.2">
      <c r="A508">
        <v>3502</v>
      </c>
      <c r="B508" t="s">
        <v>790</v>
      </c>
      <c r="C508" t="str">
        <f>_xlfn.CONCAT(Merge[[#This Row],[Customer First Name]]," ",Merge[[#This Row],[Customer Last Name]])</f>
        <v>Sarah Huynh</v>
      </c>
      <c r="D508" t="s">
        <v>791</v>
      </c>
      <c r="E508">
        <v>1734</v>
      </c>
      <c r="F508" t="s">
        <v>37</v>
      </c>
      <c r="G508" s="1">
        <v>45633</v>
      </c>
      <c r="H508">
        <v>1</v>
      </c>
      <c r="I508" t="s">
        <v>38</v>
      </c>
      <c r="J508" t="s">
        <v>47</v>
      </c>
      <c r="K508">
        <v>0.3</v>
      </c>
      <c r="L508">
        <v>235.5</v>
      </c>
      <c r="M508">
        <v>785</v>
      </c>
      <c r="N508">
        <v>549.5</v>
      </c>
      <c r="O508" t="s">
        <v>44</v>
      </c>
      <c r="P508">
        <v>1734</v>
      </c>
      <c r="Q508" t="s">
        <v>37</v>
      </c>
      <c r="R508" s="1">
        <v>45633</v>
      </c>
      <c r="S508">
        <v>3</v>
      </c>
      <c r="T508" t="s">
        <v>38</v>
      </c>
      <c r="U508" t="s">
        <v>47</v>
      </c>
      <c r="V508" t="s">
        <v>2258</v>
      </c>
      <c r="W508" t="s">
        <v>1275</v>
      </c>
      <c r="X508">
        <v>3000</v>
      </c>
      <c r="Y508">
        <v>800</v>
      </c>
      <c r="Z508">
        <v>2400</v>
      </c>
      <c r="AA508" t="s">
        <v>2259</v>
      </c>
    </row>
    <row r="509" spans="1:27" x14ac:dyDescent="0.2">
      <c r="A509">
        <v>3503</v>
      </c>
      <c r="B509" t="s">
        <v>279</v>
      </c>
      <c r="C509" t="str">
        <f>_xlfn.CONCAT(Merge[[#This Row],[Customer First Name]]," ",Merge[[#This Row],[Customer Last Name]])</f>
        <v>Jason Berger</v>
      </c>
      <c r="D509" t="s">
        <v>397</v>
      </c>
      <c r="E509">
        <v>1735</v>
      </c>
      <c r="F509" t="s">
        <v>42</v>
      </c>
      <c r="G509" s="1">
        <v>45548</v>
      </c>
      <c r="H509">
        <v>3</v>
      </c>
      <c r="I509" t="s">
        <v>52</v>
      </c>
      <c r="J509" t="s">
        <v>43</v>
      </c>
      <c r="K509">
        <v>0.25</v>
      </c>
      <c r="L509">
        <v>340.25</v>
      </c>
      <c r="M509">
        <v>1361</v>
      </c>
      <c r="N509">
        <v>1020.75</v>
      </c>
      <c r="O509" t="s">
        <v>34</v>
      </c>
      <c r="P509">
        <v>1735</v>
      </c>
      <c r="Q509" t="s">
        <v>42</v>
      </c>
      <c r="R509" s="1">
        <v>45548</v>
      </c>
      <c r="S509">
        <v>1</v>
      </c>
      <c r="T509" t="s">
        <v>52</v>
      </c>
      <c r="U509" t="s">
        <v>43</v>
      </c>
      <c r="V509" t="s">
        <v>2260</v>
      </c>
      <c r="W509" t="s">
        <v>1299</v>
      </c>
      <c r="X509">
        <v>2500</v>
      </c>
      <c r="Y509">
        <v>300</v>
      </c>
      <c r="Z509">
        <v>300</v>
      </c>
      <c r="AA509" t="s">
        <v>2261</v>
      </c>
    </row>
    <row r="510" spans="1:27" x14ac:dyDescent="0.2">
      <c r="A510">
        <v>3504</v>
      </c>
      <c r="B510" t="s">
        <v>193</v>
      </c>
      <c r="C510" t="str">
        <f>_xlfn.CONCAT(Merge[[#This Row],[Customer First Name]]," ",Merge[[#This Row],[Customer Last Name]])</f>
        <v>Sage Wong</v>
      </c>
      <c r="D510" t="s">
        <v>792</v>
      </c>
      <c r="E510">
        <v>1736</v>
      </c>
      <c r="F510" t="s">
        <v>42</v>
      </c>
      <c r="G510" s="1">
        <v>45455</v>
      </c>
      <c r="H510">
        <v>1</v>
      </c>
      <c r="I510" t="s">
        <v>71</v>
      </c>
      <c r="J510" t="s">
        <v>43</v>
      </c>
      <c r="K510">
        <v>0.25</v>
      </c>
      <c r="L510">
        <v>332</v>
      </c>
      <c r="M510">
        <v>1328</v>
      </c>
      <c r="N510">
        <v>996</v>
      </c>
      <c r="O510" t="s">
        <v>44</v>
      </c>
      <c r="P510">
        <v>1736</v>
      </c>
      <c r="Q510" t="s">
        <v>42</v>
      </c>
      <c r="R510" s="1">
        <v>45455</v>
      </c>
      <c r="S510">
        <v>3</v>
      </c>
      <c r="T510" t="s">
        <v>71</v>
      </c>
      <c r="U510" t="s">
        <v>43</v>
      </c>
      <c r="V510" t="s">
        <v>2262</v>
      </c>
      <c r="W510" t="s">
        <v>1299</v>
      </c>
      <c r="X510">
        <v>2500</v>
      </c>
      <c r="Y510">
        <v>300</v>
      </c>
      <c r="Z510">
        <v>900</v>
      </c>
      <c r="AA510" t="s">
        <v>2263</v>
      </c>
    </row>
    <row r="511" spans="1:27" x14ac:dyDescent="0.2">
      <c r="A511">
        <v>3505</v>
      </c>
      <c r="B511" t="s">
        <v>168</v>
      </c>
      <c r="C511" t="str">
        <f>_xlfn.CONCAT(Merge[[#This Row],[Customer First Name]]," ",Merge[[#This Row],[Customer Last Name]])</f>
        <v>Beau Silva</v>
      </c>
      <c r="D511" t="s">
        <v>793</v>
      </c>
      <c r="E511">
        <v>1737</v>
      </c>
      <c r="F511" t="s">
        <v>42</v>
      </c>
      <c r="G511" s="1">
        <v>45654</v>
      </c>
      <c r="H511">
        <v>2</v>
      </c>
      <c r="I511" t="s">
        <v>32</v>
      </c>
      <c r="J511" t="s">
        <v>57</v>
      </c>
      <c r="K511">
        <v>0.25</v>
      </c>
      <c r="L511">
        <v>56</v>
      </c>
      <c r="M511">
        <v>224</v>
      </c>
      <c r="N511">
        <v>168</v>
      </c>
      <c r="O511" t="s">
        <v>44</v>
      </c>
      <c r="P511">
        <v>1737</v>
      </c>
      <c r="Q511" t="s">
        <v>42</v>
      </c>
      <c r="R511" s="1">
        <v>45654</v>
      </c>
      <c r="S511">
        <v>3</v>
      </c>
      <c r="T511" t="s">
        <v>32</v>
      </c>
      <c r="U511" t="s">
        <v>57</v>
      </c>
      <c r="V511" t="s">
        <v>2264</v>
      </c>
      <c r="W511" t="s">
        <v>1350</v>
      </c>
      <c r="X511">
        <v>5600</v>
      </c>
      <c r="Y511">
        <v>300</v>
      </c>
      <c r="Z511">
        <v>900</v>
      </c>
      <c r="AA511" t="s">
        <v>2265</v>
      </c>
    </row>
    <row r="512" spans="1:27" x14ac:dyDescent="0.2">
      <c r="A512">
        <v>3506</v>
      </c>
      <c r="B512" t="s">
        <v>794</v>
      </c>
      <c r="C512" t="str">
        <f>_xlfn.CONCAT(Merge[[#This Row],[Customer First Name]]," ",Merge[[#This Row],[Customer Last Name]])</f>
        <v>Stevie Lin</v>
      </c>
      <c r="D512" t="s">
        <v>451</v>
      </c>
      <c r="E512">
        <v>1738</v>
      </c>
      <c r="F512" t="s">
        <v>31</v>
      </c>
      <c r="G512" s="1">
        <v>45458</v>
      </c>
      <c r="H512">
        <v>1</v>
      </c>
      <c r="I512" t="s">
        <v>52</v>
      </c>
      <c r="J512" t="s">
        <v>53</v>
      </c>
      <c r="K512">
        <v>0.1</v>
      </c>
      <c r="L512">
        <v>144.30000000000001</v>
      </c>
      <c r="M512">
        <v>1443</v>
      </c>
      <c r="N512">
        <v>1298.7</v>
      </c>
      <c r="O512" t="s">
        <v>48</v>
      </c>
      <c r="P512">
        <v>1738</v>
      </c>
      <c r="Q512" t="s">
        <v>31</v>
      </c>
      <c r="R512" s="1">
        <v>45458</v>
      </c>
      <c r="S512">
        <v>3</v>
      </c>
      <c r="T512" t="s">
        <v>52</v>
      </c>
      <c r="U512" t="s">
        <v>53</v>
      </c>
      <c r="V512" t="s">
        <v>2266</v>
      </c>
      <c r="W512" t="s">
        <v>1305</v>
      </c>
      <c r="X512">
        <v>4000</v>
      </c>
      <c r="Y512">
        <v>250</v>
      </c>
      <c r="Z512">
        <v>750</v>
      </c>
      <c r="AA512" t="s">
        <v>2267</v>
      </c>
    </row>
    <row r="513" spans="1:27" x14ac:dyDescent="0.2">
      <c r="A513">
        <v>3507</v>
      </c>
      <c r="B513" t="s">
        <v>795</v>
      </c>
      <c r="C513" t="str">
        <f>_xlfn.CONCAT(Merge[[#This Row],[Customer First Name]]," ",Merge[[#This Row],[Customer Last Name]])</f>
        <v>Garrett Beard</v>
      </c>
      <c r="D513" t="s">
        <v>672</v>
      </c>
      <c r="E513">
        <v>1739</v>
      </c>
      <c r="F513" t="s">
        <v>31</v>
      </c>
      <c r="G513" s="1">
        <v>45505</v>
      </c>
      <c r="H513">
        <v>3</v>
      </c>
      <c r="I513" t="s">
        <v>52</v>
      </c>
      <c r="J513" t="s">
        <v>33</v>
      </c>
      <c r="K513">
        <v>0.1</v>
      </c>
      <c r="L513">
        <v>175.60000000000002</v>
      </c>
      <c r="M513">
        <v>1756</v>
      </c>
      <c r="N513">
        <v>1580.4</v>
      </c>
      <c r="O513" t="s">
        <v>44</v>
      </c>
      <c r="P513">
        <v>1739</v>
      </c>
      <c r="Q513" t="s">
        <v>31</v>
      </c>
      <c r="R513" s="1">
        <v>45505</v>
      </c>
      <c r="S513">
        <v>3</v>
      </c>
      <c r="T513" t="s">
        <v>52</v>
      </c>
      <c r="U513" t="s">
        <v>33</v>
      </c>
      <c r="V513" t="s">
        <v>2268</v>
      </c>
      <c r="W513" t="s">
        <v>1302</v>
      </c>
      <c r="X513">
        <v>6000</v>
      </c>
      <c r="Y513">
        <v>250</v>
      </c>
      <c r="Z513">
        <v>750</v>
      </c>
      <c r="AA513" t="s">
        <v>2269</v>
      </c>
    </row>
    <row r="514" spans="1:27" x14ac:dyDescent="0.2">
      <c r="A514">
        <v>3508</v>
      </c>
      <c r="B514" t="s">
        <v>770</v>
      </c>
      <c r="C514" t="str">
        <f>_xlfn.CONCAT(Merge[[#This Row],[Customer First Name]]," ",Merge[[#This Row],[Customer Last Name]])</f>
        <v>Leland Ramsey</v>
      </c>
      <c r="D514" t="s">
        <v>796</v>
      </c>
      <c r="E514">
        <v>1740</v>
      </c>
      <c r="F514" t="s">
        <v>42</v>
      </c>
      <c r="G514" s="1">
        <v>45551</v>
      </c>
      <c r="H514">
        <v>2</v>
      </c>
      <c r="I514" t="s">
        <v>38</v>
      </c>
      <c r="J514" t="s">
        <v>33</v>
      </c>
      <c r="K514">
        <v>0.25</v>
      </c>
      <c r="L514">
        <v>128.75</v>
      </c>
      <c r="M514">
        <v>515</v>
      </c>
      <c r="N514">
        <v>386.25</v>
      </c>
      <c r="O514" t="s">
        <v>34</v>
      </c>
      <c r="P514">
        <v>1740</v>
      </c>
      <c r="Q514" t="s">
        <v>42</v>
      </c>
      <c r="R514" s="1">
        <v>45551</v>
      </c>
      <c r="S514">
        <v>3</v>
      </c>
      <c r="T514" t="s">
        <v>38</v>
      </c>
      <c r="U514" t="s">
        <v>33</v>
      </c>
      <c r="V514" t="s">
        <v>2270</v>
      </c>
      <c r="W514" t="s">
        <v>1238</v>
      </c>
      <c r="X514">
        <v>6725</v>
      </c>
      <c r="Y514">
        <v>300</v>
      </c>
      <c r="Z514">
        <v>900</v>
      </c>
      <c r="AA514" t="s">
        <v>2271</v>
      </c>
    </row>
    <row r="515" spans="1:27" x14ac:dyDescent="0.2">
      <c r="A515">
        <v>3509</v>
      </c>
      <c r="B515" t="s">
        <v>696</v>
      </c>
      <c r="C515" t="str">
        <f>_xlfn.CONCAT(Merge[[#This Row],[Customer First Name]]," ",Merge[[#This Row],[Customer Last Name]])</f>
        <v>Maximus Fletcher</v>
      </c>
      <c r="D515" t="s">
        <v>390</v>
      </c>
      <c r="E515">
        <v>1741</v>
      </c>
      <c r="F515" t="s">
        <v>51</v>
      </c>
      <c r="G515" s="1">
        <v>45476</v>
      </c>
      <c r="H515">
        <v>1</v>
      </c>
      <c r="I515" t="s">
        <v>32</v>
      </c>
      <c r="J515" t="s">
        <v>39</v>
      </c>
      <c r="K515">
        <v>0.2</v>
      </c>
      <c r="L515">
        <v>91.4</v>
      </c>
      <c r="M515">
        <v>457</v>
      </c>
      <c r="N515">
        <v>365.6</v>
      </c>
      <c r="O515" t="s">
        <v>34</v>
      </c>
      <c r="P515">
        <v>1741</v>
      </c>
      <c r="Q515" t="s">
        <v>51</v>
      </c>
      <c r="R515" s="1">
        <v>45476</v>
      </c>
      <c r="S515">
        <v>3</v>
      </c>
      <c r="T515" t="s">
        <v>32</v>
      </c>
      <c r="U515" t="s">
        <v>39</v>
      </c>
      <c r="V515" t="s">
        <v>2272</v>
      </c>
      <c r="W515" t="s">
        <v>1241</v>
      </c>
      <c r="X515">
        <v>2600</v>
      </c>
      <c r="Y515">
        <v>250</v>
      </c>
      <c r="Z515">
        <v>750</v>
      </c>
      <c r="AA515" t="s">
        <v>2273</v>
      </c>
    </row>
    <row r="516" spans="1:27" x14ac:dyDescent="0.2">
      <c r="A516">
        <v>3510</v>
      </c>
      <c r="B516" t="s">
        <v>96</v>
      </c>
      <c r="C516" t="str">
        <f>_xlfn.CONCAT(Merge[[#This Row],[Customer First Name]]," ",Merge[[#This Row],[Customer Last Name]])</f>
        <v>Camilo Frank</v>
      </c>
      <c r="D516" t="s">
        <v>797</v>
      </c>
      <c r="E516">
        <v>1742</v>
      </c>
      <c r="F516" t="s">
        <v>92</v>
      </c>
      <c r="G516" s="1">
        <v>45642</v>
      </c>
      <c r="H516">
        <v>3</v>
      </c>
      <c r="I516" t="s">
        <v>52</v>
      </c>
      <c r="J516" t="s">
        <v>39</v>
      </c>
      <c r="K516">
        <v>0.3</v>
      </c>
      <c r="L516">
        <v>38.1</v>
      </c>
      <c r="M516">
        <v>127</v>
      </c>
      <c r="N516">
        <v>88.9</v>
      </c>
      <c r="O516" t="s">
        <v>44</v>
      </c>
      <c r="P516">
        <v>1742</v>
      </c>
      <c r="Q516" t="s">
        <v>92</v>
      </c>
      <c r="R516" s="1">
        <v>45642</v>
      </c>
      <c r="S516">
        <v>2</v>
      </c>
      <c r="T516" t="s">
        <v>52</v>
      </c>
      <c r="U516" t="s">
        <v>39</v>
      </c>
      <c r="V516" t="s">
        <v>2274</v>
      </c>
      <c r="W516" t="s">
        <v>1241</v>
      </c>
      <c r="X516">
        <v>2600</v>
      </c>
      <c r="Y516">
        <v>600</v>
      </c>
      <c r="Z516">
        <v>1200</v>
      </c>
      <c r="AA516" t="s">
        <v>2275</v>
      </c>
    </row>
    <row r="517" spans="1:27" x14ac:dyDescent="0.2">
      <c r="A517">
        <v>3511</v>
      </c>
      <c r="B517" t="s">
        <v>193</v>
      </c>
      <c r="C517" t="str">
        <f>_xlfn.CONCAT(Merge[[#This Row],[Customer First Name]]," ",Merge[[#This Row],[Customer Last Name]])</f>
        <v>Zyaire Wong</v>
      </c>
      <c r="D517" t="s">
        <v>798</v>
      </c>
      <c r="E517">
        <v>1743</v>
      </c>
      <c r="F517" t="s">
        <v>31</v>
      </c>
      <c r="G517" s="1">
        <v>45311</v>
      </c>
      <c r="H517">
        <v>1</v>
      </c>
      <c r="I517" t="s">
        <v>52</v>
      </c>
      <c r="J517" t="s">
        <v>57</v>
      </c>
      <c r="K517">
        <v>0.1</v>
      </c>
      <c r="L517">
        <v>167.4</v>
      </c>
      <c r="M517">
        <v>1674</v>
      </c>
      <c r="N517">
        <v>1506.6</v>
      </c>
      <c r="O517" t="s">
        <v>44</v>
      </c>
      <c r="P517">
        <v>1743</v>
      </c>
      <c r="Q517" t="s">
        <v>31</v>
      </c>
      <c r="R517" s="1">
        <v>45311</v>
      </c>
      <c r="S517">
        <v>2</v>
      </c>
      <c r="T517" t="s">
        <v>52</v>
      </c>
      <c r="U517" t="s">
        <v>57</v>
      </c>
      <c r="V517" t="s">
        <v>2276</v>
      </c>
      <c r="W517" t="s">
        <v>1253</v>
      </c>
      <c r="X517">
        <v>5290</v>
      </c>
      <c r="Y517">
        <v>250</v>
      </c>
      <c r="Z517">
        <v>500</v>
      </c>
      <c r="AA517" t="s">
        <v>2277</v>
      </c>
    </row>
    <row r="518" spans="1:27" x14ac:dyDescent="0.2">
      <c r="A518">
        <v>3512</v>
      </c>
      <c r="B518" t="s">
        <v>799</v>
      </c>
      <c r="C518" t="str">
        <f>_xlfn.CONCAT(Merge[[#This Row],[Customer First Name]]," ",Merge[[#This Row],[Customer Last Name]])</f>
        <v>Eduardo Shields</v>
      </c>
      <c r="D518" t="s">
        <v>800</v>
      </c>
      <c r="E518">
        <v>1744</v>
      </c>
      <c r="F518" t="s">
        <v>31</v>
      </c>
      <c r="G518" s="1">
        <v>45452</v>
      </c>
      <c r="H518">
        <v>2</v>
      </c>
      <c r="I518" t="s">
        <v>32</v>
      </c>
      <c r="J518" t="s">
        <v>39</v>
      </c>
      <c r="K518">
        <v>0.1</v>
      </c>
      <c r="L518">
        <v>39.200000000000003</v>
      </c>
      <c r="M518">
        <v>392</v>
      </c>
      <c r="N518">
        <v>352.8</v>
      </c>
      <c r="O518" t="s">
        <v>114</v>
      </c>
      <c r="P518">
        <v>1744</v>
      </c>
      <c r="Q518" t="s">
        <v>31</v>
      </c>
      <c r="R518" s="1">
        <v>45452</v>
      </c>
      <c r="S518">
        <v>2</v>
      </c>
      <c r="T518" t="s">
        <v>32</v>
      </c>
      <c r="U518" t="s">
        <v>39</v>
      </c>
      <c r="V518" t="s">
        <v>2278</v>
      </c>
      <c r="W518" t="s">
        <v>1241</v>
      </c>
      <c r="X518">
        <v>2600</v>
      </c>
      <c r="Y518">
        <v>250</v>
      </c>
      <c r="Z518">
        <v>500</v>
      </c>
      <c r="AA518" t="s">
        <v>2279</v>
      </c>
    </row>
    <row r="519" spans="1:27" x14ac:dyDescent="0.2">
      <c r="A519">
        <v>3513</v>
      </c>
      <c r="B519" t="s">
        <v>801</v>
      </c>
      <c r="C519" t="str">
        <f>_xlfn.CONCAT(Merge[[#This Row],[Customer First Name]]," ",Merge[[#This Row],[Customer Last Name]])</f>
        <v>Edwin Zuniga</v>
      </c>
      <c r="D519" t="s">
        <v>802</v>
      </c>
      <c r="E519">
        <v>1745</v>
      </c>
      <c r="F519" t="s">
        <v>42</v>
      </c>
      <c r="G519" s="1">
        <v>45379</v>
      </c>
      <c r="H519">
        <v>1</v>
      </c>
      <c r="I519" t="s">
        <v>52</v>
      </c>
      <c r="J519" t="s">
        <v>33</v>
      </c>
      <c r="K519">
        <v>0.25</v>
      </c>
      <c r="L519">
        <v>214.25</v>
      </c>
      <c r="M519">
        <v>857</v>
      </c>
      <c r="N519">
        <v>642.75</v>
      </c>
      <c r="O519" t="s">
        <v>54</v>
      </c>
      <c r="P519">
        <v>1745</v>
      </c>
      <c r="Q519" t="s">
        <v>42</v>
      </c>
      <c r="R519" s="1">
        <v>45379</v>
      </c>
      <c r="S519">
        <v>3</v>
      </c>
      <c r="T519" t="s">
        <v>52</v>
      </c>
      <c r="U519" t="s">
        <v>33</v>
      </c>
      <c r="V519" t="s">
        <v>2280</v>
      </c>
      <c r="W519" t="s">
        <v>1302</v>
      </c>
      <c r="X519">
        <v>6000</v>
      </c>
      <c r="Y519">
        <v>300</v>
      </c>
      <c r="Z519">
        <v>900</v>
      </c>
      <c r="AA519" t="s">
        <v>2281</v>
      </c>
    </row>
    <row r="520" spans="1:27" x14ac:dyDescent="0.2">
      <c r="A520">
        <v>3514</v>
      </c>
      <c r="B520" t="s">
        <v>193</v>
      </c>
      <c r="C520" t="str">
        <f>_xlfn.CONCAT(Merge[[#This Row],[Customer First Name]]," ",Merge[[#This Row],[Customer Last Name]])</f>
        <v>Julian Wong</v>
      </c>
      <c r="D520" t="s">
        <v>803</v>
      </c>
      <c r="E520">
        <v>1746</v>
      </c>
      <c r="F520" t="s">
        <v>42</v>
      </c>
      <c r="G520" s="1">
        <v>45586</v>
      </c>
      <c r="H520">
        <v>1</v>
      </c>
      <c r="I520" t="s">
        <v>32</v>
      </c>
      <c r="J520" t="s">
        <v>43</v>
      </c>
      <c r="K520">
        <v>0.25</v>
      </c>
      <c r="L520">
        <v>461</v>
      </c>
      <c r="M520">
        <v>1844</v>
      </c>
      <c r="N520">
        <v>1383</v>
      </c>
      <c r="O520" t="s">
        <v>44</v>
      </c>
      <c r="P520">
        <v>1746</v>
      </c>
      <c r="Q520" t="s">
        <v>42</v>
      </c>
      <c r="R520" s="1">
        <v>45586</v>
      </c>
      <c r="S520">
        <v>2</v>
      </c>
      <c r="T520" t="s">
        <v>32</v>
      </c>
      <c r="U520" t="s">
        <v>43</v>
      </c>
      <c r="V520" t="s">
        <v>2282</v>
      </c>
      <c r="W520" t="s">
        <v>1244</v>
      </c>
      <c r="X520">
        <v>2300</v>
      </c>
      <c r="Y520">
        <v>300</v>
      </c>
      <c r="Z520">
        <v>600</v>
      </c>
      <c r="AA520" t="s">
        <v>2283</v>
      </c>
    </row>
    <row r="521" spans="1:27" x14ac:dyDescent="0.2">
      <c r="A521">
        <v>3515</v>
      </c>
      <c r="B521" t="s">
        <v>804</v>
      </c>
      <c r="C521" t="str">
        <f>_xlfn.CONCAT(Merge[[#This Row],[Customer First Name]]," ",Merge[[#This Row],[Customer Last Name]])</f>
        <v>Erick Pacheco</v>
      </c>
      <c r="D521" t="s">
        <v>312</v>
      </c>
      <c r="E521">
        <v>1747</v>
      </c>
      <c r="F521" t="s">
        <v>31</v>
      </c>
      <c r="G521" s="1">
        <v>45576</v>
      </c>
      <c r="H521">
        <v>3</v>
      </c>
      <c r="I521" t="s">
        <v>52</v>
      </c>
      <c r="J521" t="s">
        <v>81</v>
      </c>
      <c r="K521">
        <v>0.1</v>
      </c>
      <c r="L521">
        <v>138.20000000000002</v>
      </c>
      <c r="M521">
        <v>1382</v>
      </c>
      <c r="N521">
        <v>1243.8</v>
      </c>
      <c r="O521" t="s">
        <v>114</v>
      </c>
      <c r="P521">
        <v>1747</v>
      </c>
      <c r="Q521" t="s">
        <v>31</v>
      </c>
      <c r="R521" s="1">
        <v>45576</v>
      </c>
      <c r="S521">
        <v>3</v>
      </c>
      <c r="T521" t="s">
        <v>52</v>
      </c>
      <c r="U521" t="s">
        <v>81</v>
      </c>
      <c r="V521" t="s">
        <v>2284</v>
      </c>
      <c r="W521" t="s">
        <v>1280</v>
      </c>
      <c r="X521">
        <v>800</v>
      </c>
      <c r="Y521">
        <v>250</v>
      </c>
      <c r="Z521">
        <v>750</v>
      </c>
      <c r="AA521" t="s">
        <v>2285</v>
      </c>
    </row>
    <row r="522" spans="1:27" x14ac:dyDescent="0.2">
      <c r="A522">
        <v>3516</v>
      </c>
      <c r="B522" t="s">
        <v>535</v>
      </c>
      <c r="C522" t="str">
        <f>_xlfn.CONCAT(Merge[[#This Row],[Customer First Name]]," ",Merge[[#This Row],[Customer Last Name]])</f>
        <v>Austin Donovan</v>
      </c>
      <c r="D522" t="s">
        <v>231</v>
      </c>
      <c r="E522">
        <v>1748</v>
      </c>
      <c r="F522" t="s">
        <v>31</v>
      </c>
      <c r="G522" s="1">
        <v>45382</v>
      </c>
      <c r="H522">
        <v>3</v>
      </c>
      <c r="I522" t="s">
        <v>38</v>
      </c>
      <c r="J522" t="s">
        <v>57</v>
      </c>
      <c r="K522">
        <v>0.1</v>
      </c>
      <c r="L522">
        <v>17.600000000000001</v>
      </c>
      <c r="M522">
        <v>176</v>
      </c>
      <c r="N522">
        <v>158.4</v>
      </c>
      <c r="O522" t="s">
        <v>48</v>
      </c>
      <c r="P522">
        <v>1748</v>
      </c>
      <c r="Q522" t="s">
        <v>31</v>
      </c>
      <c r="R522" s="1">
        <v>45382</v>
      </c>
      <c r="S522">
        <v>2</v>
      </c>
      <c r="T522" t="s">
        <v>38</v>
      </c>
      <c r="U522" t="s">
        <v>57</v>
      </c>
      <c r="V522" t="s">
        <v>2286</v>
      </c>
      <c r="W522" t="s">
        <v>1350</v>
      </c>
      <c r="X522">
        <v>5600</v>
      </c>
      <c r="Y522">
        <v>250</v>
      </c>
      <c r="Z522">
        <v>500</v>
      </c>
      <c r="AA522" t="s">
        <v>2287</v>
      </c>
    </row>
    <row r="523" spans="1:27" x14ac:dyDescent="0.2">
      <c r="A523">
        <v>3517</v>
      </c>
      <c r="B523" t="s">
        <v>805</v>
      </c>
      <c r="C523" t="str">
        <f>_xlfn.CONCAT(Merge[[#This Row],[Customer First Name]]," ",Merge[[#This Row],[Customer Last Name]])</f>
        <v>Blake Manning</v>
      </c>
      <c r="D523" t="s">
        <v>616</v>
      </c>
      <c r="E523">
        <v>1749</v>
      </c>
      <c r="F523" t="s">
        <v>92</v>
      </c>
      <c r="G523" s="1">
        <v>45491</v>
      </c>
      <c r="H523">
        <v>3</v>
      </c>
      <c r="I523" t="s">
        <v>52</v>
      </c>
      <c r="J523" t="s">
        <v>53</v>
      </c>
      <c r="K523">
        <v>0.3</v>
      </c>
      <c r="L523">
        <v>93.6</v>
      </c>
      <c r="M523">
        <v>312</v>
      </c>
      <c r="N523">
        <v>218.4</v>
      </c>
      <c r="O523" t="s">
        <v>48</v>
      </c>
      <c r="P523">
        <v>1749</v>
      </c>
      <c r="Q523" t="s">
        <v>92</v>
      </c>
      <c r="R523" s="1">
        <v>45491</v>
      </c>
      <c r="S523">
        <v>1</v>
      </c>
      <c r="T523" t="s">
        <v>52</v>
      </c>
      <c r="U523" t="s">
        <v>53</v>
      </c>
      <c r="V523" t="s">
        <v>2288</v>
      </c>
      <c r="W523" t="s">
        <v>1268</v>
      </c>
      <c r="X523">
        <v>4870</v>
      </c>
      <c r="Y523">
        <v>600</v>
      </c>
      <c r="Z523">
        <v>600</v>
      </c>
      <c r="AA523" t="s">
        <v>2289</v>
      </c>
    </row>
    <row r="524" spans="1:27" x14ac:dyDescent="0.2">
      <c r="A524">
        <v>3518</v>
      </c>
      <c r="B524" t="s">
        <v>139</v>
      </c>
      <c r="C524" t="str">
        <f>_xlfn.CONCAT(Merge[[#This Row],[Customer First Name]]," ",Merge[[#This Row],[Customer Last Name]])</f>
        <v>Connor Ochoa</v>
      </c>
      <c r="D524" t="s">
        <v>806</v>
      </c>
      <c r="E524">
        <v>1750</v>
      </c>
      <c r="F524" t="s">
        <v>51</v>
      </c>
      <c r="G524" s="1">
        <v>45561</v>
      </c>
      <c r="H524">
        <v>3</v>
      </c>
      <c r="I524" t="s">
        <v>32</v>
      </c>
      <c r="J524" t="s">
        <v>43</v>
      </c>
      <c r="K524">
        <v>0.2</v>
      </c>
      <c r="L524">
        <v>74.2</v>
      </c>
      <c r="M524">
        <v>371</v>
      </c>
      <c r="N524">
        <v>296.8</v>
      </c>
      <c r="O524" t="s">
        <v>34</v>
      </c>
      <c r="P524">
        <v>1750</v>
      </c>
      <c r="Q524" t="s">
        <v>51</v>
      </c>
      <c r="R524" s="1">
        <v>45561</v>
      </c>
      <c r="S524">
        <v>1</v>
      </c>
      <c r="T524" t="s">
        <v>32</v>
      </c>
      <c r="U524" t="s">
        <v>43</v>
      </c>
      <c r="V524" t="s">
        <v>2290</v>
      </c>
      <c r="W524" t="s">
        <v>865</v>
      </c>
      <c r="X524">
        <v>2000</v>
      </c>
      <c r="Y524">
        <v>250</v>
      </c>
      <c r="Z524">
        <v>250</v>
      </c>
      <c r="AA524" t="s">
        <v>2291</v>
      </c>
    </row>
    <row r="525" spans="1:27" x14ac:dyDescent="0.2">
      <c r="A525">
        <v>3519</v>
      </c>
      <c r="B525" t="s">
        <v>506</v>
      </c>
      <c r="C525" t="str">
        <f>_xlfn.CONCAT(Merge[[#This Row],[Customer First Name]]," ",Merge[[#This Row],[Customer Last Name]])</f>
        <v>Xander Kramer</v>
      </c>
      <c r="D525" t="s">
        <v>380</v>
      </c>
      <c r="E525">
        <v>1751</v>
      </c>
      <c r="F525" t="s">
        <v>37</v>
      </c>
      <c r="G525" s="1">
        <v>45562</v>
      </c>
      <c r="H525">
        <v>3</v>
      </c>
      <c r="I525" t="s">
        <v>52</v>
      </c>
      <c r="J525" t="s">
        <v>81</v>
      </c>
      <c r="K525">
        <v>0.3</v>
      </c>
      <c r="L525">
        <v>400.2</v>
      </c>
      <c r="M525">
        <v>1334</v>
      </c>
      <c r="N525">
        <v>933.8</v>
      </c>
      <c r="O525" t="s">
        <v>44</v>
      </c>
      <c r="P525">
        <v>1751</v>
      </c>
      <c r="Q525" t="s">
        <v>37</v>
      </c>
      <c r="R525" s="1">
        <v>45562</v>
      </c>
      <c r="S525">
        <v>2</v>
      </c>
      <c r="T525" t="s">
        <v>52</v>
      </c>
      <c r="U525" t="s">
        <v>81</v>
      </c>
      <c r="V525" t="s">
        <v>2292</v>
      </c>
      <c r="W525" t="s">
        <v>1280</v>
      </c>
      <c r="X525">
        <v>800</v>
      </c>
      <c r="Y525">
        <v>800</v>
      </c>
      <c r="Z525">
        <v>1600</v>
      </c>
      <c r="AA525" t="s">
        <v>2293</v>
      </c>
    </row>
    <row r="526" spans="1:27" x14ac:dyDescent="0.2">
      <c r="A526">
        <v>3520</v>
      </c>
      <c r="B526" t="s">
        <v>708</v>
      </c>
      <c r="C526" t="str">
        <f>_xlfn.CONCAT(Merge[[#This Row],[Customer First Name]]," ",Merge[[#This Row],[Customer Last Name]])</f>
        <v>Raelynn Sandoval</v>
      </c>
      <c r="D526" t="s">
        <v>807</v>
      </c>
      <c r="E526">
        <v>1752</v>
      </c>
      <c r="F526" t="s">
        <v>76</v>
      </c>
      <c r="G526" s="1">
        <v>45434</v>
      </c>
      <c r="H526">
        <v>3</v>
      </c>
      <c r="I526" t="s">
        <v>52</v>
      </c>
      <c r="J526" t="s">
        <v>81</v>
      </c>
      <c r="K526">
        <v>0.25</v>
      </c>
      <c r="L526">
        <v>82.25</v>
      </c>
      <c r="M526">
        <v>329</v>
      </c>
      <c r="N526">
        <v>246.75</v>
      </c>
      <c r="O526" t="s">
        <v>54</v>
      </c>
      <c r="P526">
        <v>1752</v>
      </c>
      <c r="Q526" t="s">
        <v>76</v>
      </c>
      <c r="R526" s="1">
        <v>45434</v>
      </c>
      <c r="S526">
        <v>2</v>
      </c>
      <c r="T526" t="s">
        <v>52</v>
      </c>
      <c r="U526" t="s">
        <v>81</v>
      </c>
      <c r="V526" t="s">
        <v>2294</v>
      </c>
      <c r="W526" t="s">
        <v>1280</v>
      </c>
      <c r="X526">
        <v>800</v>
      </c>
      <c r="Y526">
        <v>1200</v>
      </c>
      <c r="Z526">
        <v>2400</v>
      </c>
      <c r="AA526" t="s">
        <v>2295</v>
      </c>
    </row>
    <row r="527" spans="1:27" x14ac:dyDescent="0.2">
      <c r="A527">
        <v>3521</v>
      </c>
      <c r="B527" t="s">
        <v>808</v>
      </c>
      <c r="C527" t="str">
        <f>_xlfn.CONCAT(Merge[[#This Row],[Customer First Name]]," ",Merge[[#This Row],[Customer Last Name]])</f>
        <v>Ronin Hess</v>
      </c>
      <c r="D527" t="s">
        <v>94</v>
      </c>
      <c r="E527">
        <v>1753</v>
      </c>
      <c r="F527" t="s">
        <v>76</v>
      </c>
      <c r="G527" s="1">
        <v>45574</v>
      </c>
      <c r="H527">
        <v>1</v>
      </c>
      <c r="I527" t="s">
        <v>52</v>
      </c>
      <c r="J527" t="s">
        <v>43</v>
      </c>
      <c r="K527">
        <v>0.25</v>
      </c>
      <c r="L527">
        <v>263.25</v>
      </c>
      <c r="M527">
        <v>1053</v>
      </c>
      <c r="N527">
        <v>789.75</v>
      </c>
      <c r="O527" t="s">
        <v>54</v>
      </c>
      <c r="P527">
        <v>1753</v>
      </c>
      <c r="Q527" t="s">
        <v>76</v>
      </c>
      <c r="R527" s="1">
        <v>45574</v>
      </c>
      <c r="S527">
        <v>1</v>
      </c>
      <c r="T527" t="s">
        <v>52</v>
      </c>
      <c r="U527" t="s">
        <v>43</v>
      </c>
      <c r="V527" t="s">
        <v>2296</v>
      </c>
      <c r="W527" t="s">
        <v>865</v>
      </c>
      <c r="X527">
        <v>2000</v>
      </c>
      <c r="Y527">
        <v>1200</v>
      </c>
      <c r="Z527">
        <v>1200</v>
      </c>
      <c r="AA527" t="s">
        <v>2297</v>
      </c>
    </row>
    <row r="528" spans="1:27" x14ac:dyDescent="0.2">
      <c r="A528">
        <v>3522</v>
      </c>
      <c r="B528" t="s">
        <v>559</v>
      </c>
      <c r="C528" t="str">
        <f>_xlfn.CONCAT(Merge[[#This Row],[Customer First Name]]," ",Merge[[#This Row],[Customer Last Name]])</f>
        <v>Kairo Gregory</v>
      </c>
      <c r="D528" t="s">
        <v>809</v>
      </c>
      <c r="E528">
        <v>1754</v>
      </c>
      <c r="F528" t="s">
        <v>37</v>
      </c>
      <c r="G528" s="1">
        <v>45564</v>
      </c>
      <c r="H528">
        <v>1</v>
      </c>
      <c r="I528" t="s">
        <v>38</v>
      </c>
      <c r="J528" t="s">
        <v>64</v>
      </c>
      <c r="K528">
        <v>0.3</v>
      </c>
      <c r="L528">
        <v>58.199999999999996</v>
      </c>
      <c r="M528">
        <v>194</v>
      </c>
      <c r="N528">
        <v>135.80000000000001</v>
      </c>
      <c r="O528" t="s">
        <v>44</v>
      </c>
      <c r="P528">
        <v>1754</v>
      </c>
      <c r="Q528" t="s">
        <v>37</v>
      </c>
      <c r="R528" s="1">
        <v>45564</v>
      </c>
      <c r="S528">
        <v>1</v>
      </c>
      <c r="T528" t="s">
        <v>38</v>
      </c>
      <c r="U528" t="s">
        <v>64</v>
      </c>
      <c r="V528" t="s">
        <v>2298</v>
      </c>
      <c r="W528" t="s">
        <v>1262</v>
      </c>
      <c r="X528">
        <v>7250</v>
      </c>
      <c r="Y528">
        <v>800</v>
      </c>
      <c r="Z528">
        <v>800</v>
      </c>
      <c r="AA528" t="s">
        <v>2299</v>
      </c>
    </row>
    <row r="529" spans="1:27" x14ac:dyDescent="0.2">
      <c r="A529">
        <v>3523</v>
      </c>
      <c r="B529" t="s">
        <v>273</v>
      </c>
      <c r="C529" t="str">
        <f>_xlfn.CONCAT(Merge[[#This Row],[Customer First Name]]," ",Merge[[#This Row],[Customer Last Name]])</f>
        <v>Pablo Randolph</v>
      </c>
      <c r="D529" t="s">
        <v>810</v>
      </c>
      <c r="E529">
        <v>1755</v>
      </c>
      <c r="F529" t="s">
        <v>76</v>
      </c>
      <c r="G529" s="1">
        <v>45650</v>
      </c>
      <c r="H529">
        <v>2</v>
      </c>
      <c r="I529" t="s">
        <v>52</v>
      </c>
      <c r="J529" t="s">
        <v>33</v>
      </c>
      <c r="K529">
        <v>0.25</v>
      </c>
      <c r="L529">
        <v>17.25</v>
      </c>
      <c r="M529">
        <v>69</v>
      </c>
      <c r="N529">
        <v>51.75</v>
      </c>
      <c r="O529" t="s">
        <v>34</v>
      </c>
      <c r="P529">
        <v>1755</v>
      </c>
      <c r="Q529" t="s">
        <v>76</v>
      </c>
      <c r="R529" s="1">
        <v>45650</v>
      </c>
      <c r="S529">
        <v>3</v>
      </c>
      <c r="T529" t="s">
        <v>52</v>
      </c>
      <c r="U529" t="s">
        <v>33</v>
      </c>
      <c r="V529" t="s">
        <v>2300</v>
      </c>
      <c r="W529" t="s">
        <v>1238</v>
      </c>
      <c r="X529">
        <v>6725</v>
      </c>
      <c r="Y529">
        <v>1200</v>
      </c>
      <c r="Z529">
        <v>3600</v>
      </c>
      <c r="AA529" t="s">
        <v>2301</v>
      </c>
    </row>
    <row r="530" spans="1:27" x14ac:dyDescent="0.2">
      <c r="A530">
        <v>3524</v>
      </c>
      <c r="B530" t="s">
        <v>502</v>
      </c>
      <c r="C530" t="str">
        <f>_xlfn.CONCAT(Merge[[#This Row],[Customer First Name]]," ",Merge[[#This Row],[Customer Last Name]])</f>
        <v>Frederick Kaur</v>
      </c>
      <c r="D530" t="s">
        <v>811</v>
      </c>
      <c r="E530">
        <v>1756</v>
      </c>
      <c r="F530" t="s">
        <v>37</v>
      </c>
      <c r="G530" s="1">
        <v>45438</v>
      </c>
      <c r="H530">
        <v>2</v>
      </c>
      <c r="I530" t="s">
        <v>38</v>
      </c>
      <c r="J530" t="s">
        <v>64</v>
      </c>
      <c r="K530">
        <v>0.3</v>
      </c>
      <c r="L530">
        <v>66</v>
      </c>
      <c r="M530">
        <v>220</v>
      </c>
      <c r="N530">
        <v>154</v>
      </c>
      <c r="O530" t="s">
        <v>34</v>
      </c>
      <c r="P530">
        <v>1756</v>
      </c>
      <c r="Q530" t="s">
        <v>37</v>
      </c>
      <c r="R530" s="1">
        <v>45438</v>
      </c>
      <c r="S530">
        <v>2</v>
      </c>
      <c r="T530" t="s">
        <v>38</v>
      </c>
      <c r="U530" t="s">
        <v>64</v>
      </c>
      <c r="V530" t="s">
        <v>2302</v>
      </c>
      <c r="W530" t="s">
        <v>1265</v>
      </c>
      <c r="X530">
        <v>7000</v>
      </c>
      <c r="Y530">
        <v>800</v>
      </c>
      <c r="Z530">
        <v>1600</v>
      </c>
      <c r="AA530" t="s">
        <v>2303</v>
      </c>
    </row>
    <row r="531" spans="1:27" x14ac:dyDescent="0.2">
      <c r="A531">
        <v>3525</v>
      </c>
      <c r="B531" t="s">
        <v>812</v>
      </c>
      <c r="C531" t="str">
        <f>_xlfn.CONCAT(Merge[[#This Row],[Customer First Name]]," ",Merge[[#This Row],[Customer Last Name]])</f>
        <v>William Skinner</v>
      </c>
      <c r="D531" t="s">
        <v>757</v>
      </c>
      <c r="E531">
        <v>1757</v>
      </c>
      <c r="F531" t="s">
        <v>42</v>
      </c>
      <c r="G531" s="1">
        <v>45611</v>
      </c>
      <c r="H531">
        <v>1</v>
      </c>
      <c r="I531" t="s">
        <v>32</v>
      </c>
      <c r="J531" t="s">
        <v>33</v>
      </c>
      <c r="K531">
        <v>0.25</v>
      </c>
      <c r="L531">
        <v>109</v>
      </c>
      <c r="M531">
        <v>436</v>
      </c>
      <c r="N531">
        <v>327</v>
      </c>
      <c r="O531" t="s">
        <v>48</v>
      </c>
      <c r="P531">
        <v>1757</v>
      </c>
      <c r="Q531" t="s">
        <v>42</v>
      </c>
      <c r="R531" s="1">
        <v>45611</v>
      </c>
      <c r="S531">
        <v>2</v>
      </c>
      <c r="T531" t="s">
        <v>32</v>
      </c>
      <c r="U531" t="s">
        <v>33</v>
      </c>
      <c r="V531" t="s">
        <v>2304</v>
      </c>
      <c r="W531" t="s">
        <v>1238</v>
      </c>
      <c r="X531">
        <v>6725</v>
      </c>
      <c r="Y531">
        <v>300</v>
      </c>
      <c r="Z531">
        <v>600</v>
      </c>
      <c r="AA531" t="s">
        <v>2305</v>
      </c>
    </row>
    <row r="532" spans="1:27" x14ac:dyDescent="0.2">
      <c r="A532">
        <v>3526</v>
      </c>
      <c r="B532" t="s">
        <v>813</v>
      </c>
      <c r="C532" t="str">
        <f>_xlfn.CONCAT(Merge[[#This Row],[Customer First Name]]," ",Merge[[#This Row],[Customer Last Name]])</f>
        <v>Josue Bennett</v>
      </c>
      <c r="D532" t="s">
        <v>814</v>
      </c>
      <c r="E532">
        <v>1758</v>
      </c>
      <c r="F532" t="s">
        <v>37</v>
      </c>
      <c r="G532" s="1">
        <v>45525</v>
      </c>
      <c r="H532">
        <v>2</v>
      </c>
      <c r="I532" t="s">
        <v>52</v>
      </c>
      <c r="J532" t="s">
        <v>33</v>
      </c>
      <c r="K532">
        <v>0.3</v>
      </c>
      <c r="L532">
        <v>50.699999999999996</v>
      </c>
      <c r="M532">
        <v>169</v>
      </c>
      <c r="N532">
        <v>118.30000000000001</v>
      </c>
      <c r="O532" t="s">
        <v>48</v>
      </c>
      <c r="P532">
        <v>1758</v>
      </c>
      <c r="Q532" t="s">
        <v>37</v>
      </c>
      <c r="R532" s="1">
        <v>45525</v>
      </c>
      <c r="S532">
        <v>2</v>
      </c>
      <c r="T532" t="s">
        <v>52</v>
      </c>
      <c r="U532" t="s">
        <v>33</v>
      </c>
      <c r="V532" t="s">
        <v>2306</v>
      </c>
      <c r="W532" t="s">
        <v>1302</v>
      </c>
      <c r="X532">
        <v>6000</v>
      </c>
      <c r="Y532">
        <v>800</v>
      </c>
      <c r="Z532">
        <v>1600</v>
      </c>
      <c r="AA532" t="s">
        <v>2307</v>
      </c>
    </row>
    <row r="533" spans="1:27" x14ac:dyDescent="0.2">
      <c r="A533">
        <v>3527</v>
      </c>
      <c r="B533" t="s">
        <v>815</v>
      </c>
      <c r="C533" t="str">
        <f>_xlfn.CONCAT(Merge[[#This Row],[Customer First Name]]," ",Merge[[#This Row],[Customer Last Name]])</f>
        <v>Brian Carter</v>
      </c>
      <c r="D533" t="s">
        <v>54</v>
      </c>
      <c r="E533">
        <v>1759</v>
      </c>
      <c r="F533" t="s">
        <v>51</v>
      </c>
      <c r="G533" s="1">
        <v>45531</v>
      </c>
      <c r="H533">
        <v>1</v>
      </c>
      <c r="I533" t="s">
        <v>71</v>
      </c>
      <c r="J533" t="s">
        <v>53</v>
      </c>
      <c r="K533">
        <v>0.2</v>
      </c>
      <c r="L533">
        <v>52.6</v>
      </c>
      <c r="M533">
        <v>263</v>
      </c>
      <c r="N533">
        <v>210.4</v>
      </c>
      <c r="O533" t="s">
        <v>44</v>
      </c>
      <c r="P533">
        <v>1759</v>
      </c>
      <c r="Q533" t="s">
        <v>51</v>
      </c>
      <c r="R533" s="1">
        <v>45531</v>
      </c>
      <c r="S533">
        <v>3</v>
      </c>
      <c r="T533" t="s">
        <v>71</v>
      </c>
      <c r="U533" t="s">
        <v>53</v>
      </c>
      <c r="V533" t="s">
        <v>2308</v>
      </c>
      <c r="W533" t="s">
        <v>1305</v>
      </c>
      <c r="X533">
        <v>4000</v>
      </c>
      <c r="Y533">
        <v>250</v>
      </c>
      <c r="Z533">
        <v>750</v>
      </c>
      <c r="AA533" t="s">
        <v>2309</v>
      </c>
    </row>
    <row r="534" spans="1:27" x14ac:dyDescent="0.2">
      <c r="A534">
        <v>3528</v>
      </c>
      <c r="B534" t="s">
        <v>816</v>
      </c>
      <c r="C534" t="str">
        <f>_xlfn.CONCAT(Merge[[#This Row],[Customer First Name]]," ",Merge[[#This Row],[Customer Last Name]])</f>
        <v>Asher Hamilton</v>
      </c>
      <c r="D534" t="s">
        <v>340</v>
      </c>
      <c r="E534">
        <v>1760</v>
      </c>
      <c r="F534" t="s">
        <v>51</v>
      </c>
      <c r="G534" s="1">
        <v>45592</v>
      </c>
      <c r="H534">
        <v>1</v>
      </c>
      <c r="I534" t="s">
        <v>71</v>
      </c>
      <c r="J534" t="s">
        <v>81</v>
      </c>
      <c r="K534">
        <v>0.2</v>
      </c>
      <c r="L534">
        <v>153.4</v>
      </c>
      <c r="M534">
        <v>767</v>
      </c>
      <c r="N534">
        <v>613.6</v>
      </c>
      <c r="O534" t="s">
        <v>34</v>
      </c>
      <c r="P534">
        <v>1760</v>
      </c>
      <c r="Q534" t="s">
        <v>51</v>
      </c>
      <c r="R534" s="1">
        <v>45592</v>
      </c>
      <c r="S534">
        <v>2</v>
      </c>
      <c r="T534" t="s">
        <v>71</v>
      </c>
      <c r="U534" t="s">
        <v>81</v>
      </c>
      <c r="V534" t="s">
        <v>2310</v>
      </c>
      <c r="W534" t="s">
        <v>1361</v>
      </c>
      <c r="X534">
        <v>870</v>
      </c>
      <c r="Y534">
        <v>250</v>
      </c>
      <c r="Z534">
        <v>500</v>
      </c>
      <c r="AA534" t="s">
        <v>2311</v>
      </c>
    </row>
    <row r="535" spans="1:27" x14ac:dyDescent="0.2">
      <c r="A535">
        <v>3529</v>
      </c>
      <c r="B535" t="s">
        <v>302</v>
      </c>
      <c r="C535" t="str">
        <f>_xlfn.CONCAT(Merge[[#This Row],[Customer First Name]]," ",Merge[[#This Row],[Customer Last Name]])</f>
        <v>Dawson Velazquez</v>
      </c>
      <c r="D535" t="s">
        <v>718</v>
      </c>
      <c r="E535">
        <v>1761</v>
      </c>
      <c r="F535" t="s">
        <v>31</v>
      </c>
      <c r="G535" s="1">
        <v>45297</v>
      </c>
      <c r="H535">
        <v>2</v>
      </c>
      <c r="I535" t="s">
        <v>32</v>
      </c>
      <c r="J535" t="s">
        <v>47</v>
      </c>
      <c r="K535">
        <v>0.1</v>
      </c>
      <c r="L535">
        <v>113.4</v>
      </c>
      <c r="M535">
        <v>1134</v>
      </c>
      <c r="N535">
        <v>1020.6</v>
      </c>
      <c r="O535" t="s">
        <v>48</v>
      </c>
      <c r="P535">
        <v>1761</v>
      </c>
      <c r="Q535" t="s">
        <v>31</v>
      </c>
      <c r="R535" s="1">
        <v>45297</v>
      </c>
      <c r="S535">
        <v>3</v>
      </c>
      <c r="T535" t="s">
        <v>32</v>
      </c>
      <c r="U535" t="s">
        <v>47</v>
      </c>
      <c r="V535" t="s">
        <v>2312</v>
      </c>
      <c r="W535" t="s">
        <v>1256</v>
      </c>
      <c r="X535">
        <v>3220</v>
      </c>
      <c r="Y535">
        <v>250</v>
      </c>
      <c r="Z535">
        <v>750</v>
      </c>
      <c r="AA535" t="s">
        <v>2313</v>
      </c>
    </row>
    <row r="536" spans="1:27" x14ac:dyDescent="0.2">
      <c r="A536">
        <v>3530</v>
      </c>
      <c r="B536" t="s">
        <v>171</v>
      </c>
      <c r="C536" t="str">
        <f>_xlfn.CONCAT(Merge[[#This Row],[Customer First Name]]," ",Merge[[#This Row],[Customer Last Name]])</f>
        <v>Elle Russell</v>
      </c>
      <c r="D536" t="s">
        <v>817</v>
      </c>
      <c r="E536">
        <v>1762</v>
      </c>
      <c r="F536" t="s">
        <v>76</v>
      </c>
      <c r="G536" s="1">
        <v>45295</v>
      </c>
      <c r="H536">
        <v>1</v>
      </c>
      <c r="I536" t="s">
        <v>32</v>
      </c>
      <c r="J536" t="s">
        <v>53</v>
      </c>
      <c r="K536">
        <v>0.25</v>
      </c>
      <c r="L536">
        <v>83.5</v>
      </c>
      <c r="M536">
        <v>334</v>
      </c>
      <c r="N536">
        <v>250.5</v>
      </c>
      <c r="O536" t="s">
        <v>34</v>
      </c>
      <c r="P536">
        <v>1762</v>
      </c>
      <c r="Q536" t="s">
        <v>76</v>
      </c>
      <c r="R536" s="1">
        <v>45295</v>
      </c>
      <c r="S536">
        <v>3</v>
      </c>
      <c r="T536" t="s">
        <v>32</v>
      </c>
      <c r="U536" t="s">
        <v>53</v>
      </c>
      <c r="V536" t="s">
        <v>2314</v>
      </c>
      <c r="W536" t="s">
        <v>1250</v>
      </c>
      <c r="X536">
        <v>4217</v>
      </c>
      <c r="Y536">
        <v>1200</v>
      </c>
      <c r="Z536">
        <v>3600</v>
      </c>
      <c r="AA536" t="s">
        <v>2315</v>
      </c>
    </row>
    <row r="537" spans="1:27" x14ac:dyDescent="0.2">
      <c r="A537">
        <v>3531</v>
      </c>
      <c r="B537" t="s">
        <v>564</v>
      </c>
      <c r="C537" t="str">
        <f>_xlfn.CONCAT(Merge[[#This Row],[Customer First Name]]," ",Merge[[#This Row],[Customer Last Name]])</f>
        <v>Jeremiah Case</v>
      </c>
      <c r="D537" t="s">
        <v>729</v>
      </c>
      <c r="E537">
        <v>1763</v>
      </c>
      <c r="F537" t="s">
        <v>76</v>
      </c>
      <c r="G537" s="1">
        <v>45637</v>
      </c>
      <c r="H537">
        <v>2</v>
      </c>
      <c r="I537" t="s">
        <v>52</v>
      </c>
      <c r="J537" t="s">
        <v>64</v>
      </c>
      <c r="K537">
        <v>0.25</v>
      </c>
      <c r="L537">
        <v>109.75</v>
      </c>
      <c r="M537">
        <v>439</v>
      </c>
      <c r="N537">
        <v>329.25</v>
      </c>
      <c r="O537" t="s">
        <v>34</v>
      </c>
      <c r="P537">
        <v>1763</v>
      </c>
      <c r="Q537" t="s">
        <v>76</v>
      </c>
      <c r="R537" s="1">
        <v>45637</v>
      </c>
      <c r="S537">
        <v>3</v>
      </c>
      <c r="T537" t="s">
        <v>52</v>
      </c>
      <c r="U537" t="s">
        <v>64</v>
      </c>
      <c r="V537" t="s">
        <v>2316</v>
      </c>
      <c r="W537" t="s">
        <v>1400</v>
      </c>
      <c r="X537">
        <v>7310</v>
      </c>
      <c r="Y537">
        <v>1200</v>
      </c>
      <c r="Z537">
        <v>3600</v>
      </c>
      <c r="AA537" t="s">
        <v>2317</v>
      </c>
    </row>
    <row r="538" spans="1:27" x14ac:dyDescent="0.2">
      <c r="A538">
        <v>3532</v>
      </c>
      <c r="B538" t="s">
        <v>665</v>
      </c>
      <c r="C538" t="str">
        <f>_xlfn.CONCAT(Merge[[#This Row],[Customer First Name]]," ",Merge[[#This Row],[Customer Last Name]])</f>
        <v>Alison Combs</v>
      </c>
      <c r="D538" t="s">
        <v>715</v>
      </c>
      <c r="E538">
        <v>1764</v>
      </c>
      <c r="F538" t="s">
        <v>42</v>
      </c>
      <c r="G538" s="1">
        <v>45385</v>
      </c>
      <c r="H538">
        <v>1</v>
      </c>
      <c r="I538" t="s">
        <v>52</v>
      </c>
      <c r="J538" t="s">
        <v>53</v>
      </c>
      <c r="K538">
        <v>0.25</v>
      </c>
      <c r="L538">
        <v>319.5</v>
      </c>
      <c r="M538">
        <v>1278</v>
      </c>
      <c r="N538">
        <v>958.5</v>
      </c>
      <c r="O538" t="s">
        <v>44</v>
      </c>
      <c r="P538">
        <v>1764</v>
      </c>
      <c r="Q538" t="s">
        <v>42</v>
      </c>
      <c r="R538" s="1">
        <v>45385</v>
      </c>
      <c r="S538">
        <v>1</v>
      </c>
      <c r="T538" t="s">
        <v>52</v>
      </c>
      <c r="U538" t="s">
        <v>53</v>
      </c>
      <c r="V538" t="s">
        <v>2318</v>
      </c>
      <c r="W538" t="s">
        <v>1305</v>
      </c>
      <c r="X538">
        <v>4000</v>
      </c>
      <c r="Y538">
        <v>300</v>
      </c>
      <c r="Z538">
        <v>300</v>
      </c>
      <c r="AA538" t="s">
        <v>2319</v>
      </c>
    </row>
    <row r="539" spans="1:27" x14ac:dyDescent="0.2">
      <c r="A539">
        <v>3533</v>
      </c>
      <c r="B539" t="s">
        <v>818</v>
      </c>
      <c r="C539" t="str">
        <f>_xlfn.CONCAT(Merge[[#This Row],[Customer First Name]]," ",Merge[[#This Row],[Customer Last Name]])</f>
        <v>Cooper Medina</v>
      </c>
      <c r="D539" t="s">
        <v>203</v>
      </c>
      <c r="E539">
        <v>1765</v>
      </c>
      <c r="F539" t="s">
        <v>42</v>
      </c>
      <c r="G539" s="1">
        <v>45528</v>
      </c>
      <c r="H539">
        <v>1</v>
      </c>
      <c r="I539" t="s">
        <v>52</v>
      </c>
      <c r="J539" t="s">
        <v>53</v>
      </c>
      <c r="K539">
        <v>0.25</v>
      </c>
      <c r="L539">
        <v>101.75</v>
      </c>
      <c r="M539">
        <v>407</v>
      </c>
      <c r="N539">
        <v>305.25</v>
      </c>
      <c r="O539" t="s">
        <v>44</v>
      </c>
      <c r="P539">
        <v>1765</v>
      </c>
      <c r="Q539" t="s">
        <v>42</v>
      </c>
      <c r="R539" s="1">
        <v>45528</v>
      </c>
      <c r="S539">
        <v>1</v>
      </c>
      <c r="T539" t="s">
        <v>52</v>
      </c>
      <c r="U539" t="s">
        <v>53</v>
      </c>
      <c r="V539" t="s">
        <v>2320</v>
      </c>
      <c r="W539" t="s">
        <v>1268</v>
      </c>
      <c r="X539">
        <v>4870</v>
      </c>
      <c r="Y539">
        <v>300</v>
      </c>
      <c r="Z539">
        <v>300</v>
      </c>
      <c r="AA539" t="s">
        <v>2321</v>
      </c>
    </row>
    <row r="540" spans="1:27" x14ac:dyDescent="0.2">
      <c r="A540">
        <v>3534</v>
      </c>
      <c r="B540" t="s">
        <v>819</v>
      </c>
      <c r="C540" t="str">
        <f>_xlfn.CONCAT(Merge[[#This Row],[Customer First Name]]," ",Merge[[#This Row],[Customer Last Name]])</f>
        <v>Kamila Jimenez</v>
      </c>
      <c r="D540" t="s">
        <v>820</v>
      </c>
      <c r="E540">
        <v>1766</v>
      </c>
      <c r="F540" t="s">
        <v>31</v>
      </c>
      <c r="G540" s="1">
        <v>45294</v>
      </c>
      <c r="H540">
        <v>1</v>
      </c>
      <c r="I540" t="s">
        <v>52</v>
      </c>
      <c r="J540" t="s">
        <v>39</v>
      </c>
      <c r="K540">
        <v>0.1</v>
      </c>
      <c r="L540">
        <v>68.3</v>
      </c>
      <c r="M540">
        <v>683</v>
      </c>
      <c r="N540">
        <v>614.70000000000005</v>
      </c>
      <c r="O540" t="s">
        <v>34</v>
      </c>
      <c r="P540">
        <v>1766</v>
      </c>
      <c r="Q540" t="s">
        <v>31</v>
      </c>
      <c r="R540" s="1">
        <v>45294</v>
      </c>
      <c r="S540">
        <v>3</v>
      </c>
      <c r="T540" t="s">
        <v>52</v>
      </c>
      <c r="U540" t="s">
        <v>39</v>
      </c>
      <c r="V540" t="s">
        <v>2322</v>
      </c>
      <c r="W540" t="s">
        <v>1241</v>
      </c>
      <c r="X540">
        <v>2600</v>
      </c>
      <c r="Y540">
        <v>250</v>
      </c>
      <c r="Z540">
        <v>750</v>
      </c>
      <c r="AA540" t="s">
        <v>2323</v>
      </c>
    </row>
    <row r="541" spans="1:27" x14ac:dyDescent="0.2">
      <c r="A541">
        <v>3535</v>
      </c>
      <c r="B541" t="s">
        <v>467</v>
      </c>
      <c r="C541" t="str">
        <f>_xlfn.CONCAT(Merge[[#This Row],[Customer First Name]]," ",Merge[[#This Row],[Customer Last Name]])</f>
        <v>Penelope Sexton</v>
      </c>
      <c r="D541" t="s">
        <v>821</v>
      </c>
      <c r="E541">
        <v>1767</v>
      </c>
      <c r="F541" t="s">
        <v>76</v>
      </c>
      <c r="G541" s="1">
        <v>45324</v>
      </c>
      <c r="H541">
        <v>2</v>
      </c>
      <c r="I541" t="s">
        <v>52</v>
      </c>
      <c r="J541" t="s">
        <v>81</v>
      </c>
      <c r="K541">
        <v>0.25</v>
      </c>
      <c r="L541">
        <v>102.75</v>
      </c>
      <c r="M541">
        <v>411</v>
      </c>
      <c r="N541">
        <v>308.25</v>
      </c>
      <c r="O541" t="s">
        <v>34</v>
      </c>
      <c r="P541">
        <v>1767</v>
      </c>
      <c r="Q541" t="s">
        <v>76</v>
      </c>
      <c r="R541" s="1">
        <v>45324</v>
      </c>
      <c r="S541">
        <v>2</v>
      </c>
      <c r="T541" t="s">
        <v>52</v>
      </c>
      <c r="U541" t="s">
        <v>81</v>
      </c>
      <c r="V541" t="s">
        <v>2324</v>
      </c>
      <c r="W541" t="s">
        <v>1280</v>
      </c>
      <c r="X541">
        <v>800</v>
      </c>
      <c r="Y541">
        <v>1200</v>
      </c>
      <c r="Z541">
        <v>2400</v>
      </c>
      <c r="AA541" t="s">
        <v>2325</v>
      </c>
    </row>
    <row r="542" spans="1:27" x14ac:dyDescent="0.2">
      <c r="A542">
        <v>3536</v>
      </c>
      <c r="B542" t="s">
        <v>241</v>
      </c>
      <c r="C542" t="str">
        <f>_xlfn.CONCAT(Merge[[#This Row],[Customer First Name]]," ",Merge[[#This Row],[Customer Last Name]])</f>
        <v>Asa Singh</v>
      </c>
      <c r="D542" t="s">
        <v>768</v>
      </c>
      <c r="E542">
        <v>1768</v>
      </c>
      <c r="F542" t="s">
        <v>76</v>
      </c>
      <c r="G542" s="1">
        <v>45328</v>
      </c>
      <c r="H542">
        <v>2</v>
      </c>
      <c r="I542" t="s">
        <v>32</v>
      </c>
      <c r="J542" t="s">
        <v>33</v>
      </c>
      <c r="K542">
        <v>0.25</v>
      </c>
      <c r="L542">
        <v>239.5</v>
      </c>
      <c r="M542">
        <v>958</v>
      </c>
      <c r="N542">
        <v>718.5</v>
      </c>
      <c r="O542" t="s">
        <v>34</v>
      </c>
      <c r="P542">
        <v>1768</v>
      </c>
      <c r="Q542" t="s">
        <v>76</v>
      </c>
      <c r="R542" s="1">
        <v>45328</v>
      </c>
      <c r="S542">
        <v>2</v>
      </c>
      <c r="T542" t="s">
        <v>32</v>
      </c>
      <c r="U542" t="s">
        <v>33</v>
      </c>
      <c r="V542" t="s">
        <v>2326</v>
      </c>
      <c r="W542" t="s">
        <v>1259</v>
      </c>
      <c r="X542">
        <v>6160</v>
      </c>
      <c r="Y542">
        <v>1200</v>
      </c>
      <c r="Z542">
        <v>2400</v>
      </c>
      <c r="AA542" t="s">
        <v>2327</v>
      </c>
    </row>
    <row r="543" spans="1:27" x14ac:dyDescent="0.2">
      <c r="A543">
        <v>3537</v>
      </c>
      <c r="B543" t="s">
        <v>822</v>
      </c>
      <c r="C543" t="str">
        <f>_xlfn.CONCAT(Merge[[#This Row],[Customer First Name]]," ",Merge[[#This Row],[Customer Last Name]])</f>
        <v>Koda Valentine</v>
      </c>
      <c r="D543" t="s">
        <v>823</v>
      </c>
      <c r="E543">
        <v>1769</v>
      </c>
      <c r="F543" t="s">
        <v>92</v>
      </c>
      <c r="G543" s="1">
        <v>45365</v>
      </c>
      <c r="H543">
        <v>2</v>
      </c>
      <c r="I543" t="s">
        <v>32</v>
      </c>
      <c r="J543" t="s">
        <v>81</v>
      </c>
      <c r="K543">
        <v>0.3</v>
      </c>
      <c r="L543">
        <v>162.9</v>
      </c>
      <c r="M543">
        <v>543</v>
      </c>
      <c r="N543">
        <v>380.1</v>
      </c>
      <c r="O543" t="s">
        <v>114</v>
      </c>
      <c r="P543">
        <v>1769</v>
      </c>
      <c r="Q543" t="s">
        <v>92</v>
      </c>
      <c r="R543" s="1">
        <v>45365</v>
      </c>
      <c r="S543">
        <v>3</v>
      </c>
      <c r="T543" t="s">
        <v>32</v>
      </c>
      <c r="U543" t="s">
        <v>81</v>
      </c>
      <c r="V543" t="s">
        <v>2328</v>
      </c>
      <c r="W543" t="s">
        <v>1361</v>
      </c>
      <c r="X543">
        <v>870</v>
      </c>
      <c r="Y543">
        <v>600</v>
      </c>
      <c r="Z543">
        <v>1800</v>
      </c>
      <c r="AA543" t="s">
        <v>2329</v>
      </c>
    </row>
    <row r="544" spans="1:27" x14ac:dyDescent="0.2">
      <c r="A544">
        <v>3538</v>
      </c>
      <c r="B544" t="s">
        <v>824</v>
      </c>
      <c r="C544" t="str">
        <f>_xlfn.CONCAT(Merge[[#This Row],[Customer First Name]]," ",Merge[[#This Row],[Customer Last Name]])</f>
        <v>Esmeralda Chang</v>
      </c>
      <c r="D544" t="s">
        <v>825</v>
      </c>
      <c r="E544">
        <v>1770</v>
      </c>
      <c r="F544" t="s">
        <v>92</v>
      </c>
      <c r="G544" s="1">
        <v>45617</v>
      </c>
      <c r="H544">
        <v>3</v>
      </c>
      <c r="I544" t="s">
        <v>52</v>
      </c>
      <c r="J544" t="s">
        <v>39</v>
      </c>
      <c r="K544">
        <v>0.3</v>
      </c>
      <c r="L544">
        <v>171.9</v>
      </c>
      <c r="M544">
        <v>573</v>
      </c>
      <c r="N544">
        <v>401.1</v>
      </c>
      <c r="O544" t="s">
        <v>48</v>
      </c>
      <c r="P544">
        <v>1770</v>
      </c>
      <c r="Q544" t="s">
        <v>92</v>
      </c>
      <c r="R544" s="1">
        <v>45617</v>
      </c>
      <c r="S544">
        <v>2</v>
      </c>
      <c r="T544" t="s">
        <v>52</v>
      </c>
      <c r="U544" t="s">
        <v>39</v>
      </c>
      <c r="V544" t="s">
        <v>2330</v>
      </c>
      <c r="W544" t="s">
        <v>1241</v>
      </c>
      <c r="X544">
        <v>2600</v>
      </c>
      <c r="Y544">
        <v>600</v>
      </c>
      <c r="Z544">
        <v>1200</v>
      </c>
      <c r="AA544" t="s">
        <v>2331</v>
      </c>
    </row>
    <row r="545" spans="1:27" x14ac:dyDescent="0.2">
      <c r="A545">
        <v>3539</v>
      </c>
      <c r="B545" t="s">
        <v>508</v>
      </c>
      <c r="C545" t="str">
        <f>_xlfn.CONCAT(Merge[[#This Row],[Customer First Name]]," ",Merge[[#This Row],[Customer Last Name]])</f>
        <v>Alayna Crosby</v>
      </c>
      <c r="D545" t="s">
        <v>826</v>
      </c>
      <c r="E545">
        <v>1771</v>
      </c>
      <c r="F545" t="s">
        <v>37</v>
      </c>
      <c r="G545" s="1">
        <v>45297</v>
      </c>
      <c r="H545">
        <v>1</v>
      </c>
      <c r="I545" t="s">
        <v>52</v>
      </c>
      <c r="J545" t="s">
        <v>47</v>
      </c>
      <c r="K545">
        <v>0.3</v>
      </c>
      <c r="L545">
        <v>345.3</v>
      </c>
      <c r="M545">
        <v>1151</v>
      </c>
      <c r="N545">
        <v>805.7</v>
      </c>
      <c r="O545" t="s">
        <v>44</v>
      </c>
      <c r="P545">
        <v>1771</v>
      </c>
      <c r="Q545" t="s">
        <v>37</v>
      </c>
      <c r="R545" s="1">
        <v>45297</v>
      </c>
      <c r="S545">
        <v>1</v>
      </c>
      <c r="T545" t="s">
        <v>52</v>
      </c>
      <c r="U545" t="s">
        <v>47</v>
      </c>
      <c r="V545" t="s">
        <v>2332</v>
      </c>
      <c r="W545" t="s">
        <v>1256</v>
      </c>
      <c r="X545">
        <v>3220</v>
      </c>
      <c r="Y545">
        <v>800</v>
      </c>
      <c r="Z545">
        <v>800</v>
      </c>
      <c r="AA545" t="s">
        <v>2333</v>
      </c>
    </row>
    <row r="546" spans="1:27" x14ac:dyDescent="0.2">
      <c r="A546">
        <v>3540</v>
      </c>
      <c r="B546" t="s">
        <v>97</v>
      </c>
      <c r="C546" t="str">
        <f>_xlfn.CONCAT(Merge[[#This Row],[Customer First Name]]," ",Merge[[#This Row],[Customer Last Name]])</f>
        <v>Collins Herrera</v>
      </c>
      <c r="D546" t="s">
        <v>128</v>
      </c>
      <c r="E546">
        <v>1772</v>
      </c>
      <c r="F546" t="s">
        <v>31</v>
      </c>
      <c r="G546" s="1">
        <v>45469</v>
      </c>
      <c r="H546">
        <v>1</v>
      </c>
      <c r="I546" t="s">
        <v>52</v>
      </c>
      <c r="J546" t="s">
        <v>81</v>
      </c>
      <c r="K546">
        <v>0.1</v>
      </c>
      <c r="L546">
        <v>19.900000000000002</v>
      </c>
      <c r="M546">
        <v>199</v>
      </c>
      <c r="N546">
        <v>179.1</v>
      </c>
      <c r="O546" t="s">
        <v>48</v>
      </c>
      <c r="P546">
        <v>1772</v>
      </c>
      <c r="Q546" t="s">
        <v>31</v>
      </c>
      <c r="R546" s="1">
        <v>45469</v>
      </c>
      <c r="S546">
        <v>2</v>
      </c>
      <c r="T546" t="s">
        <v>52</v>
      </c>
      <c r="U546" t="s">
        <v>81</v>
      </c>
      <c r="V546" t="s">
        <v>2334</v>
      </c>
      <c r="W546" t="s">
        <v>1280</v>
      </c>
      <c r="X546">
        <v>800</v>
      </c>
      <c r="Y546">
        <v>250</v>
      </c>
      <c r="Z546">
        <v>500</v>
      </c>
      <c r="AA546" t="s">
        <v>2335</v>
      </c>
    </row>
    <row r="547" spans="1:27" x14ac:dyDescent="0.2">
      <c r="A547">
        <v>3541</v>
      </c>
      <c r="B547" t="s">
        <v>446</v>
      </c>
      <c r="C547" t="str">
        <f>_xlfn.CONCAT(Merge[[#This Row],[Customer First Name]]," ",Merge[[#This Row],[Customer Last Name]])</f>
        <v>Judah Orozco</v>
      </c>
      <c r="D547" t="s">
        <v>659</v>
      </c>
      <c r="E547">
        <v>1773</v>
      </c>
      <c r="F547" t="s">
        <v>42</v>
      </c>
      <c r="G547" s="1">
        <v>45325</v>
      </c>
      <c r="H547">
        <v>2</v>
      </c>
      <c r="I547" t="s">
        <v>71</v>
      </c>
      <c r="J547" t="s">
        <v>43</v>
      </c>
      <c r="K547">
        <v>0.25</v>
      </c>
      <c r="L547">
        <v>373.75</v>
      </c>
      <c r="M547">
        <v>1495</v>
      </c>
      <c r="N547">
        <v>1121.25</v>
      </c>
      <c r="O547" t="s">
        <v>114</v>
      </c>
      <c r="P547">
        <v>1773</v>
      </c>
      <c r="Q547" t="s">
        <v>42</v>
      </c>
      <c r="R547" s="1">
        <v>45325</v>
      </c>
      <c r="S547">
        <v>2</v>
      </c>
      <c r="T547" t="s">
        <v>71</v>
      </c>
      <c r="U547" t="s">
        <v>43</v>
      </c>
      <c r="V547" t="s">
        <v>2336</v>
      </c>
      <c r="W547" t="s">
        <v>1299</v>
      </c>
      <c r="X547">
        <v>2500</v>
      </c>
      <c r="Y547">
        <v>300</v>
      </c>
      <c r="Z547">
        <v>600</v>
      </c>
      <c r="AA547" t="s">
        <v>2337</v>
      </c>
    </row>
    <row r="548" spans="1:27" x14ac:dyDescent="0.2">
      <c r="A548">
        <v>3542</v>
      </c>
      <c r="B548" t="s">
        <v>674</v>
      </c>
      <c r="C548" t="str">
        <f>_xlfn.CONCAT(Merge[[#This Row],[Customer First Name]]," ",Merge[[#This Row],[Customer Last Name]])</f>
        <v>Koda Hahn</v>
      </c>
      <c r="D548" t="s">
        <v>823</v>
      </c>
      <c r="E548">
        <v>1774</v>
      </c>
      <c r="F548" t="s">
        <v>51</v>
      </c>
      <c r="G548" s="1">
        <v>45358</v>
      </c>
      <c r="H548">
        <v>2</v>
      </c>
      <c r="I548" t="s">
        <v>52</v>
      </c>
      <c r="J548" t="s">
        <v>64</v>
      </c>
      <c r="K548">
        <v>0.2</v>
      </c>
      <c r="L548">
        <v>117.80000000000001</v>
      </c>
      <c r="M548">
        <v>589</v>
      </c>
      <c r="N548">
        <v>471.2</v>
      </c>
      <c r="O548" t="s">
        <v>34</v>
      </c>
      <c r="P548">
        <v>1774</v>
      </c>
      <c r="Q548" t="s">
        <v>51</v>
      </c>
      <c r="R548" s="1">
        <v>45358</v>
      </c>
      <c r="S548">
        <v>3</v>
      </c>
      <c r="T548" t="s">
        <v>52</v>
      </c>
      <c r="U548" t="s">
        <v>64</v>
      </c>
      <c r="V548" t="s">
        <v>2338</v>
      </c>
      <c r="W548" t="s">
        <v>1262</v>
      </c>
      <c r="X548">
        <v>7250</v>
      </c>
      <c r="Y548">
        <v>250</v>
      </c>
      <c r="Z548">
        <v>750</v>
      </c>
      <c r="AA548" t="s">
        <v>2339</v>
      </c>
    </row>
    <row r="549" spans="1:27" x14ac:dyDescent="0.2">
      <c r="A549">
        <v>3543</v>
      </c>
      <c r="B549" t="s">
        <v>667</v>
      </c>
      <c r="C549" t="str">
        <f>_xlfn.CONCAT(Merge[[#This Row],[Customer First Name]]," ",Merge[[#This Row],[Customer Last Name]])</f>
        <v>Haisley Haley</v>
      </c>
      <c r="D549" t="s">
        <v>827</v>
      </c>
      <c r="E549">
        <v>1775</v>
      </c>
      <c r="F549" t="s">
        <v>76</v>
      </c>
      <c r="G549" s="1">
        <v>45497</v>
      </c>
      <c r="H549">
        <v>3</v>
      </c>
      <c r="I549" t="s">
        <v>32</v>
      </c>
      <c r="J549" t="s">
        <v>39</v>
      </c>
      <c r="K549">
        <v>0.25</v>
      </c>
      <c r="L549">
        <v>34.25</v>
      </c>
      <c r="M549">
        <v>137</v>
      </c>
      <c r="N549">
        <v>102.75</v>
      </c>
      <c r="O549" t="s">
        <v>114</v>
      </c>
      <c r="P549">
        <v>1775</v>
      </c>
      <c r="Q549" t="s">
        <v>76</v>
      </c>
      <c r="R549" s="1">
        <v>45497</v>
      </c>
      <c r="S549">
        <v>3</v>
      </c>
      <c r="T549" t="s">
        <v>32</v>
      </c>
      <c r="U549" t="s">
        <v>39</v>
      </c>
      <c r="V549" t="s">
        <v>2340</v>
      </c>
      <c r="W549" t="s">
        <v>1241</v>
      </c>
      <c r="X549">
        <v>2600</v>
      </c>
      <c r="Y549">
        <v>1200</v>
      </c>
      <c r="Z549">
        <v>3600</v>
      </c>
      <c r="AA549" t="s">
        <v>2341</v>
      </c>
    </row>
    <row r="550" spans="1:27" x14ac:dyDescent="0.2">
      <c r="A550">
        <v>3544</v>
      </c>
      <c r="B550" t="s">
        <v>828</v>
      </c>
      <c r="C550" t="str">
        <f>_xlfn.CONCAT(Merge[[#This Row],[Customer First Name]]," ",Merge[[#This Row],[Customer Last Name]])</f>
        <v>Taylor Stephens</v>
      </c>
      <c r="D550" t="s">
        <v>829</v>
      </c>
      <c r="E550">
        <v>1776</v>
      </c>
      <c r="F550" t="s">
        <v>37</v>
      </c>
      <c r="G550" s="1">
        <v>45589</v>
      </c>
      <c r="H550">
        <v>1</v>
      </c>
      <c r="I550" t="s">
        <v>38</v>
      </c>
      <c r="J550" t="s">
        <v>39</v>
      </c>
      <c r="K550">
        <v>0.3</v>
      </c>
      <c r="L550">
        <v>345.3</v>
      </c>
      <c r="M550">
        <v>1151</v>
      </c>
      <c r="N550">
        <v>805.7</v>
      </c>
      <c r="O550" t="s">
        <v>48</v>
      </c>
      <c r="P550">
        <v>1776</v>
      </c>
      <c r="Q550" t="s">
        <v>37</v>
      </c>
      <c r="R550" s="1">
        <v>45589</v>
      </c>
      <c r="S550">
        <v>3</v>
      </c>
      <c r="T550" t="s">
        <v>38</v>
      </c>
      <c r="U550" t="s">
        <v>39</v>
      </c>
      <c r="V550" t="s">
        <v>2342</v>
      </c>
      <c r="W550" t="s">
        <v>1241</v>
      </c>
      <c r="X550">
        <v>2600</v>
      </c>
      <c r="Y550">
        <v>800</v>
      </c>
      <c r="Z550">
        <v>2400</v>
      </c>
      <c r="AA550" t="s">
        <v>2343</v>
      </c>
    </row>
    <row r="551" spans="1:27" x14ac:dyDescent="0.2">
      <c r="A551">
        <v>3545</v>
      </c>
      <c r="B551" t="s">
        <v>558</v>
      </c>
      <c r="C551" t="str">
        <f>_xlfn.CONCAT(Merge[[#This Row],[Customer First Name]]," ",Merge[[#This Row],[Customer Last Name]])</f>
        <v>Addison Odom</v>
      </c>
      <c r="D551" t="s">
        <v>387</v>
      </c>
      <c r="E551">
        <v>1777</v>
      </c>
      <c r="F551" t="s">
        <v>92</v>
      </c>
      <c r="G551" s="1">
        <v>45463</v>
      </c>
      <c r="H551">
        <v>3</v>
      </c>
      <c r="I551" t="s">
        <v>38</v>
      </c>
      <c r="J551" t="s">
        <v>43</v>
      </c>
      <c r="K551">
        <v>0.3</v>
      </c>
      <c r="L551">
        <v>331.8</v>
      </c>
      <c r="M551">
        <v>1106</v>
      </c>
      <c r="N551">
        <v>774.2</v>
      </c>
      <c r="O551" t="s">
        <v>114</v>
      </c>
      <c r="P551">
        <v>1777</v>
      </c>
      <c r="Q551" t="s">
        <v>92</v>
      </c>
      <c r="R551" s="1">
        <v>45463</v>
      </c>
      <c r="S551">
        <v>1</v>
      </c>
      <c r="T551" t="s">
        <v>38</v>
      </c>
      <c r="U551" t="s">
        <v>43</v>
      </c>
      <c r="V551" t="s">
        <v>2344</v>
      </c>
      <c r="W551" t="s">
        <v>1299</v>
      </c>
      <c r="X551">
        <v>2500</v>
      </c>
      <c r="Y551">
        <v>600</v>
      </c>
      <c r="Z551">
        <v>600</v>
      </c>
      <c r="AA551" t="s">
        <v>2345</v>
      </c>
    </row>
    <row r="552" spans="1:27" x14ac:dyDescent="0.2">
      <c r="A552">
        <v>3546</v>
      </c>
      <c r="B552" t="s">
        <v>830</v>
      </c>
      <c r="C552" t="str">
        <f>_xlfn.CONCAT(Merge[[#This Row],[Customer First Name]]," ",Merge[[#This Row],[Customer Last Name]])</f>
        <v>Zayne Delacruz</v>
      </c>
      <c r="D552" t="s">
        <v>831</v>
      </c>
      <c r="E552">
        <v>1778</v>
      </c>
      <c r="F552" t="s">
        <v>37</v>
      </c>
      <c r="G552" s="1">
        <v>45292</v>
      </c>
      <c r="H552">
        <v>1</v>
      </c>
      <c r="I552" t="s">
        <v>32</v>
      </c>
      <c r="J552" t="s">
        <v>53</v>
      </c>
      <c r="K552">
        <v>0.3</v>
      </c>
      <c r="L552">
        <v>479.7</v>
      </c>
      <c r="M552">
        <v>1599</v>
      </c>
      <c r="N552">
        <v>1119.3</v>
      </c>
      <c r="O552" t="s">
        <v>44</v>
      </c>
      <c r="P552">
        <v>1778</v>
      </c>
      <c r="Q552" t="s">
        <v>37</v>
      </c>
      <c r="R552" s="1">
        <v>45292</v>
      </c>
      <c r="S552">
        <v>3</v>
      </c>
      <c r="T552" t="s">
        <v>32</v>
      </c>
      <c r="U552" t="s">
        <v>53</v>
      </c>
      <c r="V552" t="s">
        <v>2346</v>
      </c>
      <c r="W552" t="s">
        <v>1305</v>
      </c>
      <c r="X552">
        <v>4000</v>
      </c>
      <c r="Y552">
        <v>800</v>
      </c>
      <c r="Z552">
        <v>2400</v>
      </c>
      <c r="AA552" t="s">
        <v>2347</v>
      </c>
    </row>
    <row r="553" spans="1:27" x14ac:dyDescent="0.2">
      <c r="A553">
        <v>3547</v>
      </c>
      <c r="B553" t="s">
        <v>832</v>
      </c>
      <c r="C553" t="str">
        <f>_xlfn.CONCAT(Merge[[#This Row],[Customer First Name]]," ",Merge[[#This Row],[Customer Last Name]])</f>
        <v>Seth Alvarez</v>
      </c>
      <c r="D553" t="s">
        <v>833</v>
      </c>
      <c r="E553">
        <v>1779</v>
      </c>
      <c r="F553" t="s">
        <v>76</v>
      </c>
      <c r="G553" s="1">
        <v>45487</v>
      </c>
      <c r="H553">
        <v>2</v>
      </c>
      <c r="I553" t="s">
        <v>32</v>
      </c>
      <c r="J553" t="s">
        <v>39</v>
      </c>
      <c r="K553">
        <v>0.25</v>
      </c>
      <c r="L553">
        <v>347.75</v>
      </c>
      <c r="M553">
        <v>1391</v>
      </c>
      <c r="N553">
        <v>1043.25</v>
      </c>
      <c r="O553" t="s">
        <v>114</v>
      </c>
      <c r="P553">
        <v>1779</v>
      </c>
      <c r="Q553" t="s">
        <v>76</v>
      </c>
      <c r="R553" s="1">
        <v>45487</v>
      </c>
      <c r="S553">
        <v>2</v>
      </c>
      <c r="T553" t="s">
        <v>32</v>
      </c>
      <c r="U553" t="s">
        <v>39</v>
      </c>
      <c r="V553" t="s">
        <v>2348</v>
      </c>
      <c r="W553" t="s">
        <v>1241</v>
      </c>
      <c r="X553">
        <v>2600</v>
      </c>
      <c r="Y553">
        <v>1200</v>
      </c>
      <c r="Z553">
        <v>2400</v>
      </c>
      <c r="AA553" t="s">
        <v>2349</v>
      </c>
    </row>
    <row r="554" spans="1:27" x14ac:dyDescent="0.2">
      <c r="A554">
        <v>3548</v>
      </c>
      <c r="B554" t="s">
        <v>834</v>
      </c>
      <c r="C554" t="str">
        <f>_xlfn.CONCAT(Merge[[#This Row],[Customer First Name]]," ",Merge[[#This Row],[Customer Last Name]])</f>
        <v>Gianna Gross</v>
      </c>
      <c r="D554" t="s">
        <v>835</v>
      </c>
      <c r="E554">
        <v>1780</v>
      </c>
      <c r="F554" t="s">
        <v>31</v>
      </c>
      <c r="G554" s="1">
        <v>45340</v>
      </c>
      <c r="H554">
        <v>3</v>
      </c>
      <c r="I554" t="s">
        <v>52</v>
      </c>
      <c r="J554" t="s">
        <v>81</v>
      </c>
      <c r="K554">
        <v>0.1</v>
      </c>
      <c r="L554">
        <v>94.5</v>
      </c>
      <c r="M554">
        <v>945</v>
      </c>
      <c r="N554">
        <v>850.5</v>
      </c>
      <c r="O554" t="s">
        <v>48</v>
      </c>
      <c r="P554">
        <v>1780</v>
      </c>
      <c r="Q554" t="s">
        <v>31</v>
      </c>
      <c r="R554" s="1">
        <v>45340</v>
      </c>
      <c r="S554">
        <v>2</v>
      </c>
      <c r="T554" t="s">
        <v>52</v>
      </c>
      <c r="U554" t="s">
        <v>81</v>
      </c>
      <c r="V554" t="s">
        <v>2350</v>
      </c>
      <c r="W554" t="s">
        <v>1361</v>
      </c>
      <c r="X554">
        <v>870</v>
      </c>
      <c r="Y554">
        <v>250</v>
      </c>
      <c r="Z554">
        <v>500</v>
      </c>
      <c r="AA554" t="s">
        <v>2351</v>
      </c>
    </row>
    <row r="555" spans="1:27" x14ac:dyDescent="0.2">
      <c r="A555">
        <v>3549</v>
      </c>
      <c r="B555" t="s">
        <v>352</v>
      </c>
      <c r="C555" t="str">
        <f>_xlfn.CONCAT(Merge[[#This Row],[Customer First Name]]," ",Merge[[#This Row],[Customer Last Name]])</f>
        <v>Isaiah Pitts</v>
      </c>
      <c r="D555" t="s">
        <v>836</v>
      </c>
      <c r="E555">
        <v>1781</v>
      </c>
      <c r="F555" t="s">
        <v>42</v>
      </c>
      <c r="G555" s="1">
        <v>45354</v>
      </c>
      <c r="H555">
        <v>1</v>
      </c>
      <c r="I555" t="s">
        <v>71</v>
      </c>
      <c r="J555" t="s">
        <v>43</v>
      </c>
      <c r="K555">
        <v>0.25</v>
      </c>
      <c r="L555">
        <v>439.5</v>
      </c>
      <c r="M555">
        <v>1758</v>
      </c>
      <c r="N555">
        <v>1318.5</v>
      </c>
      <c r="O555" t="s">
        <v>34</v>
      </c>
      <c r="P555">
        <v>1781</v>
      </c>
      <c r="Q555" t="s">
        <v>42</v>
      </c>
      <c r="R555" s="1">
        <v>45354</v>
      </c>
      <c r="S555">
        <v>1</v>
      </c>
      <c r="T555" t="s">
        <v>71</v>
      </c>
      <c r="U555" t="s">
        <v>43</v>
      </c>
      <c r="V555" t="s">
        <v>2352</v>
      </c>
      <c r="W555" t="s">
        <v>865</v>
      </c>
      <c r="X555">
        <v>2000</v>
      </c>
      <c r="Y555">
        <v>300</v>
      </c>
      <c r="Z555">
        <v>300</v>
      </c>
      <c r="AA555" t="s">
        <v>2353</v>
      </c>
    </row>
    <row r="556" spans="1:27" x14ac:dyDescent="0.2">
      <c r="A556">
        <v>3550</v>
      </c>
      <c r="B556" t="s">
        <v>251</v>
      </c>
      <c r="C556" t="str">
        <f>_xlfn.CONCAT(Merge[[#This Row],[Customer First Name]]," ",Merge[[#This Row],[Customer Last Name]])</f>
        <v>Isabella Pearson</v>
      </c>
      <c r="D556" t="s">
        <v>285</v>
      </c>
      <c r="E556">
        <v>1782</v>
      </c>
      <c r="F556" t="s">
        <v>51</v>
      </c>
      <c r="G556" s="1">
        <v>45352</v>
      </c>
      <c r="H556">
        <v>2</v>
      </c>
      <c r="I556" t="s">
        <v>52</v>
      </c>
      <c r="J556" t="s">
        <v>57</v>
      </c>
      <c r="K556">
        <v>0.2</v>
      </c>
      <c r="L556">
        <v>115</v>
      </c>
      <c r="M556">
        <v>575</v>
      </c>
      <c r="N556">
        <v>460</v>
      </c>
      <c r="O556" t="s">
        <v>44</v>
      </c>
      <c r="P556">
        <v>1782</v>
      </c>
      <c r="Q556" t="s">
        <v>51</v>
      </c>
      <c r="R556" s="1">
        <v>45352</v>
      </c>
      <c r="S556">
        <v>2</v>
      </c>
      <c r="T556" t="s">
        <v>52</v>
      </c>
      <c r="U556" t="s">
        <v>57</v>
      </c>
      <c r="V556" t="s">
        <v>2354</v>
      </c>
      <c r="W556" t="s">
        <v>1253</v>
      </c>
      <c r="X556">
        <v>5290</v>
      </c>
      <c r="Y556">
        <v>250</v>
      </c>
      <c r="Z556">
        <v>500</v>
      </c>
      <c r="AA556" t="s">
        <v>2355</v>
      </c>
    </row>
    <row r="557" spans="1:27" x14ac:dyDescent="0.2">
      <c r="A557">
        <v>3551</v>
      </c>
      <c r="B557" t="s">
        <v>240</v>
      </c>
      <c r="C557" t="str">
        <f>_xlfn.CONCAT(Merge[[#This Row],[Customer First Name]]," ",Merge[[#This Row],[Customer Last Name]])</f>
        <v>Bo Ellis</v>
      </c>
      <c r="D557" t="s">
        <v>837</v>
      </c>
      <c r="E557">
        <v>1783</v>
      </c>
      <c r="F557" t="s">
        <v>42</v>
      </c>
      <c r="G557" s="1">
        <v>45493</v>
      </c>
      <c r="H557">
        <v>2</v>
      </c>
      <c r="I557" t="s">
        <v>52</v>
      </c>
      <c r="J557" t="s">
        <v>53</v>
      </c>
      <c r="K557">
        <v>0.25</v>
      </c>
      <c r="L557">
        <v>306.5</v>
      </c>
      <c r="M557">
        <v>1226</v>
      </c>
      <c r="N557">
        <v>919.5</v>
      </c>
      <c r="O557" t="s">
        <v>114</v>
      </c>
      <c r="P557">
        <v>1783</v>
      </c>
      <c r="Q557" t="s">
        <v>42</v>
      </c>
      <c r="R557" s="1">
        <v>45493</v>
      </c>
      <c r="S557">
        <v>3</v>
      </c>
      <c r="T557" t="s">
        <v>52</v>
      </c>
      <c r="U557" t="s">
        <v>53</v>
      </c>
      <c r="V557" t="s">
        <v>2356</v>
      </c>
      <c r="W557" t="s">
        <v>1268</v>
      </c>
      <c r="X557">
        <v>4870</v>
      </c>
      <c r="Y557">
        <v>300</v>
      </c>
      <c r="Z557">
        <v>900</v>
      </c>
      <c r="AA557" t="s">
        <v>2357</v>
      </c>
    </row>
    <row r="558" spans="1:27" x14ac:dyDescent="0.2">
      <c r="A558">
        <v>3552</v>
      </c>
      <c r="B558" t="s">
        <v>838</v>
      </c>
      <c r="C558" t="str">
        <f>_xlfn.CONCAT(Merge[[#This Row],[Customer First Name]]," ",Merge[[#This Row],[Customer Last Name]])</f>
        <v>Adan Little</v>
      </c>
      <c r="D558" t="s">
        <v>490</v>
      </c>
      <c r="E558">
        <v>1784</v>
      </c>
      <c r="F558" t="s">
        <v>51</v>
      </c>
      <c r="G558" s="1">
        <v>45490</v>
      </c>
      <c r="H558">
        <v>1</v>
      </c>
      <c r="I558" t="s">
        <v>52</v>
      </c>
      <c r="J558" t="s">
        <v>57</v>
      </c>
      <c r="K558">
        <v>0.2</v>
      </c>
      <c r="L558">
        <v>86.600000000000009</v>
      </c>
      <c r="M558">
        <v>433</v>
      </c>
      <c r="N558">
        <v>346.4</v>
      </c>
      <c r="O558" t="s">
        <v>54</v>
      </c>
      <c r="P558">
        <v>1784</v>
      </c>
      <c r="Q558" t="s">
        <v>51</v>
      </c>
      <c r="R558" s="1">
        <v>45490</v>
      </c>
      <c r="S558">
        <v>2</v>
      </c>
      <c r="T558" t="s">
        <v>52</v>
      </c>
      <c r="U558" t="s">
        <v>57</v>
      </c>
      <c r="V558" t="s">
        <v>2358</v>
      </c>
      <c r="W558" t="s">
        <v>1350</v>
      </c>
      <c r="X558">
        <v>5600</v>
      </c>
      <c r="Y558">
        <v>250</v>
      </c>
      <c r="Z558">
        <v>500</v>
      </c>
      <c r="AA558" t="s">
        <v>2359</v>
      </c>
    </row>
    <row r="559" spans="1:27" x14ac:dyDescent="0.2">
      <c r="A559">
        <v>3553</v>
      </c>
      <c r="B559" t="s">
        <v>267</v>
      </c>
      <c r="C559" t="str">
        <f>_xlfn.CONCAT(Merge[[#This Row],[Customer First Name]]," ",Merge[[#This Row],[Customer Last Name]])</f>
        <v>Baker Townsend</v>
      </c>
      <c r="D559" t="s">
        <v>432</v>
      </c>
      <c r="E559">
        <v>1785</v>
      </c>
      <c r="F559" t="s">
        <v>92</v>
      </c>
      <c r="G559" s="1">
        <v>45394</v>
      </c>
      <c r="H559">
        <v>1</v>
      </c>
      <c r="I559" t="s">
        <v>71</v>
      </c>
      <c r="J559" t="s">
        <v>43</v>
      </c>
      <c r="K559">
        <v>0.3</v>
      </c>
      <c r="L559">
        <v>299.09999999999997</v>
      </c>
      <c r="M559">
        <v>997</v>
      </c>
      <c r="N559">
        <v>697.90000000000009</v>
      </c>
      <c r="O559" t="s">
        <v>34</v>
      </c>
      <c r="P559">
        <v>1785</v>
      </c>
      <c r="Q559" t="s">
        <v>92</v>
      </c>
      <c r="R559" s="1">
        <v>45394</v>
      </c>
      <c r="S559">
        <v>1</v>
      </c>
      <c r="T559" t="s">
        <v>71</v>
      </c>
      <c r="U559" t="s">
        <v>43</v>
      </c>
      <c r="V559" t="s">
        <v>2360</v>
      </c>
      <c r="W559" t="s">
        <v>1244</v>
      </c>
      <c r="X559">
        <v>2300</v>
      </c>
      <c r="Y559">
        <v>600</v>
      </c>
      <c r="Z559">
        <v>600</v>
      </c>
      <c r="AA559" t="s">
        <v>2361</v>
      </c>
    </row>
    <row r="560" spans="1:27" x14ac:dyDescent="0.2">
      <c r="A560">
        <v>3554</v>
      </c>
      <c r="B560" t="s">
        <v>839</v>
      </c>
      <c r="C560" t="str">
        <f>_xlfn.CONCAT(Merge[[#This Row],[Customer First Name]]," ",Merge[[#This Row],[Customer Last Name]])</f>
        <v>Micah Travis</v>
      </c>
      <c r="D560" t="s">
        <v>840</v>
      </c>
      <c r="E560">
        <v>1786</v>
      </c>
      <c r="F560" t="s">
        <v>37</v>
      </c>
      <c r="G560" s="1">
        <v>45554</v>
      </c>
      <c r="H560">
        <v>2</v>
      </c>
      <c r="I560" t="s">
        <v>52</v>
      </c>
      <c r="J560" t="s">
        <v>64</v>
      </c>
      <c r="K560">
        <v>0.3</v>
      </c>
      <c r="L560">
        <v>440.7</v>
      </c>
      <c r="M560">
        <v>1469</v>
      </c>
      <c r="N560">
        <v>1028.3</v>
      </c>
      <c r="O560" t="s">
        <v>114</v>
      </c>
      <c r="P560">
        <v>1786</v>
      </c>
      <c r="Q560" t="s">
        <v>37</v>
      </c>
      <c r="R560" s="1">
        <v>45554</v>
      </c>
      <c r="S560">
        <v>3</v>
      </c>
      <c r="T560" t="s">
        <v>52</v>
      </c>
      <c r="U560" t="s">
        <v>64</v>
      </c>
      <c r="V560" t="s">
        <v>2362</v>
      </c>
      <c r="W560" t="s">
        <v>1265</v>
      </c>
      <c r="X560">
        <v>7000</v>
      </c>
      <c r="Y560">
        <v>800</v>
      </c>
      <c r="Z560">
        <v>2400</v>
      </c>
      <c r="AA560" t="s">
        <v>2363</v>
      </c>
    </row>
    <row r="561" spans="1:27" x14ac:dyDescent="0.2">
      <c r="A561">
        <v>3555</v>
      </c>
      <c r="B561" t="s">
        <v>477</v>
      </c>
      <c r="C561" t="str">
        <f>_xlfn.CONCAT(Merge[[#This Row],[Customer First Name]]," ",Merge[[#This Row],[Customer Last Name]])</f>
        <v>Atticus Frazier</v>
      </c>
      <c r="D561" t="s">
        <v>841</v>
      </c>
      <c r="E561">
        <v>1787</v>
      </c>
      <c r="F561" t="s">
        <v>42</v>
      </c>
      <c r="G561" s="1">
        <v>45323</v>
      </c>
      <c r="H561">
        <v>1</v>
      </c>
      <c r="I561" t="s">
        <v>32</v>
      </c>
      <c r="J561" t="s">
        <v>43</v>
      </c>
      <c r="K561">
        <v>0.25</v>
      </c>
      <c r="L561">
        <v>411</v>
      </c>
      <c r="M561">
        <v>1644</v>
      </c>
      <c r="N561">
        <v>1233</v>
      </c>
      <c r="O561" t="s">
        <v>54</v>
      </c>
      <c r="P561">
        <v>1787</v>
      </c>
      <c r="Q561" t="s">
        <v>42</v>
      </c>
      <c r="R561" s="1">
        <v>45323</v>
      </c>
      <c r="S561">
        <v>1</v>
      </c>
      <c r="T561" t="s">
        <v>32</v>
      </c>
      <c r="U561" t="s">
        <v>43</v>
      </c>
      <c r="V561" t="s">
        <v>2364</v>
      </c>
      <c r="W561" t="s">
        <v>1244</v>
      </c>
      <c r="X561">
        <v>2300</v>
      </c>
      <c r="Y561">
        <v>300</v>
      </c>
      <c r="Z561">
        <v>300</v>
      </c>
      <c r="AA561" t="s">
        <v>2365</v>
      </c>
    </row>
    <row r="562" spans="1:27" x14ac:dyDescent="0.2">
      <c r="A562">
        <v>3556</v>
      </c>
      <c r="B562" t="s">
        <v>842</v>
      </c>
      <c r="C562" t="str">
        <f>_xlfn.CONCAT(Merge[[#This Row],[Customer First Name]]," ",Merge[[#This Row],[Customer Last Name]])</f>
        <v>Gavin Rowland</v>
      </c>
      <c r="D562" t="s">
        <v>843</v>
      </c>
      <c r="E562">
        <v>1788</v>
      </c>
      <c r="F562" t="s">
        <v>76</v>
      </c>
      <c r="G562" s="1">
        <v>45631</v>
      </c>
      <c r="H562">
        <v>1</v>
      </c>
      <c r="I562" t="s">
        <v>32</v>
      </c>
      <c r="J562" t="s">
        <v>33</v>
      </c>
      <c r="K562">
        <v>0.25</v>
      </c>
      <c r="L562">
        <v>85</v>
      </c>
      <c r="M562">
        <v>340</v>
      </c>
      <c r="N562">
        <v>255</v>
      </c>
      <c r="O562" t="s">
        <v>114</v>
      </c>
      <c r="P562">
        <v>1788</v>
      </c>
      <c r="Q562" t="s">
        <v>76</v>
      </c>
      <c r="R562" s="1">
        <v>45631</v>
      </c>
      <c r="S562">
        <v>2</v>
      </c>
      <c r="T562" t="s">
        <v>32</v>
      </c>
      <c r="U562" t="s">
        <v>33</v>
      </c>
      <c r="V562" t="s">
        <v>2366</v>
      </c>
      <c r="W562" t="s">
        <v>1302</v>
      </c>
      <c r="X562">
        <v>6000</v>
      </c>
      <c r="Y562">
        <v>1200</v>
      </c>
      <c r="Z562">
        <v>2400</v>
      </c>
      <c r="AA562" t="s">
        <v>2367</v>
      </c>
    </row>
    <row r="563" spans="1:27" x14ac:dyDescent="0.2">
      <c r="A563">
        <v>3557</v>
      </c>
      <c r="B563" t="s">
        <v>844</v>
      </c>
      <c r="C563" t="str">
        <f>_xlfn.CONCAT(Merge[[#This Row],[Customer First Name]]," ",Merge[[#This Row],[Customer Last Name]])</f>
        <v>Sullivan Wheeler</v>
      </c>
      <c r="D563" t="s">
        <v>845</v>
      </c>
      <c r="E563">
        <v>1789</v>
      </c>
      <c r="F563" t="s">
        <v>51</v>
      </c>
      <c r="G563" s="1">
        <v>45335</v>
      </c>
      <c r="H563">
        <v>1</v>
      </c>
      <c r="I563" t="s">
        <v>32</v>
      </c>
      <c r="J563" t="s">
        <v>57</v>
      </c>
      <c r="K563">
        <v>0.2</v>
      </c>
      <c r="L563">
        <v>319</v>
      </c>
      <c r="M563">
        <v>1595</v>
      </c>
      <c r="N563">
        <v>1276</v>
      </c>
      <c r="O563" t="s">
        <v>44</v>
      </c>
      <c r="P563">
        <v>1789</v>
      </c>
      <c r="Q563" t="s">
        <v>51</v>
      </c>
      <c r="R563" s="1">
        <v>45335</v>
      </c>
      <c r="S563">
        <v>1</v>
      </c>
      <c r="T563" t="s">
        <v>32</v>
      </c>
      <c r="U563" t="s">
        <v>57</v>
      </c>
      <c r="V563" t="s">
        <v>2368</v>
      </c>
      <c r="W563" t="s">
        <v>1253</v>
      </c>
      <c r="X563">
        <v>5290</v>
      </c>
      <c r="Y563">
        <v>250</v>
      </c>
      <c r="Z563">
        <v>250</v>
      </c>
      <c r="AA563" t="s">
        <v>2369</v>
      </c>
    </row>
    <row r="564" spans="1:27" x14ac:dyDescent="0.2">
      <c r="A564">
        <v>3558</v>
      </c>
      <c r="B564" t="s">
        <v>638</v>
      </c>
      <c r="C564" t="str">
        <f>_xlfn.CONCAT(Merge[[#This Row],[Customer First Name]]," ",Merge[[#This Row],[Customer Last Name]])</f>
        <v>Emmett Kline</v>
      </c>
      <c r="D564" t="s">
        <v>846</v>
      </c>
      <c r="E564">
        <v>1790</v>
      </c>
      <c r="F564" t="s">
        <v>42</v>
      </c>
      <c r="G564" s="1">
        <v>45428</v>
      </c>
      <c r="H564">
        <v>2</v>
      </c>
      <c r="I564" t="s">
        <v>52</v>
      </c>
      <c r="J564" t="s">
        <v>47</v>
      </c>
      <c r="K564">
        <v>0.25</v>
      </c>
      <c r="L564">
        <v>230</v>
      </c>
      <c r="M564">
        <v>920</v>
      </c>
      <c r="N564">
        <v>690</v>
      </c>
      <c r="O564" t="s">
        <v>34</v>
      </c>
      <c r="P564">
        <v>1790</v>
      </c>
      <c r="Q564" t="s">
        <v>42</v>
      </c>
      <c r="R564" s="1">
        <v>45428</v>
      </c>
      <c r="S564">
        <v>3</v>
      </c>
      <c r="T564" t="s">
        <v>52</v>
      </c>
      <c r="U564" t="s">
        <v>47</v>
      </c>
      <c r="V564" t="s">
        <v>2370</v>
      </c>
      <c r="W564" t="s">
        <v>1247</v>
      </c>
      <c r="X564">
        <v>3350</v>
      </c>
      <c r="Y564">
        <v>300</v>
      </c>
      <c r="Z564">
        <v>900</v>
      </c>
      <c r="AA564" t="s">
        <v>2371</v>
      </c>
    </row>
    <row r="565" spans="1:27" x14ac:dyDescent="0.2">
      <c r="A565">
        <v>3559</v>
      </c>
      <c r="B565" t="s">
        <v>847</v>
      </c>
      <c r="C565" t="str">
        <f>_xlfn.CONCAT(Merge[[#This Row],[Customer First Name]]," ",Merge[[#This Row],[Customer Last Name]])</f>
        <v>Raymond Padilla</v>
      </c>
      <c r="D565" t="s">
        <v>408</v>
      </c>
      <c r="E565">
        <v>1791</v>
      </c>
      <c r="F565" t="s">
        <v>51</v>
      </c>
      <c r="G565" s="1">
        <v>45651</v>
      </c>
      <c r="H565">
        <v>3</v>
      </c>
      <c r="I565" t="s">
        <v>52</v>
      </c>
      <c r="J565" t="s">
        <v>81</v>
      </c>
      <c r="K565">
        <v>0.2</v>
      </c>
      <c r="L565">
        <v>137</v>
      </c>
      <c r="M565">
        <v>685</v>
      </c>
      <c r="N565">
        <v>548</v>
      </c>
      <c r="O565" t="s">
        <v>48</v>
      </c>
      <c r="P565">
        <v>1791</v>
      </c>
      <c r="Q565" t="s">
        <v>51</v>
      </c>
      <c r="R565" s="1">
        <v>45651</v>
      </c>
      <c r="S565">
        <v>3</v>
      </c>
      <c r="T565" t="s">
        <v>52</v>
      </c>
      <c r="U565" t="s">
        <v>81</v>
      </c>
      <c r="V565" t="s">
        <v>2372</v>
      </c>
      <c r="W565" t="s">
        <v>1280</v>
      </c>
      <c r="X565">
        <v>800</v>
      </c>
      <c r="Y565">
        <v>250</v>
      </c>
      <c r="Z565">
        <v>750</v>
      </c>
      <c r="AA565" t="s">
        <v>2373</v>
      </c>
    </row>
    <row r="566" spans="1:27" x14ac:dyDescent="0.2">
      <c r="A566">
        <v>3560</v>
      </c>
      <c r="B566" t="s">
        <v>848</v>
      </c>
      <c r="C566" t="str">
        <f>_xlfn.CONCAT(Merge[[#This Row],[Customer First Name]]," ",Merge[[#This Row],[Customer Last Name]])</f>
        <v>Selena Sims</v>
      </c>
      <c r="D566" t="s">
        <v>849</v>
      </c>
      <c r="E566">
        <v>1792</v>
      </c>
      <c r="F566" t="s">
        <v>42</v>
      </c>
      <c r="G566" s="1">
        <v>45315</v>
      </c>
      <c r="H566">
        <v>1</v>
      </c>
      <c r="I566" t="s">
        <v>32</v>
      </c>
      <c r="J566" t="s">
        <v>39</v>
      </c>
      <c r="K566">
        <v>0.25</v>
      </c>
      <c r="L566">
        <v>170</v>
      </c>
      <c r="M566">
        <v>680</v>
      </c>
      <c r="N566">
        <v>510</v>
      </c>
      <c r="O566" t="s">
        <v>34</v>
      </c>
      <c r="P566">
        <v>1792</v>
      </c>
      <c r="Q566" t="s">
        <v>42</v>
      </c>
      <c r="R566" s="1">
        <v>45315</v>
      </c>
      <c r="S566">
        <v>1</v>
      </c>
      <c r="T566" t="s">
        <v>32</v>
      </c>
      <c r="U566" t="s">
        <v>39</v>
      </c>
      <c r="V566" t="s">
        <v>2374</v>
      </c>
      <c r="W566" t="s">
        <v>1241</v>
      </c>
      <c r="X566">
        <v>2600</v>
      </c>
      <c r="Y566">
        <v>300</v>
      </c>
      <c r="Z566">
        <v>300</v>
      </c>
      <c r="AA566" t="s">
        <v>2375</v>
      </c>
    </row>
    <row r="567" spans="1:27" x14ac:dyDescent="0.2">
      <c r="A567">
        <v>3561</v>
      </c>
      <c r="B567" t="s">
        <v>850</v>
      </c>
      <c r="C567" t="str">
        <f>_xlfn.CONCAT(Merge[[#This Row],[Customer First Name]]," ",Merge[[#This Row],[Customer Last Name]])</f>
        <v>Luna Palacios</v>
      </c>
      <c r="D567" t="s">
        <v>225</v>
      </c>
      <c r="E567">
        <v>1793</v>
      </c>
      <c r="F567" t="s">
        <v>92</v>
      </c>
      <c r="G567" s="1">
        <v>45478</v>
      </c>
      <c r="H567">
        <v>1</v>
      </c>
      <c r="I567" t="s">
        <v>52</v>
      </c>
      <c r="J567" t="s">
        <v>53</v>
      </c>
      <c r="K567">
        <v>0.3</v>
      </c>
      <c r="L567">
        <v>463.2</v>
      </c>
      <c r="M567">
        <v>1544</v>
      </c>
      <c r="N567">
        <v>1080.8</v>
      </c>
      <c r="O567" t="s">
        <v>48</v>
      </c>
      <c r="P567">
        <v>1793</v>
      </c>
      <c r="Q567" t="s">
        <v>92</v>
      </c>
      <c r="R567" s="1">
        <v>45478</v>
      </c>
      <c r="S567">
        <v>3</v>
      </c>
      <c r="T567" t="s">
        <v>52</v>
      </c>
      <c r="U567" t="s">
        <v>53</v>
      </c>
      <c r="V567" t="s">
        <v>2376</v>
      </c>
      <c r="W567" t="s">
        <v>1305</v>
      </c>
      <c r="X567">
        <v>4000</v>
      </c>
      <c r="Y567">
        <v>600</v>
      </c>
      <c r="Z567">
        <v>1800</v>
      </c>
      <c r="AA567" t="s">
        <v>2377</v>
      </c>
    </row>
    <row r="568" spans="1:27" x14ac:dyDescent="0.2">
      <c r="A568">
        <v>3562</v>
      </c>
      <c r="B568" t="s">
        <v>851</v>
      </c>
      <c r="C568" t="str">
        <f>_xlfn.CONCAT(Merge[[#This Row],[Customer First Name]]," ",Merge[[#This Row],[Customer Last Name]])</f>
        <v>Fernando Hall</v>
      </c>
      <c r="D568" t="s">
        <v>442</v>
      </c>
      <c r="E568">
        <v>1794</v>
      </c>
      <c r="F568" t="s">
        <v>31</v>
      </c>
      <c r="G568" s="1">
        <v>45401</v>
      </c>
      <c r="H568">
        <v>3</v>
      </c>
      <c r="I568" t="s">
        <v>32</v>
      </c>
      <c r="J568" t="s">
        <v>47</v>
      </c>
      <c r="K568">
        <v>0.1</v>
      </c>
      <c r="L568">
        <v>170.8</v>
      </c>
      <c r="M568">
        <v>1708</v>
      </c>
      <c r="N568">
        <v>1537.2</v>
      </c>
      <c r="O568" t="s">
        <v>114</v>
      </c>
      <c r="P568">
        <v>1794</v>
      </c>
      <c r="Q568" t="s">
        <v>31</v>
      </c>
      <c r="R568" s="1">
        <v>45401</v>
      </c>
      <c r="S568">
        <v>3</v>
      </c>
      <c r="T568" t="s">
        <v>32</v>
      </c>
      <c r="U568" t="s">
        <v>47</v>
      </c>
      <c r="V568" t="s">
        <v>2378</v>
      </c>
      <c r="W568" t="s">
        <v>1247</v>
      </c>
      <c r="X568">
        <v>3350</v>
      </c>
      <c r="Y568">
        <v>250</v>
      </c>
      <c r="Z568">
        <v>750</v>
      </c>
      <c r="AA568" t="s">
        <v>2379</v>
      </c>
    </row>
    <row r="569" spans="1:27" x14ac:dyDescent="0.2">
      <c r="A569">
        <v>3563</v>
      </c>
      <c r="B569" t="s">
        <v>852</v>
      </c>
      <c r="C569" t="str">
        <f>_xlfn.CONCAT(Merge[[#This Row],[Customer First Name]]," ",Merge[[#This Row],[Customer Last Name]])</f>
        <v>Rhys Barron</v>
      </c>
      <c r="D569" t="s">
        <v>853</v>
      </c>
      <c r="E569">
        <v>1795</v>
      </c>
      <c r="F569" t="s">
        <v>92</v>
      </c>
      <c r="G569" s="1">
        <v>45433</v>
      </c>
      <c r="H569">
        <v>1</v>
      </c>
      <c r="I569" t="s">
        <v>32</v>
      </c>
      <c r="J569" t="s">
        <v>43</v>
      </c>
      <c r="K569">
        <v>0.3</v>
      </c>
      <c r="L569">
        <v>309</v>
      </c>
      <c r="M569">
        <v>1030</v>
      </c>
      <c r="N569">
        <v>721</v>
      </c>
      <c r="O569" t="s">
        <v>54</v>
      </c>
      <c r="P569">
        <v>1795</v>
      </c>
      <c r="Q569" t="s">
        <v>92</v>
      </c>
      <c r="R569" s="1">
        <v>45433</v>
      </c>
      <c r="S569">
        <v>1</v>
      </c>
      <c r="T569" t="s">
        <v>32</v>
      </c>
      <c r="U569" t="s">
        <v>43</v>
      </c>
      <c r="V569" t="s">
        <v>2380</v>
      </c>
      <c r="W569" t="s">
        <v>865</v>
      </c>
      <c r="X569">
        <v>2000</v>
      </c>
      <c r="Y569">
        <v>600</v>
      </c>
      <c r="Z569">
        <v>600</v>
      </c>
      <c r="AA569" t="s">
        <v>2381</v>
      </c>
    </row>
    <row r="570" spans="1:27" x14ac:dyDescent="0.2">
      <c r="A570">
        <v>3564</v>
      </c>
      <c r="B570" t="s">
        <v>682</v>
      </c>
      <c r="C570" t="str">
        <f>_xlfn.CONCAT(Merge[[#This Row],[Customer First Name]]," ",Merge[[#This Row],[Customer Last Name]])</f>
        <v>Alicia Rocha</v>
      </c>
      <c r="D570" t="s">
        <v>854</v>
      </c>
      <c r="E570">
        <v>1796</v>
      </c>
      <c r="F570" t="s">
        <v>76</v>
      </c>
      <c r="G570" s="1">
        <v>45340</v>
      </c>
      <c r="H570">
        <v>2</v>
      </c>
      <c r="I570" t="s">
        <v>32</v>
      </c>
      <c r="J570" t="s">
        <v>57</v>
      </c>
      <c r="K570">
        <v>0.25</v>
      </c>
      <c r="L570">
        <v>348.5</v>
      </c>
      <c r="M570">
        <v>1394</v>
      </c>
      <c r="N570">
        <v>1045.5</v>
      </c>
      <c r="O570" t="s">
        <v>44</v>
      </c>
      <c r="P570">
        <v>1796</v>
      </c>
      <c r="Q570" t="s">
        <v>76</v>
      </c>
      <c r="R570" s="1">
        <v>45340</v>
      </c>
      <c r="S570">
        <v>3</v>
      </c>
      <c r="T570" t="s">
        <v>32</v>
      </c>
      <c r="U570" t="s">
        <v>57</v>
      </c>
      <c r="V570" t="s">
        <v>2382</v>
      </c>
      <c r="W570" t="s">
        <v>1253</v>
      </c>
      <c r="X570">
        <v>5290</v>
      </c>
      <c r="Y570">
        <v>1200</v>
      </c>
      <c r="Z570">
        <v>3600</v>
      </c>
      <c r="AA570" t="s">
        <v>2383</v>
      </c>
    </row>
    <row r="571" spans="1:27" x14ac:dyDescent="0.2">
      <c r="A571">
        <v>3565</v>
      </c>
      <c r="B571" t="s">
        <v>855</v>
      </c>
      <c r="C571" t="str">
        <f>_xlfn.CONCAT(Merge[[#This Row],[Customer First Name]]," ",Merge[[#This Row],[Customer Last Name]])</f>
        <v>Amir O’Connell</v>
      </c>
      <c r="D571" t="s">
        <v>218</v>
      </c>
      <c r="E571">
        <v>1797</v>
      </c>
      <c r="F571" t="s">
        <v>37</v>
      </c>
      <c r="G571" s="1">
        <v>45606</v>
      </c>
      <c r="H571">
        <v>2</v>
      </c>
      <c r="I571" t="s">
        <v>71</v>
      </c>
      <c r="J571" t="s">
        <v>47</v>
      </c>
      <c r="K571">
        <v>0.3</v>
      </c>
      <c r="L571">
        <v>99.3</v>
      </c>
      <c r="M571">
        <v>331</v>
      </c>
      <c r="N571">
        <v>231.7</v>
      </c>
      <c r="O571" t="s">
        <v>48</v>
      </c>
      <c r="P571">
        <v>1797</v>
      </c>
      <c r="Q571" t="s">
        <v>37</v>
      </c>
      <c r="R571" s="1">
        <v>45606</v>
      </c>
      <c r="S571">
        <v>2</v>
      </c>
      <c r="T571" t="s">
        <v>71</v>
      </c>
      <c r="U571" t="s">
        <v>47</v>
      </c>
      <c r="V571" t="s">
        <v>2384</v>
      </c>
      <c r="W571" t="s">
        <v>1275</v>
      </c>
      <c r="X571">
        <v>3000</v>
      </c>
      <c r="Y571">
        <v>800</v>
      </c>
      <c r="Z571">
        <v>1600</v>
      </c>
      <c r="AA571" t="s">
        <v>2385</v>
      </c>
    </row>
    <row r="572" spans="1:27" x14ac:dyDescent="0.2">
      <c r="A572">
        <v>3566</v>
      </c>
      <c r="B572" t="s">
        <v>143</v>
      </c>
      <c r="C572" t="str">
        <f>_xlfn.CONCAT(Merge[[#This Row],[Customer First Name]]," ",Merge[[#This Row],[Customer Last Name]])</f>
        <v>Evelynn Buck</v>
      </c>
      <c r="D572" t="s">
        <v>856</v>
      </c>
      <c r="E572">
        <v>1798</v>
      </c>
      <c r="F572" t="s">
        <v>37</v>
      </c>
      <c r="G572" s="1">
        <v>45549</v>
      </c>
      <c r="H572">
        <v>3</v>
      </c>
      <c r="I572" t="s">
        <v>32</v>
      </c>
      <c r="J572" t="s">
        <v>33</v>
      </c>
      <c r="K572">
        <v>0.3</v>
      </c>
      <c r="L572">
        <v>558.6</v>
      </c>
      <c r="M572">
        <v>1862</v>
      </c>
      <c r="N572">
        <v>1303.4000000000001</v>
      </c>
      <c r="O572" t="s">
        <v>48</v>
      </c>
      <c r="P572">
        <v>1798</v>
      </c>
      <c r="Q572" t="s">
        <v>37</v>
      </c>
      <c r="R572" s="1">
        <v>45549</v>
      </c>
      <c r="S572">
        <v>1</v>
      </c>
      <c r="T572" t="s">
        <v>32</v>
      </c>
      <c r="U572" t="s">
        <v>33</v>
      </c>
      <c r="V572" t="s">
        <v>2386</v>
      </c>
      <c r="W572" t="s">
        <v>1238</v>
      </c>
      <c r="X572">
        <v>6725</v>
      </c>
      <c r="Y572">
        <v>800</v>
      </c>
      <c r="Z572">
        <v>800</v>
      </c>
      <c r="AA572" t="s">
        <v>2387</v>
      </c>
    </row>
    <row r="573" spans="1:27" x14ac:dyDescent="0.2">
      <c r="A573">
        <v>3567</v>
      </c>
      <c r="B573" t="s">
        <v>187</v>
      </c>
      <c r="C573" t="str">
        <f>_xlfn.CONCAT(Merge[[#This Row],[Customer First Name]]," ",Merge[[#This Row],[Customer Last Name]])</f>
        <v>Braxton Carroll</v>
      </c>
      <c r="D573" t="s">
        <v>555</v>
      </c>
      <c r="E573">
        <v>1799</v>
      </c>
      <c r="F573" t="s">
        <v>51</v>
      </c>
      <c r="G573" s="1">
        <v>45323</v>
      </c>
      <c r="H573">
        <v>3</v>
      </c>
      <c r="I573" t="s">
        <v>52</v>
      </c>
      <c r="J573" t="s">
        <v>47</v>
      </c>
      <c r="K573">
        <v>0.2</v>
      </c>
      <c r="L573">
        <v>177.20000000000002</v>
      </c>
      <c r="M573">
        <v>886</v>
      </c>
      <c r="N573">
        <v>708.8</v>
      </c>
      <c r="O573" t="s">
        <v>34</v>
      </c>
      <c r="P573">
        <v>1799</v>
      </c>
      <c r="Q573" t="s">
        <v>51</v>
      </c>
      <c r="R573" s="1">
        <v>45323</v>
      </c>
      <c r="S573">
        <v>1</v>
      </c>
      <c r="T573" t="s">
        <v>52</v>
      </c>
      <c r="U573" t="s">
        <v>47</v>
      </c>
      <c r="V573" t="s">
        <v>2388</v>
      </c>
      <c r="W573" t="s">
        <v>1275</v>
      </c>
      <c r="X573">
        <v>3000</v>
      </c>
      <c r="Y573">
        <v>250</v>
      </c>
      <c r="Z573">
        <v>250</v>
      </c>
      <c r="AA573" t="s">
        <v>2389</v>
      </c>
    </row>
    <row r="574" spans="1:27" x14ac:dyDescent="0.2">
      <c r="A574">
        <v>3568</v>
      </c>
      <c r="B574" t="s">
        <v>393</v>
      </c>
      <c r="C574" t="str">
        <f>_xlfn.CONCAT(Merge[[#This Row],[Customer First Name]]," ",Merge[[#This Row],[Customer Last Name]])</f>
        <v>Greyson Reyna</v>
      </c>
      <c r="D574" t="s">
        <v>153</v>
      </c>
      <c r="E574">
        <v>1800</v>
      </c>
      <c r="F574" t="s">
        <v>76</v>
      </c>
      <c r="G574" s="1">
        <v>45475</v>
      </c>
      <c r="H574">
        <v>2</v>
      </c>
      <c r="I574" t="s">
        <v>32</v>
      </c>
      <c r="J574" t="s">
        <v>39</v>
      </c>
      <c r="K574">
        <v>0.25</v>
      </c>
      <c r="L574">
        <v>419.25</v>
      </c>
      <c r="M574">
        <v>1677</v>
      </c>
      <c r="N574">
        <v>1257.75</v>
      </c>
      <c r="O574" t="s">
        <v>34</v>
      </c>
      <c r="P574">
        <v>1800</v>
      </c>
      <c r="Q574" t="s">
        <v>76</v>
      </c>
      <c r="R574" s="1">
        <v>45475</v>
      </c>
      <c r="S574">
        <v>2</v>
      </c>
      <c r="T574" t="s">
        <v>32</v>
      </c>
      <c r="U574" t="s">
        <v>39</v>
      </c>
      <c r="V574" t="s">
        <v>2390</v>
      </c>
      <c r="W574" t="s">
        <v>1241</v>
      </c>
      <c r="X574">
        <v>2600</v>
      </c>
      <c r="Y574">
        <v>1200</v>
      </c>
      <c r="Z574">
        <v>2400</v>
      </c>
      <c r="AA574" t="s">
        <v>2391</v>
      </c>
    </row>
    <row r="575" spans="1:27" x14ac:dyDescent="0.2">
      <c r="A575">
        <v>3569</v>
      </c>
      <c r="B575" t="s">
        <v>857</v>
      </c>
      <c r="C575" t="str">
        <f>_xlfn.CONCAT(Merge[[#This Row],[Customer First Name]]," ",Merge[[#This Row],[Customer Last Name]])</f>
        <v>Xiomara Snow</v>
      </c>
      <c r="D575" t="s">
        <v>500</v>
      </c>
      <c r="E575">
        <v>1801</v>
      </c>
      <c r="F575" t="s">
        <v>42</v>
      </c>
      <c r="G575" s="1">
        <v>45552</v>
      </c>
      <c r="H575">
        <v>1</v>
      </c>
      <c r="I575" t="s">
        <v>32</v>
      </c>
      <c r="J575" t="s">
        <v>47</v>
      </c>
      <c r="K575">
        <v>0.25</v>
      </c>
      <c r="L575">
        <v>396.5</v>
      </c>
      <c r="M575">
        <v>1586</v>
      </c>
      <c r="N575">
        <v>1189.5</v>
      </c>
      <c r="O575" t="s">
        <v>54</v>
      </c>
      <c r="P575">
        <v>1801</v>
      </c>
      <c r="Q575" t="s">
        <v>42</v>
      </c>
      <c r="R575" s="1">
        <v>45552</v>
      </c>
      <c r="S575">
        <v>3</v>
      </c>
      <c r="T575" t="s">
        <v>32</v>
      </c>
      <c r="U575" t="s">
        <v>47</v>
      </c>
      <c r="V575" t="s">
        <v>2392</v>
      </c>
      <c r="W575" t="s">
        <v>1256</v>
      </c>
      <c r="X575">
        <v>3220</v>
      </c>
      <c r="Y575">
        <v>300</v>
      </c>
      <c r="Z575">
        <v>900</v>
      </c>
      <c r="AA575" t="s">
        <v>2393</v>
      </c>
    </row>
    <row r="576" spans="1:27" x14ac:dyDescent="0.2">
      <c r="A576">
        <v>3570</v>
      </c>
      <c r="B576" t="s">
        <v>611</v>
      </c>
      <c r="C576" t="str">
        <f>_xlfn.CONCAT(Merge[[#This Row],[Customer First Name]]," ",Merge[[#This Row],[Customer Last Name]])</f>
        <v>Stevie Elliott</v>
      </c>
      <c r="D576" t="s">
        <v>451</v>
      </c>
      <c r="E576">
        <v>1802</v>
      </c>
      <c r="F576" t="s">
        <v>51</v>
      </c>
      <c r="G576" s="1">
        <v>45546</v>
      </c>
      <c r="H576">
        <v>2</v>
      </c>
      <c r="I576" t="s">
        <v>32</v>
      </c>
      <c r="J576" t="s">
        <v>81</v>
      </c>
      <c r="K576">
        <v>0.2</v>
      </c>
      <c r="L576">
        <v>98</v>
      </c>
      <c r="M576">
        <v>490</v>
      </c>
      <c r="N576">
        <v>392</v>
      </c>
      <c r="O576" t="s">
        <v>54</v>
      </c>
      <c r="P576">
        <v>1802</v>
      </c>
      <c r="Q576" t="s">
        <v>51</v>
      </c>
      <c r="R576" s="1">
        <v>45546</v>
      </c>
      <c r="S576">
        <v>2</v>
      </c>
      <c r="T576" t="s">
        <v>32</v>
      </c>
      <c r="U576" t="s">
        <v>81</v>
      </c>
      <c r="V576" t="s">
        <v>2394</v>
      </c>
      <c r="W576" t="s">
        <v>1361</v>
      </c>
      <c r="X576">
        <v>870</v>
      </c>
      <c r="Y576">
        <v>250</v>
      </c>
      <c r="Z576">
        <v>500</v>
      </c>
      <c r="AA576" t="s">
        <v>2395</v>
      </c>
    </row>
    <row r="577" spans="1:27" x14ac:dyDescent="0.2">
      <c r="A577">
        <v>3571</v>
      </c>
      <c r="B577" t="s">
        <v>858</v>
      </c>
      <c r="C577" t="str">
        <f>_xlfn.CONCAT(Merge[[#This Row],[Customer First Name]]," ",Merge[[#This Row],[Customer Last Name]])</f>
        <v>Lila White</v>
      </c>
      <c r="D577" t="s">
        <v>859</v>
      </c>
      <c r="E577">
        <v>1803</v>
      </c>
      <c r="F577" t="s">
        <v>76</v>
      </c>
      <c r="G577" s="1">
        <v>45373</v>
      </c>
      <c r="H577">
        <v>2</v>
      </c>
      <c r="I577" t="s">
        <v>52</v>
      </c>
      <c r="J577" t="s">
        <v>43</v>
      </c>
      <c r="K577">
        <v>0.25</v>
      </c>
      <c r="L577">
        <v>56.5</v>
      </c>
      <c r="M577">
        <v>226</v>
      </c>
      <c r="N577">
        <v>169.5</v>
      </c>
      <c r="O577" t="s">
        <v>54</v>
      </c>
      <c r="P577">
        <v>1803</v>
      </c>
      <c r="Q577" t="s">
        <v>76</v>
      </c>
      <c r="R577" s="1">
        <v>45373</v>
      </c>
      <c r="S577">
        <v>3</v>
      </c>
      <c r="T577" t="s">
        <v>52</v>
      </c>
      <c r="U577" t="s">
        <v>43</v>
      </c>
      <c r="V577" t="s">
        <v>2396</v>
      </c>
      <c r="W577" t="s">
        <v>1299</v>
      </c>
      <c r="X577">
        <v>2500</v>
      </c>
      <c r="Y577">
        <v>1200</v>
      </c>
      <c r="Z577">
        <v>3600</v>
      </c>
      <c r="AA577" t="s">
        <v>2397</v>
      </c>
    </row>
    <row r="578" spans="1:27" x14ac:dyDescent="0.2">
      <c r="A578">
        <v>3572</v>
      </c>
      <c r="B578" t="s">
        <v>834</v>
      </c>
      <c r="C578" t="str">
        <f>_xlfn.CONCAT(Merge[[#This Row],[Customer First Name]]," ",Merge[[#This Row],[Customer Last Name]])</f>
        <v>Theo Gross</v>
      </c>
      <c r="D578" t="s">
        <v>860</v>
      </c>
      <c r="E578">
        <v>1804</v>
      </c>
      <c r="F578" t="s">
        <v>76</v>
      </c>
      <c r="G578" s="1">
        <v>45569</v>
      </c>
      <c r="H578">
        <v>2</v>
      </c>
      <c r="I578" t="s">
        <v>52</v>
      </c>
      <c r="J578" t="s">
        <v>33</v>
      </c>
      <c r="K578">
        <v>0.25</v>
      </c>
      <c r="L578">
        <v>120</v>
      </c>
      <c r="M578">
        <v>480</v>
      </c>
      <c r="N578">
        <v>360</v>
      </c>
      <c r="O578" t="s">
        <v>44</v>
      </c>
      <c r="P578">
        <v>1804</v>
      </c>
      <c r="Q578" t="s">
        <v>76</v>
      </c>
      <c r="R578" s="1">
        <v>45569</v>
      </c>
      <c r="S578">
        <v>3</v>
      </c>
      <c r="T578" t="s">
        <v>52</v>
      </c>
      <c r="U578" t="s">
        <v>33</v>
      </c>
      <c r="V578" t="s">
        <v>2398</v>
      </c>
      <c r="W578" t="s">
        <v>1259</v>
      </c>
      <c r="X578">
        <v>6160</v>
      </c>
      <c r="Y578">
        <v>1200</v>
      </c>
      <c r="Z578">
        <v>3600</v>
      </c>
      <c r="AA578" t="s">
        <v>2399</v>
      </c>
    </row>
    <row r="579" spans="1:27" x14ac:dyDescent="0.2">
      <c r="A579">
        <v>3573</v>
      </c>
      <c r="B579" t="s">
        <v>704</v>
      </c>
      <c r="C579" t="str">
        <f>_xlfn.CONCAT(Merge[[#This Row],[Customer First Name]]," ",Merge[[#This Row],[Customer Last Name]])</f>
        <v>Shiloh Maynard</v>
      </c>
      <c r="D579" t="s">
        <v>116</v>
      </c>
      <c r="E579">
        <v>1805</v>
      </c>
      <c r="F579" t="s">
        <v>37</v>
      </c>
      <c r="G579" s="1">
        <v>45384</v>
      </c>
      <c r="H579">
        <v>2</v>
      </c>
      <c r="I579" t="s">
        <v>71</v>
      </c>
      <c r="J579" t="s">
        <v>64</v>
      </c>
      <c r="K579">
        <v>0.3</v>
      </c>
      <c r="L579">
        <v>390.9</v>
      </c>
      <c r="M579">
        <v>1303</v>
      </c>
      <c r="N579">
        <v>912.1</v>
      </c>
      <c r="O579" t="s">
        <v>54</v>
      </c>
      <c r="P579">
        <v>1805</v>
      </c>
      <c r="Q579" t="s">
        <v>37</v>
      </c>
      <c r="R579" s="1">
        <v>45384</v>
      </c>
      <c r="S579">
        <v>3</v>
      </c>
      <c r="T579" t="s">
        <v>71</v>
      </c>
      <c r="U579" t="s">
        <v>64</v>
      </c>
      <c r="V579" t="s">
        <v>2400</v>
      </c>
      <c r="W579" t="s">
        <v>1400</v>
      </c>
      <c r="X579">
        <v>7310</v>
      </c>
      <c r="Y579">
        <v>800</v>
      </c>
      <c r="Z579">
        <v>2400</v>
      </c>
      <c r="AA579" t="s">
        <v>2401</v>
      </c>
    </row>
    <row r="580" spans="1:27" x14ac:dyDescent="0.2">
      <c r="A580">
        <v>3574</v>
      </c>
      <c r="B580" t="s">
        <v>861</v>
      </c>
      <c r="C580" t="str">
        <f>_xlfn.CONCAT(Merge[[#This Row],[Customer First Name]]," ",Merge[[#This Row],[Customer Last Name]])</f>
        <v>Steven Mayer</v>
      </c>
      <c r="D580" t="s">
        <v>862</v>
      </c>
      <c r="E580">
        <v>1806</v>
      </c>
      <c r="F580" t="s">
        <v>42</v>
      </c>
      <c r="G580" s="1">
        <v>45615</v>
      </c>
      <c r="H580">
        <v>3</v>
      </c>
      <c r="I580" t="s">
        <v>52</v>
      </c>
      <c r="J580" t="s">
        <v>39</v>
      </c>
      <c r="K580">
        <v>0.25</v>
      </c>
      <c r="L580">
        <v>304.75</v>
      </c>
      <c r="M580">
        <v>1219</v>
      </c>
      <c r="N580">
        <v>914.25</v>
      </c>
      <c r="O580" t="s">
        <v>44</v>
      </c>
      <c r="P580">
        <v>1806</v>
      </c>
      <c r="Q580" t="s">
        <v>42</v>
      </c>
      <c r="R580" s="1">
        <v>45615</v>
      </c>
      <c r="S580">
        <v>3</v>
      </c>
      <c r="T580" t="s">
        <v>52</v>
      </c>
      <c r="U580" t="s">
        <v>39</v>
      </c>
      <c r="V580" t="s">
        <v>2402</v>
      </c>
      <c r="W580" t="s">
        <v>1241</v>
      </c>
      <c r="X580">
        <v>2600</v>
      </c>
      <c r="Y580">
        <v>300</v>
      </c>
      <c r="Z580">
        <v>900</v>
      </c>
      <c r="AA580" t="s">
        <v>2403</v>
      </c>
    </row>
    <row r="581" spans="1:27" x14ac:dyDescent="0.2">
      <c r="A581">
        <v>3575</v>
      </c>
      <c r="B581" t="s">
        <v>469</v>
      </c>
      <c r="C581" t="str">
        <f>_xlfn.CONCAT(Merge[[#This Row],[Customer First Name]]," ",Merge[[#This Row],[Customer Last Name]])</f>
        <v>Nadia Ponce</v>
      </c>
      <c r="D581" t="s">
        <v>863</v>
      </c>
      <c r="E581">
        <v>1807</v>
      </c>
      <c r="F581" t="s">
        <v>51</v>
      </c>
      <c r="G581" s="1">
        <v>45592</v>
      </c>
      <c r="H581">
        <v>1</v>
      </c>
      <c r="I581" t="s">
        <v>38</v>
      </c>
      <c r="J581" t="s">
        <v>47</v>
      </c>
      <c r="K581">
        <v>0.2</v>
      </c>
      <c r="L581">
        <v>185.8</v>
      </c>
      <c r="M581">
        <v>929</v>
      </c>
      <c r="N581">
        <v>743.2</v>
      </c>
      <c r="O581" t="s">
        <v>44</v>
      </c>
      <c r="P581">
        <v>1807</v>
      </c>
      <c r="Q581" t="s">
        <v>51</v>
      </c>
      <c r="R581" s="1">
        <v>45592</v>
      </c>
      <c r="S581">
        <v>3</v>
      </c>
      <c r="T581" t="s">
        <v>38</v>
      </c>
      <c r="U581" t="s">
        <v>47</v>
      </c>
      <c r="V581" t="s">
        <v>2404</v>
      </c>
      <c r="W581" t="s">
        <v>1247</v>
      </c>
      <c r="X581">
        <v>3350</v>
      </c>
      <c r="Y581">
        <v>250</v>
      </c>
      <c r="Z581">
        <v>750</v>
      </c>
      <c r="AA581" t="s">
        <v>2405</v>
      </c>
    </row>
    <row r="582" spans="1:27" x14ac:dyDescent="0.2">
      <c r="A582">
        <v>3576</v>
      </c>
      <c r="B582" t="s">
        <v>864</v>
      </c>
      <c r="C582" t="str">
        <f>_xlfn.CONCAT(Merge[[#This Row],[Customer First Name]]," ",Merge[[#This Row],[Customer Last Name]])</f>
        <v>Hayden Greer</v>
      </c>
      <c r="D582" t="s">
        <v>56</v>
      </c>
      <c r="E582">
        <v>1808</v>
      </c>
      <c r="F582" t="s">
        <v>31</v>
      </c>
      <c r="G582" s="1">
        <v>45653</v>
      </c>
      <c r="H582">
        <v>3</v>
      </c>
      <c r="I582" t="s">
        <v>52</v>
      </c>
      <c r="J582" t="s">
        <v>57</v>
      </c>
      <c r="K582">
        <v>0.1</v>
      </c>
      <c r="L582">
        <v>24.6</v>
      </c>
      <c r="M582">
        <v>246</v>
      </c>
      <c r="N582">
        <v>221.4</v>
      </c>
      <c r="O582" t="s">
        <v>48</v>
      </c>
      <c r="P582">
        <v>1808</v>
      </c>
      <c r="Q582" t="s">
        <v>31</v>
      </c>
      <c r="R582" s="1">
        <v>45653</v>
      </c>
      <c r="S582">
        <v>3</v>
      </c>
      <c r="T582" t="s">
        <v>52</v>
      </c>
      <c r="U582" t="s">
        <v>57</v>
      </c>
      <c r="V582" t="s">
        <v>2406</v>
      </c>
      <c r="W582" t="s">
        <v>1095</v>
      </c>
      <c r="X582">
        <v>5000</v>
      </c>
      <c r="Y582">
        <v>250</v>
      </c>
      <c r="Z582">
        <v>750</v>
      </c>
      <c r="AA582" t="s">
        <v>2407</v>
      </c>
    </row>
    <row r="583" spans="1:27" x14ac:dyDescent="0.2">
      <c r="A583">
        <v>3577</v>
      </c>
      <c r="B583" t="s">
        <v>251</v>
      </c>
      <c r="C583" t="str">
        <f>_xlfn.CONCAT(Merge[[#This Row],[Customer First Name]]," ",Merge[[#This Row],[Customer Last Name]])</f>
        <v>Bo Pearson</v>
      </c>
      <c r="D583" t="s">
        <v>837</v>
      </c>
      <c r="E583">
        <v>1809</v>
      </c>
      <c r="F583" t="s">
        <v>42</v>
      </c>
      <c r="G583" s="1">
        <v>45529</v>
      </c>
      <c r="H583">
        <v>1</v>
      </c>
      <c r="I583" t="s">
        <v>32</v>
      </c>
      <c r="J583" t="s">
        <v>81</v>
      </c>
      <c r="K583">
        <v>0.25</v>
      </c>
      <c r="L583">
        <v>61.25</v>
      </c>
      <c r="M583">
        <v>245</v>
      </c>
      <c r="N583">
        <v>183.75</v>
      </c>
      <c r="O583" t="s">
        <v>34</v>
      </c>
      <c r="P583">
        <v>1809</v>
      </c>
      <c r="Q583" t="s">
        <v>42</v>
      </c>
      <c r="R583" s="1">
        <v>45529</v>
      </c>
      <c r="S583">
        <v>2</v>
      </c>
      <c r="T583" t="s">
        <v>32</v>
      </c>
      <c r="U583" t="s">
        <v>81</v>
      </c>
      <c r="V583" t="s">
        <v>2408</v>
      </c>
      <c r="W583" t="s">
        <v>1280</v>
      </c>
      <c r="X583">
        <v>800</v>
      </c>
      <c r="Y583">
        <v>300</v>
      </c>
      <c r="Z583">
        <v>600</v>
      </c>
      <c r="AA583" t="s">
        <v>2409</v>
      </c>
    </row>
    <row r="584" spans="1:27" x14ac:dyDescent="0.2">
      <c r="A584">
        <v>3578</v>
      </c>
      <c r="B584" t="s">
        <v>713</v>
      </c>
      <c r="C584" t="str">
        <f>_xlfn.CONCAT(Merge[[#This Row],[Customer First Name]]," ",Merge[[#This Row],[Customer Last Name]])</f>
        <v>Sydney Rush</v>
      </c>
      <c r="D584" t="s">
        <v>865</v>
      </c>
      <c r="E584">
        <v>1810</v>
      </c>
      <c r="F584" t="s">
        <v>76</v>
      </c>
      <c r="G584" s="1">
        <v>45431</v>
      </c>
      <c r="H584">
        <v>1</v>
      </c>
      <c r="I584" t="s">
        <v>52</v>
      </c>
      <c r="J584" t="s">
        <v>43</v>
      </c>
      <c r="K584">
        <v>0.25</v>
      </c>
      <c r="L584">
        <v>334.25</v>
      </c>
      <c r="M584">
        <v>1337</v>
      </c>
      <c r="N584">
        <v>1002.75</v>
      </c>
      <c r="O584" t="s">
        <v>34</v>
      </c>
      <c r="P584">
        <v>1810</v>
      </c>
      <c r="Q584" t="s">
        <v>76</v>
      </c>
      <c r="R584" s="1">
        <v>45431</v>
      </c>
      <c r="S584">
        <v>1</v>
      </c>
      <c r="T584" t="s">
        <v>52</v>
      </c>
      <c r="U584" t="s">
        <v>43</v>
      </c>
      <c r="V584" t="s">
        <v>2410</v>
      </c>
      <c r="W584" t="s">
        <v>1299</v>
      </c>
      <c r="X584">
        <v>2500</v>
      </c>
      <c r="Y584">
        <v>1200</v>
      </c>
      <c r="Z584">
        <v>1200</v>
      </c>
      <c r="AA584" t="s">
        <v>2411</v>
      </c>
    </row>
    <row r="585" spans="1:27" x14ac:dyDescent="0.2">
      <c r="A585">
        <v>3579</v>
      </c>
      <c r="B585" t="s">
        <v>866</v>
      </c>
      <c r="C585" t="str">
        <f>_xlfn.CONCAT(Merge[[#This Row],[Customer First Name]]," ",Merge[[#This Row],[Customer Last Name]])</f>
        <v>Aspen Wise</v>
      </c>
      <c r="D585" t="s">
        <v>124</v>
      </c>
      <c r="E585">
        <v>1811</v>
      </c>
      <c r="F585" t="s">
        <v>31</v>
      </c>
      <c r="G585" s="1">
        <v>45545</v>
      </c>
      <c r="H585">
        <v>3</v>
      </c>
      <c r="I585" t="s">
        <v>52</v>
      </c>
      <c r="J585" t="s">
        <v>53</v>
      </c>
      <c r="K585">
        <v>0.1</v>
      </c>
      <c r="L585">
        <v>172.60000000000002</v>
      </c>
      <c r="M585">
        <v>1726</v>
      </c>
      <c r="N585">
        <v>1553.4</v>
      </c>
      <c r="O585" t="s">
        <v>34</v>
      </c>
      <c r="P585">
        <v>1811</v>
      </c>
      <c r="Q585" t="s">
        <v>31</v>
      </c>
      <c r="R585" s="1">
        <v>45545</v>
      </c>
      <c r="S585">
        <v>2</v>
      </c>
      <c r="T585" t="s">
        <v>52</v>
      </c>
      <c r="U585" t="s">
        <v>53</v>
      </c>
      <c r="V585" t="s">
        <v>2412</v>
      </c>
      <c r="W585" t="s">
        <v>1305</v>
      </c>
      <c r="X585">
        <v>4000</v>
      </c>
      <c r="Y585">
        <v>250</v>
      </c>
      <c r="Z585">
        <v>500</v>
      </c>
      <c r="AA585" t="s">
        <v>2413</v>
      </c>
    </row>
    <row r="586" spans="1:27" x14ac:dyDescent="0.2">
      <c r="A586">
        <v>3580</v>
      </c>
      <c r="B586" t="s">
        <v>601</v>
      </c>
      <c r="C586" t="str">
        <f>_xlfn.CONCAT(Merge[[#This Row],[Customer First Name]]," ",Merge[[#This Row],[Customer Last Name]])</f>
        <v>Ava Ramirez</v>
      </c>
      <c r="D586" t="s">
        <v>867</v>
      </c>
      <c r="E586">
        <v>1812</v>
      </c>
      <c r="F586" t="s">
        <v>76</v>
      </c>
      <c r="G586" s="1">
        <v>45428</v>
      </c>
      <c r="H586">
        <v>3</v>
      </c>
      <c r="I586" t="s">
        <v>32</v>
      </c>
      <c r="J586" t="s">
        <v>64</v>
      </c>
      <c r="K586">
        <v>0.25</v>
      </c>
      <c r="L586">
        <v>144</v>
      </c>
      <c r="M586">
        <v>576</v>
      </c>
      <c r="N586">
        <v>432</v>
      </c>
      <c r="O586" t="s">
        <v>48</v>
      </c>
      <c r="P586">
        <v>1812</v>
      </c>
      <c r="Q586" t="s">
        <v>76</v>
      </c>
      <c r="R586" s="1">
        <v>45428</v>
      </c>
      <c r="S586">
        <v>1</v>
      </c>
      <c r="T586" t="s">
        <v>32</v>
      </c>
      <c r="U586" t="s">
        <v>64</v>
      </c>
      <c r="V586" t="s">
        <v>2414</v>
      </c>
      <c r="W586" t="s">
        <v>1265</v>
      </c>
      <c r="X586">
        <v>7000</v>
      </c>
      <c r="Y586">
        <v>1200</v>
      </c>
      <c r="Z586">
        <v>1200</v>
      </c>
      <c r="AA586" t="s">
        <v>2415</v>
      </c>
    </row>
    <row r="587" spans="1:27" x14ac:dyDescent="0.2">
      <c r="A587">
        <v>3581</v>
      </c>
      <c r="B587" t="s">
        <v>868</v>
      </c>
      <c r="C587" t="str">
        <f>_xlfn.CONCAT(Merge[[#This Row],[Customer First Name]]," ",Merge[[#This Row],[Customer Last Name]])</f>
        <v>Damon Mathis</v>
      </c>
      <c r="D587" t="s">
        <v>869</v>
      </c>
      <c r="E587">
        <v>1813</v>
      </c>
      <c r="F587" t="s">
        <v>42</v>
      </c>
      <c r="G587" s="1">
        <v>45347</v>
      </c>
      <c r="H587">
        <v>1</v>
      </c>
      <c r="I587" t="s">
        <v>32</v>
      </c>
      <c r="J587" t="s">
        <v>53</v>
      </c>
      <c r="K587">
        <v>0.25</v>
      </c>
      <c r="L587">
        <v>213.5</v>
      </c>
      <c r="M587">
        <v>854</v>
      </c>
      <c r="N587">
        <v>640.5</v>
      </c>
      <c r="O587" t="s">
        <v>34</v>
      </c>
      <c r="P587">
        <v>1813</v>
      </c>
      <c r="Q587" t="s">
        <v>42</v>
      </c>
      <c r="R587" s="1">
        <v>45347</v>
      </c>
      <c r="S587">
        <v>3</v>
      </c>
      <c r="T587" t="s">
        <v>32</v>
      </c>
      <c r="U587" t="s">
        <v>53</v>
      </c>
      <c r="V587" t="s">
        <v>2416</v>
      </c>
      <c r="W587" t="s">
        <v>1250</v>
      </c>
      <c r="X587">
        <v>4217</v>
      </c>
      <c r="Y587">
        <v>300</v>
      </c>
      <c r="Z587">
        <v>900</v>
      </c>
      <c r="AA587" t="s">
        <v>2417</v>
      </c>
    </row>
    <row r="588" spans="1:27" x14ac:dyDescent="0.2">
      <c r="A588">
        <v>3582</v>
      </c>
      <c r="B588" t="s">
        <v>49</v>
      </c>
      <c r="C588" t="str">
        <f>_xlfn.CONCAT(Merge[[#This Row],[Customer First Name]]," ",Merge[[#This Row],[Customer Last Name]])</f>
        <v>Francis Preston</v>
      </c>
      <c r="D588" t="s">
        <v>138</v>
      </c>
      <c r="E588">
        <v>1814</v>
      </c>
      <c r="F588" t="s">
        <v>51</v>
      </c>
      <c r="G588" s="1">
        <v>45471</v>
      </c>
      <c r="H588">
        <v>1</v>
      </c>
      <c r="I588" t="s">
        <v>52</v>
      </c>
      <c r="J588" t="s">
        <v>39</v>
      </c>
      <c r="K588">
        <v>0.2</v>
      </c>
      <c r="L588">
        <v>25.400000000000002</v>
      </c>
      <c r="M588">
        <v>127</v>
      </c>
      <c r="N588">
        <v>101.6</v>
      </c>
      <c r="O588" t="s">
        <v>54</v>
      </c>
      <c r="P588">
        <v>1814</v>
      </c>
      <c r="Q588" t="s">
        <v>51</v>
      </c>
      <c r="R588" s="1">
        <v>45471</v>
      </c>
      <c r="S588">
        <v>3</v>
      </c>
      <c r="T588" t="s">
        <v>52</v>
      </c>
      <c r="U588" t="s">
        <v>39</v>
      </c>
      <c r="V588" t="s">
        <v>2418</v>
      </c>
      <c r="W588" t="s">
        <v>1241</v>
      </c>
      <c r="X588">
        <v>2600</v>
      </c>
      <c r="Y588">
        <v>250</v>
      </c>
      <c r="Z588">
        <v>750</v>
      </c>
      <c r="AA588" t="s">
        <v>2419</v>
      </c>
    </row>
    <row r="589" spans="1:27" x14ac:dyDescent="0.2">
      <c r="A589">
        <v>3583</v>
      </c>
      <c r="B589" t="s">
        <v>870</v>
      </c>
      <c r="C589" t="str">
        <f>_xlfn.CONCAT(Merge[[#This Row],[Customer First Name]]," ",Merge[[#This Row],[Customer Last Name]])</f>
        <v>Leila Vaughan</v>
      </c>
      <c r="D589" t="s">
        <v>871</v>
      </c>
      <c r="E589">
        <v>1815</v>
      </c>
      <c r="F589" t="s">
        <v>31</v>
      </c>
      <c r="G589" s="1">
        <v>45496</v>
      </c>
      <c r="H589">
        <v>3</v>
      </c>
      <c r="I589" t="s">
        <v>52</v>
      </c>
      <c r="J589" t="s">
        <v>39</v>
      </c>
      <c r="K589">
        <v>0.1</v>
      </c>
      <c r="L589">
        <v>130.9</v>
      </c>
      <c r="M589">
        <v>1309</v>
      </c>
      <c r="N589">
        <v>1178.0999999999999</v>
      </c>
      <c r="O589" t="s">
        <v>114</v>
      </c>
      <c r="P589">
        <v>1815</v>
      </c>
      <c r="Q589" t="s">
        <v>31</v>
      </c>
      <c r="R589" s="1">
        <v>45496</v>
      </c>
      <c r="S589">
        <v>3</v>
      </c>
      <c r="T589" t="s">
        <v>52</v>
      </c>
      <c r="U589" t="s">
        <v>39</v>
      </c>
      <c r="V589" t="s">
        <v>2420</v>
      </c>
      <c r="W589" t="s">
        <v>1241</v>
      </c>
      <c r="X589">
        <v>2600</v>
      </c>
      <c r="Y589">
        <v>250</v>
      </c>
      <c r="Z589">
        <v>750</v>
      </c>
      <c r="AA589" t="s">
        <v>2421</v>
      </c>
    </row>
    <row r="590" spans="1:27" x14ac:dyDescent="0.2">
      <c r="A590">
        <v>3584</v>
      </c>
      <c r="B590" t="s">
        <v>872</v>
      </c>
      <c r="C590" t="str">
        <f>_xlfn.CONCAT(Merge[[#This Row],[Customer First Name]]," ",Merge[[#This Row],[Customer Last Name]])</f>
        <v>Rowan Hanna</v>
      </c>
      <c r="D590" t="s">
        <v>873</v>
      </c>
      <c r="E590">
        <v>1816</v>
      </c>
      <c r="F590" t="s">
        <v>31</v>
      </c>
      <c r="G590" s="1">
        <v>45401</v>
      </c>
      <c r="H590">
        <v>2</v>
      </c>
      <c r="I590" t="s">
        <v>52</v>
      </c>
      <c r="J590" t="s">
        <v>64</v>
      </c>
      <c r="K590">
        <v>0.1</v>
      </c>
      <c r="L590">
        <v>9.5</v>
      </c>
      <c r="M590">
        <v>95</v>
      </c>
      <c r="N590">
        <v>85.5</v>
      </c>
      <c r="O590" t="s">
        <v>34</v>
      </c>
      <c r="P590">
        <v>1816</v>
      </c>
      <c r="Q590" t="s">
        <v>31</v>
      </c>
      <c r="R590" s="1">
        <v>45401</v>
      </c>
      <c r="S590">
        <v>1</v>
      </c>
      <c r="T590" t="s">
        <v>52</v>
      </c>
      <c r="U590" t="s">
        <v>64</v>
      </c>
      <c r="V590" t="s">
        <v>2422</v>
      </c>
      <c r="W590" t="s">
        <v>1400</v>
      </c>
      <c r="X590">
        <v>7310</v>
      </c>
      <c r="Y590">
        <v>250</v>
      </c>
      <c r="Z590">
        <v>250</v>
      </c>
      <c r="AA590" t="s">
        <v>2423</v>
      </c>
    </row>
    <row r="591" spans="1:27" x14ac:dyDescent="0.2">
      <c r="A591">
        <v>3585</v>
      </c>
      <c r="B591" t="s">
        <v>874</v>
      </c>
      <c r="C591" t="str">
        <f>_xlfn.CONCAT(Merge[[#This Row],[Customer First Name]]," ",Merge[[#This Row],[Customer Last Name]])</f>
        <v>Vivian Henson</v>
      </c>
      <c r="D591" t="s">
        <v>875</v>
      </c>
      <c r="E591">
        <v>1817</v>
      </c>
      <c r="F591" t="s">
        <v>76</v>
      </c>
      <c r="G591" s="1">
        <v>45490</v>
      </c>
      <c r="H591">
        <v>2</v>
      </c>
      <c r="I591" t="s">
        <v>71</v>
      </c>
      <c r="J591" t="s">
        <v>81</v>
      </c>
      <c r="K591">
        <v>0.25</v>
      </c>
      <c r="L591">
        <v>305</v>
      </c>
      <c r="M591">
        <v>1220</v>
      </c>
      <c r="N591">
        <v>915</v>
      </c>
      <c r="O591" t="s">
        <v>114</v>
      </c>
      <c r="P591">
        <v>1817</v>
      </c>
      <c r="Q591" t="s">
        <v>76</v>
      </c>
      <c r="R591" s="1">
        <v>45490</v>
      </c>
      <c r="S591">
        <v>1</v>
      </c>
      <c r="T591" t="s">
        <v>71</v>
      </c>
      <c r="U591" t="s">
        <v>81</v>
      </c>
      <c r="V591" t="s">
        <v>2424</v>
      </c>
      <c r="W591" t="s">
        <v>1361</v>
      </c>
      <c r="X591">
        <v>870</v>
      </c>
      <c r="Y591">
        <v>1200</v>
      </c>
      <c r="Z591">
        <v>1200</v>
      </c>
      <c r="AA591" t="s">
        <v>2425</v>
      </c>
    </row>
    <row r="592" spans="1:27" x14ac:dyDescent="0.2">
      <c r="A592">
        <v>3586</v>
      </c>
      <c r="B592" t="s">
        <v>876</v>
      </c>
      <c r="C592" t="str">
        <f>_xlfn.CONCAT(Merge[[#This Row],[Customer First Name]]," ",Merge[[#This Row],[Customer Last Name]])</f>
        <v>Brody Clayton</v>
      </c>
      <c r="D592" t="s">
        <v>702</v>
      </c>
      <c r="E592">
        <v>1818</v>
      </c>
      <c r="F592" t="s">
        <v>37</v>
      </c>
      <c r="G592" s="1">
        <v>45454</v>
      </c>
      <c r="H592">
        <v>3</v>
      </c>
      <c r="I592" t="s">
        <v>32</v>
      </c>
      <c r="J592" t="s">
        <v>57</v>
      </c>
      <c r="K592">
        <v>0.3</v>
      </c>
      <c r="L592">
        <v>571.19999999999993</v>
      </c>
      <c r="M592">
        <v>1904</v>
      </c>
      <c r="N592">
        <v>1332.8000000000002</v>
      </c>
      <c r="O592" t="s">
        <v>114</v>
      </c>
      <c r="P592">
        <v>1818</v>
      </c>
      <c r="Q592" t="s">
        <v>37</v>
      </c>
      <c r="R592" s="1">
        <v>45454</v>
      </c>
      <c r="S592">
        <v>1</v>
      </c>
      <c r="T592" t="s">
        <v>32</v>
      </c>
      <c r="U592" t="s">
        <v>57</v>
      </c>
      <c r="V592" t="s">
        <v>2426</v>
      </c>
      <c r="W592" t="s">
        <v>1350</v>
      </c>
      <c r="X592">
        <v>5600</v>
      </c>
      <c r="Y592">
        <v>800</v>
      </c>
      <c r="Z592">
        <v>800</v>
      </c>
      <c r="AA592" t="s">
        <v>2427</v>
      </c>
    </row>
    <row r="593" spans="1:27" x14ac:dyDescent="0.2">
      <c r="A593">
        <v>3587</v>
      </c>
      <c r="B593" t="s">
        <v>648</v>
      </c>
      <c r="C593" t="str">
        <f>_xlfn.CONCAT(Merge[[#This Row],[Customer First Name]]," ",Merge[[#This Row],[Customer Last Name]])</f>
        <v>Ali Barajas</v>
      </c>
      <c r="D593" t="s">
        <v>36</v>
      </c>
      <c r="E593">
        <v>1819</v>
      </c>
      <c r="F593" t="s">
        <v>92</v>
      </c>
      <c r="G593" s="1">
        <v>45454</v>
      </c>
      <c r="H593">
        <v>1</v>
      </c>
      <c r="I593" t="s">
        <v>71</v>
      </c>
      <c r="J593" t="s">
        <v>53</v>
      </c>
      <c r="K593">
        <v>0.3</v>
      </c>
      <c r="L593">
        <v>259.8</v>
      </c>
      <c r="M593">
        <v>866</v>
      </c>
      <c r="N593">
        <v>606.20000000000005</v>
      </c>
      <c r="O593" t="s">
        <v>34</v>
      </c>
      <c r="P593">
        <v>1819</v>
      </c>
      <c r="Q593" t="s">
        <v>92</v>
      </c>
      <c r="R593" s="1">
        <v>45454</v>
      </c>
      <c r="S593">
        <v>3</v>
      </c>
      <c r="T593" t="s">
        <v>71</v>
      </c>
      <c r="U593" t="s">
        <v>53</v>
      </c>
      <c r="V593" t="s">
        <v>2428</v>
      </c>
      <c r="W593" t="s">
        <v>1250</v>
      </c>
      <c r="X593">
        <v>4217</v>
      </c>
      <c r="Y593">
        <v>600</v>
      </c>
      <c r="Z593">
        <v>1800</v>
      </c>
      <c r="AA593" t="s">
        <v>2429</v>
      </c>
    </row>
    <row r="594" spans="1:27" x14ac:dyDescent="0.2">
      <c r="A594">
        <v>3588</v>
      </c>
      <c r="B594" t="s">
        <v>877</v>
      </c>
      <c r="C594" t="str">
        <f>_xlfn.CONCAT(Merge[[#This Row],[Customer First Name]]," ",Merge[[#This Row],[Customer Last Name]])</f>
        <v>Madelynn Carr</v>
      </c>
      <c r="D594" t="s">
        <v>87</v>
      </c>
      <c r="E594">
        <v>1820</v>
      </c>
      <c r="F594" t="s">
        <v>76</v>
      </c>
      <c r="G594" s="1">
        <v>45571</v>
      </c>
      <c r="H594">
        <v>1</v>
      </c>
      <c r="I594" t="s">
        <v>32</v>
      </c>
      <c r="J594" t="s">
        <v>47</v>
      </c>
      <c r="K594">
        <v>0.25</v>
      </c>
      <c r="L594">
        <v>449.75</v>
      </c>
      <c r="M594">
        <v>1799</v>
      </c>
      <c r="N594">
        <v>1349.25</v>
      </c>
      <c r="O594" t="s">
        <v>48</v>
      </c>
      <c r="P594">
        <v>1820</v>
      </c>
      <c r="Q594" t="s">
        <v>76</v>
      </c>
      <c r="R594" s="1">
        <v>45571</v>
      </c>
      <c r="S594">
        <v>3</v>
      </c>
      <c r="T594" t="s">
        <v>32</v>
      </c>
      <c r="U594" t="s">
        <v>47</v>
      </c>
      <c r="V594" t="s">
        <v>2430</v>
      </c>
      <c r="W594" t="s">
        <v>1275</v>
      </c>
      <c r="X594">
        <v>3000</v>
      </c>
      <c r="Y594">
        <v>1200</v>
      </c>
      <c r="Z594">
        <v>3600</v>
      </c>
      <c r="AA594" t="s">
        <v>2431</v>
      </c>
    </row>
    <row r="595" spans="1:27" x14ac:dyDescent="0.2">
      <c r="A595">
        <v>3589</v>
      </c>
      <c r="B595" t="s">
        <v>143</v>
      </c>
      <c r="C595" t="str">
        <f>_xlfn.CONCAT(Merge[[#This Row],[Customer First Name]]," ",Merge[[#This Row],[Customer Last Name]])</f>
        <v>Julian Buck</v>
      </c>
      <c r="D595" t="s">
        <v>803</v>
      </c>
      <c r="E595">
        <v>1821</v>
      </c>
      <c r="F595" t="s">
        <v>31</v>
      </c>
      <c r="G595" s="1">
        <v>45417</v>
      </c>
      <c r="H595">
        <v>3</v>
      </c>
      <c r="I595" t="s">
        <v>52</v>
      </c>
      <c r="J595" t="s">
        <v>57</v>
      </c>
      <c r="K595">
        <v>0.1</v>
      </c>
      <c r="L595">
        <v>1.1000000000000001</v>
      </c>
      <c r="M595">
        <v>11</v>
      </c>
      <c r="N595">
        <v>9.9</v>
      </c>
      <c r="O595" t="s">
        <v>34</v>
      </c>
      <c r="P595">
        <v>1821</v>
      </c>
      <c r="Q595" t="s">
        <v>31</v>
      </c>
      <c r="R595" s="1">
        <v>45417</v>
      </c>
      <c r="S595">
        <v>3</v>
      </c>
      <c r="T595" t="s">
        <v>52</v>
      </c>
      <c r="U595" t="s">
        <v>57</v>
      </c>
      <c r="V595" t="s">
        <v>2432</v>
      </c>
      <c r="W595" t="s">
        <v>1095</v>
      </c>
      <c r="X595">
        <v>5000</v>
      </c>
      <c r="Y595">
        <v>250</v>
      </c>
      <c r="Z595">
        <v>750</v>
      </c>
      <c r="AA595" t="s">
        <v>2433</v>
      </c>
    </row>
    <row r="596" spans="1:27" x14ac:dyDescent="0.2">
      <c r="A596">
        <v>3590</v>
      </c>
      <c r="B596" t="s">
        <v>389</v>
      </c>
      <c r="C596" t="str">
        <f>_xlfn.CONCAT(Merge[[#This Row],[Customer First Name]]," ",Merge[[#This Row],[Customer Last Name]])</f>
        <v>Josephine Owens</v>
      </c>
      <c r="D596" t="s">
        <v>663</v>
      </c>
      <c r="E596">
        <v>1822</v>
      </c>
      <c r="F596" t="s">
        <v>76</v>
      </c>
      <c r="G596" s="1">
        <v>45516</v>
      </c>
      <c r="H596">
        <v>3</v>
      </c>
      <c r="I596" t="s">
        <v>32</v>
      </c>
      <c r="J596" t="s">
        <v>39</v>
      </c>
      <c r="K596">
        <v>0.25</v>
      </c>
      <c r="L596">
        <v>96</v>
      </c>
      <c r="M596">
        <v>384</v>
      </c>
      <c r="N596">
        <v>288</v>
      </c>
      <c r="O596" t="s">
        <v>54</v>
      </c>
      <c r="P596">
        <v>1822</v>
      </c>
      <c r="Q596" t="s">
        <v>76</v>
      </c>
      <c r="R596" s="1">
        <v>45516</v>
      </c>
      <c r="S596">
        <v>2</v>
      </c>
      <c r="T596" t="s">
        <v>32</v>
      </c>
      <c r="U596" t="s">
        <v>39</v>
      </c>
      <c r="V596" t="s">
        <v>2434</v>
      </c>
      <c r="W596" t="s">
        <v>1241</v>
      </c>
      <c r="X596">
        <v>2600</v>
      </c>
      <c r="Y596">
        <v>1200</v>
      </c>
      <c r="Z596">
        <v>2400</v>
      </c>
      <c r="AA596" t="s">
        <v>2435</v>
      </c>
    </row>
    <row r="597" spans="1:27" x14ac:dyDescent="0.2">
      <c r="A597">
        <v>3591</v>
      </c>
      <c r="B597" t="s">
        <v>878</v>
      </c>
      <c r="C597" t="str">
        <f>_xlfn.CONCAT(Merge[[#This Row],[Customer First Name]]," ",Merge[[#This Row],[Customer Last Name]])</f>
        <v>Jonathan Arellano</v>
      </c>
      <c r="D597" t="s">
        <v>879</v>
      </c>
      <c r="E597">
        <v>1823</v>
      </c>
      <c r="F597" t="s">
        <v>76</v>
      </c>
      <c r="G597" s="1">
        <v>45453</v>
      </c>
      <c r="H597">
        <v>1</v>
      </c>
      <c r="I597" t="s">
        <v>32</v>
      </c>
      <c r="J597" t="s">
        <v>81</v>
      </c>
      <c r="K597">
        <v>0.25</v>
      </c>
      <c r="L597">
        <v>318.5</v>
      </c>
      <c r="M597">
        <v>1274</v>
      </c>
      <c r="N597">
        <v>955.5</v>
      </c>
      <c r="O597" t="s">
        <v>44</v>
      </c>
      <c r="P597">
        <v>1823</v>
      </c>
      <c r="Q597" t="s">
        <v>76</v>
      </c>
      <c r="R597" s="1">
        <v>45453</v>
      </c>
      <c r="S597">
        <v>1</v>
      </c>
      <c r="T597" t="s">
        <v>32</v>
      </c>
      <c r="U597" t="s">
        <v>81</v>
      </c>
      <c r="V597" t="s">
        <v>2436</v>
      </c>
      <c r="W597" t="s">
        <v>1361</v>
      </c>
      <c r="X597">
        <v>870</v>
      </c>
      <c r="Y597">
        <v>1200</v>
      </c>
      <c r="Z597">
        <v>1200</v>
      </c>
      <c r="AA597" t="s">
        <v>2437</v>
      </c>
    </row>
    <row r="598" spans="1:27" x14ac:dyDescent="0.2">
      <c r="A598">
        <v>3592</v>
      </c>
      <c r="B598" t="s">
        <v>880</v>
      </c>
      <c r="C598" t="str">
        <f>_xlfn.CONCAT(Merge[[#This Row],[Customer First Name]]," ",Merge[[#This Row],[Customer Last Name]])</f>
        <v>Judah Dennis</v>
      </c>
      <c r="D598" t="s">
        <v>659</v>
      </c>
      <c r="E598">
        <v>1824</v>
      </c>
      <c r="F598" t="s">
        <v>76</v>
      </c>
      <c r="G598" s="1">
        <v>45556</v>
      </c>
      <c r="H598">
        <v>1</v>
      </c>
      <c r="I598" t="s">
        <v>32</v>
      </c>
      <c r="J598" t="s">
        <v>33</v>
      </c>
      <c r="K598">
        <v>0.25</v>
      </c>
      <c r="L598">
        <v>228.75</v>
      </c>
      <c r="M598">
        <v>915</v>
      </c>
      <c r="N598">
        <v>686.25</v>
      </c>
      <c r="O598" t="s">
        <v>34</v>
      </c>
      <c r="P598">
        <v>1824</v>
      </c>
      <c r="Q598" t="s">
        <v>76</v>
      </c>
      <c r="R598" s="1">
        <v>45556</v>
      </c>
      <c r="S598">
        <v>2</v>
      </c>
      <c r="T598" t="s">
        <v>32</v>
      </c>
      <c r="U598" t="s">
        <v>33</v>
      </c>
      <c r="V598" t="s">
        <v>2438</v>
      </c>
      <c r="W598" t="s">
        <v>1259</v>
      </c>
      <c r="X598">
        <v>6160</v>
      </c>
      <c r="Y598">
        <v>1200</v>
      </c>
      <c r="Z598">
        <v>2400</v>
      </c>
      <c r="AA598" t="s">
        <v>2439</v>
      </c>
    </row>
    <row r="599" spans="1:27" x14ac:dyDescent="0.2">
      <c r="A599">
        <v>3593</v>
      </c>
      <c r="B599" t="s">
        <v>636</v>
      </c>
      <c r="C599" t="str">
        <f>_xlfn.CONCAT(Merge[[#This Row],[Customer First Name]]," ",Merge[[#This Row],[Customer Last Name]])</f>
        <v>Alijah Walsh</v>
      </c>
      <c r="D599" t="s">
        <v>881</v>
      </c>
      <c r="E599">
        <v>1825</v>
      </c>
      <c r="F599" t="s">
        <v>51</v>
      </c>
      <c r="G599" s="1">
        <v>45595</v>
      </c>
      <c r="H599">
        <v>2</v>
      </c>
      <c r="I599" t="s">
        <v>71</v>
      </c>
      <c r="J599" t="s">
        <v>43</v>
      </c>
      <c r="K599">
        <v>0.2</v>
      </c>
      <c r="L599">
        <v>105.80000000000001</v>
      </c>
      <c r="M599">
        <v>529</v>
      </c>
      <c r="N599">
        <v>423.2</v>
      </c>
      <c r="O599" t="s">
        <v>34</v>
      </c>
      <c r="P599">
        <v>1825</v>
      </c>
      <c r="Q599" t="s">
        <v>51</v>
      </c>
      <c r="R599" s="1">
        <v>45595</v>
      </c>
      <c r="S599">
        <v>2</v>
      </c>
      <c r="T599" t="s">
        <v>71</v>
      </c>
      <c r="U599" t="s">
        <v>43</v>
      </c>
      <c r="V599" t="s">
        <v>2440</v>
      </c>
      <c r="W599" t="s">
        <v>865</v>
      </c>
      <c r="X599">
        <v>2000</v>
      </c>
      <c r="Y599">
        <v>250</v>
      </c>
      <c r="Z599">
        <v>500</v>
      </c>
      <c r="AA599" t="s">
        <v>2441</v>
      </c>
    </row>
    <row r="600" spans="1:27" x14ac:dyDescent="0.2">
      <c r="A600">
        <v>3594</v>
      </c>
      <c r="B600" t="s">
        <v>882</v>
      </c>
      <c r="C600" t="str">
        <f>_xlfn.CONCAT(Merge[[#This Row],[Customer First Name]]," ",Merge[[#This Row],[Customer Last Name]])</f>
        <v>Sebastian Conrad</v>
      </c>
      <c r="D600" t="s">
        <v>883</v>
      </c>
      <c r="E600">
        <v>1826</v>
      </c>
      <c r="F600" t="s">
        <v>76</v>
      </c>
      <c r="G600" s="1">
        <v>45388</v>
      </c>
      <c r="H600">
        <v>3</v>
      </c>
      <c r="I600" t="s">
        <v>71</v>
      </c>
      <c r="J600" t="s">
        <v>33</v>
      </c>
      <c r="K600">
        <v>0.25</v>
      </c>
      <c r="L600">
        <v>142.75</v>
      </c>
      <c r="M600">
        <v>571</v>
      </c>
      <c r="N600">
        <v>428.25</v>
      </c>
      <c r="O600" t="s">
        <v>114</v>
      </c>
      <c r="P600">
        <v>1826</v>
      </c>
      <c r="Q600" t="s">
        <v>76</v>
      </c>
      <c r="R600" s="1">
        <v>45388</v>
      </c>
      <c r="S600">
        <v>2</v>
      </c>
      <c r="T600" t="s">
        <v>71</v>
      </c>
      <c r="U600" t="s">
        <v>33</v>
      </c>
      <c r="V600" t="s">
        <v>2442</v>
      </c>
      <c r="W600" t="s">
        <v>1302</v>
      </c>
      <c r="X600">
        <v>6000</v>
      </c>
      <c r="Y600">
        <v>1200</v>
      </c>
      <c r="Z600">
        <v>2400</v>
      </c>
      <c r="AA600" t="s">
        <v>2443</v>
      </c>
    </row>
    <row r="601" spans="1:27" x14ac:dyDescent="0.2">
      <c r="A601">
        <v>3595</v>
      </c>
      <c r="B601" t="s">
        <v>884</v>
      </c>
      <c r="C601" t="str">
        <f>_xlfn.CONCAT(Merge[[#This Row],[Customer First Name]]," ",Merge[[#This Row],[Customer Last Name]])</f>
        <v>Summer Kerr</v>
      </c>
      <c r="D601" t="s">
        <v>885</v>
      </c>
      <c r="E601">
        <v>1827</v>
      </c>
      <c r="F601" t="s">
        <v>42</v>
      </c>
      <c r="G601" s="1">
        <v>45353</v>
      </c>
      <c r="H601">
        <v>3</v>
      </c>
      <c r="I601" t="s">
        <v>32</v>
      </c>
      <c r="J601" t="s">
        <v>64</v>
      </c>
      <c r="K601">
        <v>0.25</v>
      </c>
      <c r="L601">
        <v>222.25</v>
      </c>
      <c r="M601">
        <v>889</v>
      </c>
      <c r="N601">
        <v>666.75</v>
      </c>
      <c r="O601" t="s">
        <v>114</v>
      </c>
      <c r="P601">
        <v>1827</v>
      </c>
      <c r="Q601" t="s">
        <v>42</v>
      </c>
      <c r="R601" s="1">
        <v>45353</v>
      </c>
      <c r="S601">
        <v>2</v>
      </c>
      <c r="T601" t="s">
        <v>32</v>
      </c>
      <c r="U601" t="s">
        <v>64</v>
      </c>
      <c r="V601" t="s">
        <v>2444</v>
      </c>
      <c r="W601" t="s">
        <v>1400</v>
      </c>
      <c r="X601">
        <v>7310</v>
      </c>
      <c r="Y601">
        <v>300</v>
      </c>
      <c r="Z601">
        <v>600</v>
      </c>
      <c r="AA601" t="s">
        <v>2445</v>
      </c>
    </row>
    <row r="602" spans="1:27" x14ac:dyDescent="0.2">
      <c r="A602">
        <v>3596</v>
      </c>
      <c r="B602" t="s">
        <v>886</v>
      </c>
      <c r="C602" t="str">
        <f>_xlfn.CONCAT(Merge[[#This Row],[Customer First Name]]," ",Merge[[#This Row],[Customer Last Name]])</f>
        <v>June Mcintyre</v>
      </c>
      <c r="D602" t="s">
        <v>887</v>
      </c>
      <c r="E602">
        <v>1828</v>
      </c>
      <c r="F602" t="s">
        <v>76</v>
      </c>
      <c r="G602" s="1">
        <v>45601</v>
      </c>
      <c r="H602">
        <v>2</v>
      </c>
      <c r="I602" t="s">
        <v>71</v>
      </c>
      <c r="J602" t="s">
        <v>47</v>
      </c>
      <c r="K602">
        <v>0.25</v>
      </c>
      <c r="L602">
        <v>25</v>
      </c>
      <c r="M602">
        <v>100</v>
      </c>
      <c r="N602">
        <v>75</v>
      </c>
      <c r="O602" t="s">
        <v>34</v>
      </c>
      <c r="P602">
        <v>1828</v>
      </c>
      <c r="Q602" t="s">
        <v>76</v>
      </c>
      <c r="R602" s="1">
        <v>45601</v>
      </c>
      <c r="S602">
        <v>3</v>
      </c>
      <c r="T602" t="s">
        <v>71</v>
      </c>
      <c r="U602" t="s">
        <v>47</v>
      </c>
      <c r="V602" t="s">
        <v>2446</v>
      </c>
      <c r="W602" t="s">
        <v>1247</v>
      </c>
      <c r="X602">
        <v>3350</v>
      </c>
      <c r="Y602">
        <v>1200</v>
      </c>
      <c r="Z602">
        <v>3600</v>
      </c>
      <c r="AA602" t="s">
        <v>2447</v>
      </c>
    </row>
    <row r="603" spans="1:27" x14ac:dyDescent="0.2">
      <c r="A603">
        <v>3597</v>
      </c>
      <c r="B603" t="s">
        <v>868</v>
      </c>
      <c r="C603" t="str">
        <f>_xlfn.CONCAT(Merge[[#This Row],[Customer First Name]]," ",Merge[[#This Row],[Customer Last Name]])</f>
        <v>Greyson Mathis</v>
      </c>
      <c r="D603" t="s">
        <v>153</v>
      </c>
      <c r="E603">
        <v>1829</v>
      </c>
      <c r="F603" t="s">
        <v>42</v>
      </c>
      <c r="G603" s="1">
        <v>45525</v>
      </c>
      <c r="H603">
        <v>1</v>
      </c>
      <c r="I603" t="s">
        <v>38</v>
      </c>
      <c r="J603" t="s">
        <v>43</v>
      </c>
      <c r="K603">
        <v>0.25</v>
      </c>
      <c r="L603">
        <v>222</v>
      </c>
      <c r="M603">
        <v>888</v>
      </c>
      <c r="N603">
        <v>666</v>
      </c>
      <c r="O603" t="s">
        <v>54</v>
      </c>
      <c r="P603">
        <v>1829</v>
      </c>
      <c r="Q603" t="s">
        <v>42</v>
      </c>
      <c r="R603" s="1">
        <v>45525</v>
      </c>
      <c r="S603">
        <v>1</v>
      </c>
      <c r="T603" t="s">
        <v>38</v>
      </c>
      <c r="U603" t="s">
        <v>43</v>
      </c>
      <c r="V603" t="s">
        <v>2448</v>
      </c>
      <c r="W603" t="s">
        <v>1299</v>
      </c>
      <c r="X603">
        <v>2500</v>
      </c>
      <c r="Y603">
        <v>300</v>
      </c>
      <c r="Z603">
        <v>300</v>
      </c>
      <c r="AA603" t="s">
        <v>2449</v>
      </c>
    </row>
    <row r="604" spans="1:27" x14ac:dyDescent="0.2">
      <c r="A604">
        <v>3598</v>
      </c>
      <c r="B604" t="s">
        <v>888</v>
      </c>
      <c r="C604" t="str">
        <f>_xlfn.CONCAT(Merge[[#This Row],[Customer First Name]]," ",Merge[[#This Row],[Customer Last Name]])</f>
        <v>Bodie Scott</v>
      </c>
      <c r="D604" t="s">
        <v>335</v>
      </c>
      <c r="E604">
        <v>1830</v>
      </c>
      <c r="F604" t="s">
        <v>42</v>
      </c>
      <c r="G604" s="1">
        <v>45520</v>
      </c>
      <c r="H604">
        <v>1</v>
      </c>
      <c r="I604" t="s">
        <v>38</v>
      </c>
      <c r="J604" t="s">
        <v>43</v>
      </c>
      <c r="K604">
        <v>0.25</v>
      </c>
      <c r="L604">
        <v>368</v>
      </c>
      <c r="M604">
        <v>1472</v>
      </c>
      <c r="N604">
        <v>1104</v>
      </c>
      <c r="O604" t="s">
        <v>54</v>
      </c>
      <c r="P604">
        <v>1830</v>
      </c>
      <c r="Q604" t="s">
        <v>42</v>
      </c>
      <c r="R604" s="1">
        <v>45520</v>
      </c>
      <c r="S604">
        <v>1</v>
      </c>
      <c r="T604" t="s">
        <v>38</v>
      </c>
      <c r="U604" t="s">
        <v>43</v>
      </c>
      <c r="V604" t="s">
        <v>2450</v>
      </c>
      <c r="W604" t="s">
        <v>865</v>
      </c>
      <c r="X604">
        <v>2000</v>
      </c>
      <c r="Y604">
        <v>300</v>
      </c>
      <c r="Z604">
        <v>300</v>
      </c>
      <c r="AA604" t="s">
        <v>2451</v>
      </c>
    </row>
    <row r="605" spans="1:27" x14ac:dyDescent="0.2">
      <c r="A605">
        <v>3599</v>
      </c>
      <c r="B605" t="s">
        <v>889</v>
      </c>
      <c r="C605" t="str">
        <f>_xlfn.CONCAT(Merge[[#This Row],[Customer First Name]]," ",Merge[[#This Row],[Customer Last Name]])</f>
        <v>Russell Cordova</v>
      </c>
      <c r="D605" t="s">
        <v>171</v>
      </c>
      <c r="E605">
        <v>1831</v>
      </c>
      <c r="F605" t="s">
        <v>31</v>
      </c>
      <c r="G605" s="1">
        <v>45497</v>
      </c>
      <c r="H605">
        <v>3</v>
      </c>
      <c r="I605" t="s">
        <v>32</v>
      </c>
      <c r="J605" t="s">
        <v>47</v>
      </c>
      <c r="K605">
        <v>0.1</v>
      </c>
      <c r="L605">
        <v>90.9</v>
      </c>
      <c r="M605">
        <v>909</v>
      </c>
      <c r="N605">
        <v>818.1</v>
      </c>
      <c r="O605" t="s">
        <v>54</v>
      </c>
      <c r="P605">
        <v>1831</v>
      </c>
      <c r="Q605" t="s">
        <v>31</v>
      </c>
      <c r="R605" s="1">
        <v>45497</v>
      </c>
      <c r="S605">
        <v>1</v>
      </c>
      <c r="T605" t="s">
        <v>32</v>
      </c>
      <c r="U605" t="s">
        <v>47</v>
      </c>
      <c r="V605" t="s">
        <v>2452</v>
      </c>
      <c r="W605" t="s">
        <v>1247</v>
      </c>
      <c r="X605">
        <v>3350</v>
      </c>
      <c r="Y605">
        <v>250</v>
      </c>
      <c r="Z605">
        <v>250</v>
      </c>
      <c r="AA605" t="s">
        <v>2453</v>
      </c>
    </row>
    <row r="606" spans="1:27" x14ac:dyDescent="0.2">
      <c r="A606">
        <v>3600</v>
      </c>
      <c r="B606" t="s">
        <v>890</v>
      </c>
      <c r="C606" t="str">
        <f>_xlfn.CONCAT(Merge[[#This Row],[Customer First Name]]," ",Merge[[#This Row],[Customer Last Name]])</f>
        <v>Payton Johns</v>
      </c>
      <c r="D606" t="s">
        <v>891</v>
      </c>
      <c r="E606">
        <v>1832</v>
      </c>
      <c r="F606" t="s">
        <v>51</v>
      </c>
      <c r="G606" s="1">
        <v>45582</v>
      </c>
      <c r="H606">
        <v>3</v>
      </c>
      <c r="I606" t="s">
        <v>32</v>
      </c>
      <c r="J606" t="s">
        <v>33</v>
      </c>
      <c r="K606">
        <v>0.2</v>
      </c>
      <c r="L606">
        <v>270.8</v>
      </c>
      <c r="M606">
        <v>1354</v>
      </c>
      <c r="N606">
        <v>1083.2</v>
      </c>
      <c r="O606" t="s">
        <v>48</v>
      </c>
      <c r="P606">
        <v>1832</v>
      </c>
      <c r="Q606" t="s">
        <v>51</v>
      </c>
      <c r="R606" s="1">
        <v>45582</v>
      </c>
      <c r="S606">
        <v>2</v>
      </c>
      <c r="T606" t="s">
        <v>32</v>
      </c>
      <c r="U606" t="s">
        <v>33</v>
      </c>
      <c r="V606" t="s">
        <v>2454</v>
      </c>
      <c r="W606" t="s">
        <v>1238</v>
      </c>
      <c r="X606">
        <v>6725</v>
      </c>
      <c r="Y606">
        <v>250</v>
      </c>
      <c r="Z606">
        <v>500</v>
      </c>
      <c r="AA606" t="s">
        <v>2455</v>
      </c>
    </row>
    <row r="607" spans="1:27" x14ac:dyDescent="0.2">
      <c r="A607">
        <v>3601</v>
      </c>
      <c r="B607" t="s">
        <v>892</v>
      </c>
      <c r="C607" t="str">
        <f>_xlfn.CONCAT(Merge[[#This Row],[Customer First Name]]," ",Merge[[#This Row],[Customer Last Name]])</f>
        <v>Titus Roth</v>
      </c>
      <c r="D607" t="s">
        <v>893</v>
      </c>
      <c r="E607">
        <v>1833</v>
      </c>
      <c r="F607" t="s">
        <v>92</v>
      </c>
      <c r="G607" s="1">
        <v>45440</v>
      </c>
      <c r="H607">
        <v>1</v>
      </c>
      <c r="I607" t="s">
        <v>32</v>
      </c>
      <c r="J607" t="s">
        <v>64</v>
      </c>
      <c r="K607">
        <v>0.3</v>
      </c>
      <c r="L607">
        <v>320.09999999999997</v>
      </c>
      <c r="M607">
        <v>1067</v>
      </c>
      <c r="N607">
        <v>746.90000000000009</v>
      </c>
      <c r="O607" t="s">
        <v>114</v>
      </c>
      <c r="P607">
        <v>1833</v>
      </c>
      <c r="Q607" t="s">
        <v>92</v>
      </c>
      <c r="R607" s="1">
        <v>45440</v>
      </c>
      <c r="S607">
        <v>2</v>
      </c>
      <c r="T607" t="s">
        <v>32</v>
      </c>
      <c r="U607" t="s">
        <v>64</v>
      </c>
      <c r="V607" t="s">
        <v>2456</v>
      </c>
      <c r="W607" t="s">
        <v>1265</v>
      </c>
      <c r="X607">
        <v>7000</v>
      </c>
      <c r="Y607">
        <v>600</v>
      </c>
      <c r="Z607">
        <v>1200</v>
      </c>
      <c r="AA607" t="s">
        <v>2457</v>
      </c>
    </row>
    <row r="608" spans="1:27" x14ac:dyDescent="0.2">
      <c r="A608">
        <v>3602</v>
      </c>
      <c r="B608" t="s">
        <v>894</v>
      </c>
      <c r="C608" t="str">
        <f>_xlfn.CONCAT(Merge[[#This Row],[Customer First Name]]," ",Merge[[#This Row],[Customer Last Name]])</f>
        <v>Alessandra Schneider</v>
      </c>
      <c r="D608" t="s">
        <v>208</v>
      </c>
      <c r="E608">
        <v>1834</v>
      </c>
      <c r="F608" t="s">
        <v>42</v>
      </c>
      <c r="G608" s="1">
        <v>45431</v>
      </c>
      <c r="H608">
        <v>1</v>
      </c>
      <c r="I608" t="s">
        <v>71</v>
      </c>
      <c r="J608" t="s">
        <v>33</v>
      </c>
      <c r="K608">
        <v>0.25</v>
      </c>
      <c r="L608">
        <v>248.25</v>
      </c>
      <c r="M608">
        <v>993</v>
      </c>
      <c r="N608">
        <v>744.75</v>
      </c>
      <c r="O608" t="s">
        <v>114</v>
      </c>
      <c r="P608">
        <v>1834</v>
      </c>
      <c r="Q608" t="s">
        <v>42</v>
      </c>
      <c r="R608" s="1">
        <v>45431</v>
      </c>
      <c r="S608">
        <v>1</v>
      </c>
      <c r="T608" t="s">
        <v>71</v>
      </c>
      <c r="U608" t="s">
        <v>33</v>
      </c>
      <c r="V608" t="s">
        <v>2458</v>
      </c>
      <c r="W608" t="s">
        <v>1259</v>
      </c>
      <c r="X608">
        <v>6160</v>
      </c>
      <c r="Y608">
        <v>300</v>
      </c>
      <c r="Z608">
        <v>300</v>
      </c>
      <c r="AA608" t="s">
        <v>2459</v>
      </c>
    </row>
    <row r="609" spans="1:27" x14ac:dyDescent="0.2">
      <c r="A609">
        <v>3603</v>
      </c>
      <c r="B609" t="s">
        <v>895</v>
      </c>
      <c r="C609" t="str">
        <f>_xlfn.CONCAT(Merge[[#This Row],[Customer First Name]]," ",Merge[[#This Row],[Customer Last Name]])</f>
        <v>Phoenix Gill</v>
      </c>
      <c r="D609" t="s">
        <v>896</v>
      </c>
      <c r="E609">
        <v>1835</v>
      </c>
      <c r="F609" t="s">
        <v>92</v>
      </c>
      <c r="G609" s="1">
        <v>45630</v>
      </c>
      <c r="H609">
        <v>1</v>
      </c>
      <c r="I609" t="s">
        <v>52</v>
      </c>
      <c r="J609" t="s">
        <v>39</v>
      </c>
      <c r="K609">
        <v>0.3</v>
      </c>
      <c r="L609">
        <v>239.7</v>
      </c>
      <c r="M609">
        <v>799</v>
      </c>
      <c r="N609">
        <v>559.29999999999995</v>
      </c>
      <c r="O609" t="s">
        <v>44</v>
      </c>
      <c r="P609">
        <v>1835</v>
      </c>
      <c r="Q609" t="s">
        <v>92</v>
      </c>
      <c r="R609" s="1">
        <v>45630</v>
      </c>
      <c r="S609">
        <v>1</v>
      </c>
      <c r="T609" t="s">
        <v>52</v>
      </c>
      <c r="U609" t="s">
        <v>39</v>
      </c>
      <c r="V609" t="s">
        <v>2460</v>
      </c>
      <c r="W609" t="s">
        <v>1241</v>
      </c>
      <c r="X609">
        <v>2600</v>
      </c>
      <c r="Y609">
        <v>600</v>
      </c>
      <c r="Z609">
        <v>600</v>
      </c>
      <c r="AA609" t="s">
        <v>2461</v>
      </c>
    </row>
    <row r="610" spans="1:27" x14ac:dyDescent="0.2">
      <c r="A610">
        <v>3604</v>
      </c>
      <c r="B610" t="s">
        <v>760</v>
      </c>
      <c r="C610" t="str">
        <f>_xlfn.CONCAT(Merge[[#This Row],[Customer First Name]]," ",Merge[[#This Row],[Customer Last Name]])</f>
        <v>Amanda Lucas</v>
      </c>
      <c r="D610" t="s">
        <v>498</v>
      </c>
      <c r="E610">
        <v>1836</v>
      </c>
      <c r="F610" t="s">
        <v>76</v>
      </c>
      <c r="G610" s="1">
        <v>45358</v>
      </c>
      <c r="H610">
        <v>3</v>
      </c>
      <c r="I610" t="s">
        <v>52</v>
      </c>
      <c r="J610" t="s">
        <v>64</v>
      </c>
      <c r="K610">
        <v>0.25</v>
      </c>
      <c r="L610">
        <v>90.25</v>
      </c>
      <c r="M610">
        <v>361</v>
      </c>
      <c r="N610">
        <v>270.75</v>
      </c>
      <c r="O610" t="s">
        <v>114</v>
      </c>
      <c r="P610">
        <v>1836</v>
      </c>
      <c r="Q610" t="s">
        <v>76</v>
      </c>
      <c r="R610" s="1">
        <v>45358</v>
      </c>
      <c r="S610">
        <v>3</v>
      </c>
      <c r="T610" t="s">
        <v>52</v>
      </c>
      <c r="U610" t="s">
        <v>64</v>
      </c>
      <c r="V610" t="s">
        <v>2462</v>
      </c>
      <c r="W610" t="s">
        <v>1265</v>
      </c>
      <c r="X610">
        <v>7000</v>
      </c>
      <c r="Y610">
        <v>1200</v>
      </c>
      <c r="Z610">
        <v>3600</v>
      </c>
      <c r="AA610" t="s">
        <v>2463</v>
      </c>
    </row>
    <row r="611" spans="1:27" x14ac:dyDescent="0.2">
      <c r="A611">
        <v>3605</v>
      </c>
      <c r="B611" t="s">
        <v>897</v>
      </c>
      <c r="C611" t="str">
        <f>_xlfn.CONCAT(Merge[[#This Row],[Customer First Name]]," ",Merge[[#This Row],[Customer Last Name]])</f>
        <v>Frances Ferguson</v>
      </c>
      <c r="D611" t="s">
        <v>750</v>
      </c>
      <c r="E611">
        <v>1837</v>
      </c>
      <c r="F611" t="s">
        <v>92</v>
      </c>
      <c r="G611" s="1">
        <v>45453</v>
      </c>
      <c r="H611">
        <v>3</v>
      </c>
      <c r="I611" t="s">
        <v>32</v>
      </c>
      <c r="J611" t="s">
        <v>57</v>
      </c>
      <c r="K611">
        <v>0.3</v>
      </c>
      <c r="L611">
        <v>107.7</v>
      </c>
      <c r="M611">
        <v>359</v>
      </c>
      <c r="N611">
        <v>251.3</v>
      </c>
      <c r="O611" t="s">
        <v>34</v>
      </c>
      <c r="P611">
        <v>1837</v>
      </c>
      <c r="Q611" t="s">
        <v>92</v>
      </c>
      <c r="R611" s="1">
        <v>45453</v>
      </c>
      <c r="S611">
        <v>3</v>
      </c>
      <c r="T611" t="s">
        <v>32</v>
      </c>
      <c r="U611" t="s">
        <v>57</v>
      </c>
      <c r="V611" t="s">
        <v>2464</v>
      </c>
      <c r="W611" t="s">
        <v>1253</v>
      </c>
      <c r="X611">
        <v>5290</v>
      </c>
      <c r="Y611">
        <v>600</v>
      </c>
      <c r="Z611">
        <v>1800</v>
      </c>
      <c r="AA611" t="s">
        <v>2465</v>
      </c>
    </row>
    <row r="612" spans="1:27" x14ac:dyDescent="0.2">
      <c r="A612">
        <v>3606</v>
      </c>
      <c r="B612" t="s">
        <v>898</v>
      </c>
      <c r="C612" t="str">
        <f>_xlfn.CONCAT(Merge[[#This Row],[Customer First Name]]," ",Merge[[#This Row],[Customer Last Name]])</f>
        <v>Abel Craig</v>
      </c>
      <c r="D612" t="s">
        <v>327</v>
      </c>
      <c r="E612">
        <v>1838</v>
      </c>
      <c r="F612" t="s">
        <v>76</v>
      </c>
      <c r="G612" s="1">
        <v>45564</v>
      </c>
      <c r="H612">
        <v>2</v>
      </c>
      <c r="I612" t="s">
        <v>32</v>
      </c>
      <c r="J612" t="s">
        <v>81</v>
      </c>
      <c r="K612">
        <v>0.25</v>
      </c>
      <c r="L612">
        <v>173.75</v>
      </c>
      <c r="M612">
        <v>695</v>
      </c>
      <c r="N612">
        <v>521.25</v>
      </c>
      <c r="O612" t="s">
        <v>114</v>
      </c>
      <c r="P612">
        <v>1838</v>
      </c>
      <c r="Q612" t="s">
        <v>76</v>
      </c>
      <c r="R612" s="1">
        <v>45564</v>
      </c>
      <c r="S612">
        <v>3</v>
      </c>
      <c r="T612" t="s">
        <v>32</v>
      </c>
      <c r="U612" t="s">
        <v>81</v>
      </c>
      <c r="V612" t="s">
        <v>2466</v>
      </c>
      <c r="W612" t="s">
        <v>1361</v>
      </c>
      <c r="X612">
        <v>870</v>
      </c>
      <c r="Y612">
        <v>1200</v>
      </c>
      <c r="Z612">
        <v>3600</v>
      </c>
      <c r="AA612" t="s">
        <v>2467</v>
      </c>
    </row>
    <row r="613" spans="1:27" x14ac:dyDescent="0.2">
      <c r="A613">
        <v>3607</v>
      </c>
      <c r="B613" t="s">
        <v>543</v>
      </c>
      <c r="C613" t="str">
        <f>_xlfn.CONCAT(Merge[[#This Row],[Customer First Name]]," ",Merge[[#This Row],[Customer Last Name]])</f>
        <v>Briella Flowers</v>
      </c>
      <c r="D613" t="s">
        <v>727</v>
      </c>
      <c r="E613">
        <v>1839</v>
      </c>
      <c r="F613" t="s">
        <v>42</v>
      </c>
      <c r="G613" s="1">
        <v>45340</v>
      </c>
      <c r="H613">
        <v>3</v>
      </c>
      <c r="I613" t="s">
        <v>32</v>
      </c>
      <c r="J613" t="s">
        <v>57</v>
      </c>
      <c r="K613">
        <v>0.25</v>
      </c>
      <c r="L613">
        <v>285.75</v>
      </c>
      <c r="M613">
        <v>1143</v>
      </c>
      <c r="N613">
        <v>857.25</v>
      </c>
      <c r="O613" t="s">
        <v>54</v>
      </c>
      <c r="P613">
        <v>1839</v>
      </c>
      <c r="Q613" t="s">
        <v>42</v>
      </c>
      <c r="R613" s="1">
        <v>45340</v>
      </c>
      <c r="S613">
        <v>2</v>
      </c>
      <c r="T613" t="s">
        <v>32</v>
      </c>
      <c r="U613" t="s">
        <v>57</v>
      </c>
      <c r="V613" t="s">
        <v>2468</v>
      </c>
      <c r="W613" t="s">
        <v>1095</v>
      </c>
      <c r="X613">
        <v>5000</v>
      </c>
      <c r="Y613">
        <v>300</v>
      </c>
      <c r="Z613">
        <v>600</v>
      </c>
      <c r="AA613" t="s">
        <v>2469</v>
      </c>
    </row>
    <row r="614" spans="1:27" x14ac:dyDescent="0.2">
      <c r="A614">
        <v>3608</v>
      </c>
      <c r="B614" t="s">
        <v>899</v>
      </c>
      <c r="C614" t="str">
        <f>_xlfn.CONCAT(Merge[[#This Row],[Customer First Name]]," ",Merge[[#This Row],[Customer Last Name]])</f>
        <v>Camilla Gonzalez</v>
      </c>
      <c r="D614" t="s">
        <v>360</v>
      </c>
      <c r="E614">
        <v>1840</v>
      </c>
      <c r="F614" t="s">
        <v>37</v>
      </c>
      <c r="G614" s="1">
        <v>45625</v>
      </c>
      <c r="H614">
        <v>1</v>
      </c>
      <c r="I614" t="s">
        <v>52</v>
      </c>
      <c r="J614" t="s">
        <v>39</v>
      </c>
      <c r="K614">
        <v>0.3</v>
      </c>
      <c r="L614">
        <v>370.5</v>
      </c>
      <c r="M614">
        <v>1235</v>
      </c>
      <c r="N614">
        <v>864.5</v>
      </c>
      <c r="O614" t="s">
        <v>44</v>
      </c>
      <c r="P614">
        <v>1840</v>
      </c>
      <c r="Q614" t="s">
        <v>37</v>
      </c>
      <c r="R614" s="1">
        <v>45625</v>
      </c>
      <c r="S614">
        <v>1</v>
      </c>
      <c r="T614" t="s">
        <v>52</v>
      </c>
      <c r="U614" t="s">
        <v>39</v>
      </c>
      <c r="V614" t="s">
        <v>2470</v>
      </c>
      <c r="W614" t="s">
        <v>1241</v>
      </c>
      <c r="X614">
        <v>2600</v>
      </c>
      <c r="Y614">
        <v>800</v>
      </c>
      <c r="Z614">
        <v>800</v>
      </c>
      <c r="AA614" t="s">
        <v>2471</v>
      </c>
    </row>
    <row r="615" spans="1:27" x14ac:dyDescent="0.2">
      <c r="A615">
        <v>3609</v>
      </c>
      <c r="B615" t="s">
        <v>652</v>
      </c>
      <c r="C615" t="str">
        <f>_xlfn.CONCAT(Merge[[#This Row],[Customer First Name]]," ",Merge[[#This Row],[Customer Last Name]])</f>
        <v>Kash Lane</v>
      </c>
      <c r="D615" t="s">
        <v>709</v>
      </c>
      <c r="E615">
        <v>1841</v>
      </c>
      <c r="F615" t="s">
        <v>76</v>
      </c>
      <c r="G615" s="1">
        <v>45468</v>
      </c>
      <c r="H615">
        <v>3</v>
      </c>
      <c r="I615" t="s">
        <v>32</v>
      </c>
      <c r="J615" t="s">
        <v>81</v>
      </c>
      <c r="K615">
        <v>0.25</v>
      </c>
      <c r="L615">
        <v>27</v>
      </c>
      <c r="M615">
        <v>108</v>
      </c>
      <c r="N615">
        <v>81</v>
      </c>
      <c r="O615" t="s">
        <v>114</v>
      </c>
      <c r="P615">
        <v>1841</v>
      </c>
      <c r="Q615" t="s">
        <v>76</v>
      </c>
      <c r="R615" s="1">
        <v>45468</v>
      </c>
      <c r="S615">
        <v>1</v>
      </c>
      <c r="T615" t="s">
        <v>32</v>
      </c>
      <c r="U615" t="s">
        <v>81</v>
      </c>
      <c r="V615" t="s">
        <v>2472</v>
      </c>
      <c r="W615" t="s">
        <v>1361</v>
      </c>
      <c r="X615">
        <v>870</v>
      </c>
      <c r="Y615">
        <v>1200</v>
      </c>
      <c r="Z615">
        <v>1200</v>
      </c>
      <c r="AA615" t="s">
        <v>2473</v>
      </c>
    </row>
    <row r="616" spans="1:27" x14ac:dyDescent="0.2">
      <c r="A616">
        <v>3610</v>
      </c>
      <c r="B616" t="s">
        <v>545</v>
      </c>
      <c r="C616" t="str">
        <f>_xlfn.CONCAT(Merge[[#This Row],[Customer First Name]]," ",Merge[[#This Row],[Customer Last Name]])</f>
        <v>Maria Henry</v>
      </c>
      <c r="D616" t="s">
        <v>900</v>
      </c>
      <c r="E616">
        <v>1842</v>
      </c>
      <c r="F616" t="s">
        <v>42</v>
      </c>
      <c r="G616" s="1">
        <v>45647</v>
      </c>
      <c r="H616">
        <v>3</v>
      </c>
      <c r="I616" t="s">
        <v>32</v>
      </c>
      <c r="J616" t="s">
        <v>47</v>
      </c>
      <c r="K616">
        <v>0.25</v>
      </c>
      <c r="L616">
        <v>363.75</v>
      </c>
      <c r="M616">
        <v>1455</v>
      </c>
      <c r="N616">
        <v>1091.25</v>
      </c>
      <c r="O616" t="s">
        <v>44</v>
      </c>
      <c r="P616">
        <v>1842</v>
      </c>
      <c r="Q616" t="s">
        <v>42</v>
      </c>
      <c r="R616" s="1">
        <v>45647</v>
      </c>
      <c r="S616">
        <v>3</v>
      </c>
      <c r="T616" t="s">
        <v>32</v>
      </c>
      <c r="U616" t="s">
        <v>47</v>
      </c>
      <c r="V616" t="s">
        <v>2474</v>
      </c>
      <c r="W616" t="s">
        <v>1275</v>
      </c>
      <c r="X616">
        <v>3000</v>
      </c>
      <c r="Y616">
        <v>300</v>
      </c>
      <c r="Z616">
        <v>900</v>
      </c>
      <c r="AA616" t="s">
        <v>2475</v>
      </c>
    </row>
    <row r="617" spans="1:27" x14ac:dyDescent="0.2">
      <c r="A617">
        <v>3611</v>
      </c>
      <c r="B617" t="s">
        <v>901</v>
      </c>
      <c r="C617" t="str">
        <f>_xlfn.CONCAT(Merge[[#This Row],[Customer First Name]]," ",Merge[[#This Row],[Customer Last Name]])</f>
        <v>Shiloh Huffman</v>
      </c>
      <c r="D617" t="s">
        <v>116</v>
      </c>
      <c r="E617">
        <v>1843</v>
      </c>
      <c r="F617" t="s">
        <v>92</v>
      </c>
      <c r="G617" s="1">
        <v>45384</v>
      </c>
      <c r="H617">
        <v>2</v>
      </c>
      <c r="I617" t="s">
        <v>52</v>
      </c>
      <c r="J617" t="s">
        <v>33</v>
      </c>
      <c r="K617">
        <v>0.3</v>
      </c>
      <c r="L617">
        <v>488.4</v>
      </c>
      <c r="M617">
        <v>1628</v>
      </c>
      <c r="N617">
        <v>1139.5999999999999</v>
      </c>
      <c r="O617" t="s">
        <v>114</v>
      </c>
      <c r="P617">
        <v>1843</v>
      </c>
      <c r="Q617" t="s">
        <v>92</v>
      </c>
      <c r="R617" s="1">
        <v>45384</v>
      </c>
      <c r="S617">
        <v>1</v>
      </c>
      <c r="T617" t="s">
        <v>52</v>
      </c>
      <c r="U617" t="s">
        <v>33</v>
      </c>
      <c r="V617" t="s">
        <v>2476</v>
      </c>
      <c r="W617" t="s">
        <v>1238</v>
      </c>
      <c r="X617">
        <v>6725</v>
      </c>
      <c r="Y617">
        <v>600</v>
      </c>
      <c r="Z617">
        <v>600</v>
      </c>
      <c r="AA617" t="s">
        <v>2477</v>
      </c>
    </row>
    <row r="618" spans="1:27" x14ac:dyDescent="0.2">
      <c r="A618">
        <v>3612</v>
      </c>
      <c r="B618" t="s">
        <v>902</v>
      </c>
      <c r="C618" t="str">
        <f>_xlfn.CONCAT(Merge[[#This Row],[Customer First Name]]," ",Merge[[#This Row],[Customer Last Name]])</f>
        <v>Micah Curry</v>
      </c>
      <c r="D618" t="s">
        <v>840</v>
      </c>
      <c r="E618">
        <v>1844</v>
      </c>
      <c r="F618" t="s">
        <v>76</v>
      </c>
      <c r="G618" s="1">
        <v>45442</v>
      </c>
      <c r="H618">
        <v>2</v>
      </c>
      <c r="I618" t="s">
        <v>52</v>
      </c>
      <c r="J618" t="s">
        <v>33</v>
      </c>
      <c r="K618">
        <v>0.25</v>
      </c>
      <c r="L618">
        <v>187.5</v>
      </c>
      <c r="M618">
        <v>750</v>
      </c>
      <c r="N618">
        <v>562.5</v>
      </c>
      <c r="O618" t="s">
        <v>44</v>
      </c>
      <c r="P618">
        <v>1844</v>
      </c>
      <c r="Q618" t="s">
        <v>76</v>
      </c>
      <c r="R618" s="1">
        <v>45442</v>
      </c>
      <c r="S618">
        <v>3</v>
      </c>
      <c r="T618" t="s">
        <v>52</v>
      </c>
      <c r="U618" t="s">
        <v>33</v>
      </c>
      <c r="V618" t="s">
        <v>2478</v>
      </c>
      <c r="W618" t="s">
        <v>1302</v>
      </c>
      <c r="X618">
        <v>6000</v>
      </c>
      <c r="Y618">
        <v>1200</v>
      </c>
      <c r="Z618">
        <v>3600</v>
      </c>
      <c r="AA618" t="s">
        <v>2479</v>
      </c>
    </row>
    <row r="619" spans="1:27" x14ac:dyDescent="0.2">
      <c r="A619">
        <v>3613</v>
      </c>
      <c r="B619" t="s">
        <v>903</v>
      </c>
      <c r="C619" t="str">
        <f>_xlfn.CONCAT(Merge[[#This Row],[Customer First Name]]," ",Merge[[#This Row],[Customer Last Name]])</f>
        <v>Kyrie Magana</v>
      </c>
      <c r="D619" t="s">
        <v>904</v>
      </c>
      <c r="E619">
        <v>1845</v>
      </c>
      <c r="F619" t="s">
        <v>42</v>
      </c>
      <c r="G619" s="1">
        <v>45580</v>
      </c>
      <c r="H619">
        <v>1</v>
      </c>
      <c r="I619" t="s">
        <v>52</v>
      </c>
      <c r="J619" t="s">
        <v>39</v>
      </c>
      <c r="K619">
        <v>0.25</v>
      </c>
      <c r="L619">
        <v>386.25</v>
      </c>
      <c r="M619">
        <v>1545</v>
      </c>
      <c r="N619">
        <v>1158.75</v>
      </c>
      <c r="O619" t="s">
        <v>34</v>
      </c>
      <c r="P619">
        <v>1845</v>
      </c>
      <c r="Q619" t="s">
        <v>42</v>
      </c>
      <c r="R619" s="1">
        <v>45580</v>
      </c>
      <c r="S619">
        <v>3</v>
      </c>
      <c r="T619" t="s">
        <v>52</v>
      </c>
      <c r="U619" t="s">
        <v>39</v>
      </c>
      <c r="V619" t="s">
        <v>2480</v>
      </c>
      <c r="W619" t="s">
        <v>1241</v>
      </c>
      <c r="X619">
        <v>2600</v>
      </c>
      <c r="Y619">
        <v>300</v>
      </c>
      <c r="Z619">
        <v>900</v>
      </c>
      <c r="AA619" t="s">
        <v>2481</v>
      </c>
    </row>
    <row r="620" spans="1:27" x14ac:dyDescent="0.2">
      <c r="A620">
        <v>3614</v>
      </c>
      <c r="B620" t="s">
        <v>306</v>
      </c>
      <c r="C620" t="str">
        <f>_xlfn.CONCAT(Merge[[#This Row],[Customer First Name]]," ",Merge[[#This Row],[Customer Last Name]])</f>
        <v>Selah Shepherd</v>
      </c>
      <c r="D620" t="s">
        <v>250</v>
      </c>
      <c r="E620">
        <v>1846</v>
      </c>
      <c r="F620" t="s">
        <v>76</v>
      </c>
      <c r="G620" s="1">
        <v>45551</v>
      </c>
      <c r="H620">
        <v>3</v>
      </c>
      <c r="I620" t="s">
        <v>32</v>
      </c>
      <c r="J620" t="s">
        <v>39</v>
      </c>
      <c r="K620">
        <v>0.25</v>
      </c>
      <c r="L620">
        <v>408</v>
      </c>
      <c r="M620">
        <v>1632</v>
      </c>
      <c r="N620">
        <v>1224</v>
      </c>
      <c r="O620" t="s">
        <v>48</v>
      </c>
      <c r="P620">
        <v>1846</v>
      </c>
      <c r="Q620" t="s">
        <v>76</v>
      </c>
      <c r="R620" s="1">
        <v>45551</v>
      </c>
      <c r="S620">
        <v>3</v>
      </c>
      <c r="T620" t="s">
        <v>32</v>
      </c>
      <c r="U620" t="s">
        <v>39</v>
      </c>
      <c r="V620" t="s">
        <v>2482</v>
      </c>
      <c r="W620" t="s">
        <v>1241</v>
      </c>
      <c r="X620">
        <v>2600</v>
      </c>
      <c r="Y620">
        <v>1200</v>
      </c>
      <c r="Z620">
        <v>3600</v>
      </c>
      <c r="AA620" t="s">
        <v>2483</v>
      </c>
    </row>
    <row r="621" spans="1:27" x14ac:dyDescent="0.2">
      <c r="A621">
        <v>3615</v>
      </c>
      <c r="B621" t="s">
        <v>905</v>
      </c>
      <c r="C621" t="str">
        <f>_xlfn.CONCAT(Merge[[#This Row],[Customer First Name]]," ",Merge[[#This Row],[Customer Last Name]])</f>
        <v>Destiny Schroeder</v>
      </c>
      <c r="D621" t="s">
        <v>78</v>
      </c>
      <c r="E621">
        <v>1847</v>
      </c>
      <c r="F621" t="s">
        <v>31</v>
      </c>
      <c r="G621" s="1">
        <v>45503</v>
      </c>
      <c r="H621">
        <v>2</v>
      </c>
      <c r="I621" t="s">
        <v>32</v>
      </c>
      <c r="J621" t="s">
        <v>64</v>
      </c>
      <c r="K621">
        <v>0.1</v>
      </c>
      <c r="L621">
        <v>5.4</v>
      </c>
      <c r="M621">
        <v>54</v>
      </c>
      <c r="N621">
        <v>48.6</v>
      </c>
      <c r="O621" t="s">
        <v>48</v>
      </c>
      <c r="P621">
        <v>1847</v>
      </c>
      <c r="Q621" t="s">
        <v>31</v>
      </c>
      <c r="R621" s="1">
        <v>45503</v>
      </c>
      <c r="S621">
        <v>1</v>
      </c>
      <c r="T621" t="s">
        <v>32</v>
      </c>
      <c r="U621" t="s">
        <v>64</v>
      </c>
      <c r="V621" t="s">
        <v>1710</v>
      </c>
      <c r="W621" t="s">
        <v>1265</v>
      </c>
      <c r="X621">
        <v>7000</v>
      </c>
      <c r="Y621">
        <v>250</v>
      </c>
      <c r="Z621">
        <v>250</v>
      </c>
      <c r="AA621" t="s">
        <v>2484</v>
      </c>
    </row>
    <row r="622" spans="1:27" x14ac:dyDescent="0.2">
      <c r="A622">
        <v>3616</v>
      </c>
      <c r="B622" t="s">
        <v>110</v>
      </c>
      <c r="C622" t="str">
        <f>_xlfn.CONCAT(Merge[[#This Row],[Customer First Name]]," ",Merge[[#This Row],[Customer Last Name]])</f>
        <v>Dylan Quintana</v>
      </c>
      <c r="D622" t="s">
        <v>906</v>
      </c>
      <c r="E622">
        <v>1848</v>
      </c>
      <c r="F622" t="s">
        <v>51</v>
      </c>
      <c r="G622" s="1">
        <v>45431</v>
      </c>
      <c r="H622">
        <v>1</v>
      </c>
      <c r="I622" t="s">
        <v>32</v>
      </c>
      <c r="J622" t="s">
        <v>33</v>
      </c>
      <c r="K622">
        <v>0.2</v>
      </c>
      <c r="L622">
        <v>136.20000000000002</v>
      </c>
      <c r="M622">
        <v>681</v>
      </c>
      <c r="N622">
        <v>544.79999999999995</v>
      </c>
      <c r="O622" t="s">
        <v>44</v>
      </c>
      <c r="P622">
        <v>1848</v>
      </c>
      <c r="Q622" t="s">
        <v>51</v>
      </c>
      <c r="R622" s="1">
        <v>45431</v>
      </c>
      <c r="S622">
        <v>1</v>
      </c>
      <c r="T622" t="s">
        <v>32</v>
      </c>
      <c r="U622" t="s">
        <v>33</v>
      </c>
      <c r="V622" t="s">
        <v>2485</v>
      </c>
      <c r="W622" t="s">
        <v>1259</v>
      </c>
      <c r="X622">
        <v>6160</v>
      </c>
      <c r="Y622">
        <v>250</v>
      </c>
      <c r="Z622">
        <v>250</v>
      </c>
      <c r="AA622" t="s">
        <v>2486</v>
      </c>
    </row>
    <row r="623" spans="1:27" x14ac:dyDescent="0.2">
      <c r="A623">
        <v>3617</v>
      </c>
      <c r="B623" t="s">
        <v>907</v>
      </c>
      <c r="C623" t="str">
        <f>_xlfn.CONCAT(Merge[[#This Row],[Customer First Name]]," ",Merge[[#This Row],[Customer Last Name]])</f>
        <v>Elsie Love</v>
      </c>
      <c r="D623" t="s">
        <v>505</v>
      </c>
      <c r="E623">
        <v>1849</v>
      </c>
      <c r="F623" t="s">
        <v>51</v>
      </c>
      <c r="G623" s="1">
        <v>45541</v>
      </c>
      <c r="H623">
        <v>1</v>
      </c>
      <c r="I623" t="s">
        <v>38</v>
      </c>
      <c r="J623" t="s">
        <v>57</v>
      </c>
      <c r="K623">
        <v>0.2</v>
      </c>
      <c r="L623">
        <v>33</v>
      </c>
      <c r="M623">
        <v>165</v>
      </c>
      <c r="N623">
        <v>132</v>
      </c>
      <c r="O623" t="s">
        <v>48</v>
      </c>
      <c r="P623">
        <v>1849</v>
      </c>
      <c r="Q623" t="s">
        <v>51</v>
      </c>
      <c r="R623" s="1">
        <v>45541</v>
      </c>
      <c r="S623">
        <v>2</v>
      </c>
      <c r="T623" t="s">
        <v>38</v>
      </c>
      <c r="U623" t="s">
        <v>57</v>
      </c>
      <c r="V623" t="s">
        <v>2487</v>
      </c>
      <c r="W623" t="s">
        <v>1253</v>
      </c>
      <c r="X623">
        <v>5290</v>
      </c>
      <c r="Y623">
        <v>250</v>
      </c>
      <c r="Z623">
        <v>500</v>
      </c>
      <c r="AA623" t="s">
        <v>2488</v>
      </c>
    </row>
    <row r="624" spans="1:27" x14ac:dyDescent="0.2">
      <c r="A624">
        <v>3618</v>
      </c>
      <c r="B624" t="s">
        <v>453</v>
      </c>
      <c r="C624" t="str">
        <f>_xlfn.CONCAT(Merge[[#This Row],[Customer First Name]]," ",Merge[[#This Row],[Customer Last Name]])</f>
        <v>Frederick Ellison</v>
      </c>
      <c r="D624" t="s">
        <v>811</v>
      </c>
      <c r="E624">
        <v>1850</v>
      </c>
      <c r="F624" t="s">
        <v>31</v>
      </c>
      <c r="G624" s="1">
        <v>45292</v>
      </c>
      <c r="H624">
        <v>1</v>
      </c>
      <c r="I624" t="s">
        <v>32</v>
      </c>
      <c r="J624" t="s">
        <v>33</v>
      </c>
      <c r="K624">
        <v>0.1</v>
      </c>
      <c r="L624">
        <v>25.900000000000002</v>
      </c>
      <c r="M624">
        <v>259</v>
      </c>
      <c r="N624">
        <v>233.1</v>
      </c>
      <c r="O624" t="s">
        <v>54</v>
      </c>
      <c r="P624">
        <v>1850</v>
      </c>
      <c r="Q624" t="s">
        <v>31</v>
      </c>
      <c r="R624" s="1">
        <v>45292</v>
      </c>
      <c r="S624">
        <v>2</v>
      </c>
      <c r="T624" t="s">
        <v>32</v>
      </c>
      <c r="U624" t="s">
        <v>33</v>
      </c>
      <c r="V624" t="s">
        <v>2489</v>
      </c>
      <c r="W624" t="s">
        <v>1238</v>
      </c>
      <c r="X624">
        <v>6725</v>
      </c>
      <c r="Y624">
        <v>250</v>
      </c>
      <c r="Z624">
        <v>500</v>
      </c>
      <c r="AA624" t="s">
        <v>2490</v>
      </c>
    </row>
    <row r="625" spans="1:27" x14ac:dyDescent="0.2">
      <c r="A625">
        <v>3619</v>
      </c>
      <c r="B625" t="s">
        <v>717</v>
      </c>
      <c r="C625" t="str">
        <f>_xlfn.CONCAT(Merge[[#This Row],[Customer First Name]]," ",Merge[[#This Row],[Customer Last Name]])</f>
        <v>Marley Henderson</v>
      </c>
      <c r="D625" t="s">
        <v>443</v>
      </c>
      <c r="E625">
        <v>1851</v>
      </c>
      <c r="F625" t="s">
        <v>37</v>
      </c>
      <c r="G625" s="1">
        <v>45342</v>
      </c>
      <c r="H625">
        <v>2</v>
      </c>
      <c r="I625" t="s">
        <v>71</v>
      </c>
      <c r="J625" t="s">
        <v>47</v>
      </c>
      <c r="K625">
        <v>0.3</v>
      </c>
      <c r="L625">
        <v>168.29999999999998</v>
      </c>
      <c r="M625">
        <v>561</v>
      </c>
      <c r="N625">
        <v>392.70000000000005</v>
      </c>
      <c r="O625" t="s">
        <v>114</v>
      </c>
      <c r="P625">
        <v>1851</v>
      </c>
      <c r="Q625" t="s">
        <v>37</v>
      </c>
      <c r="R625" s="1">
        <v>45342</v>
      </c>
      <c r="S625">
        <v>3</v>
      </c>
      <c r="T625" t="s">
        <v>71</v>
      </c>
      <c r="U625" t="s">
        <v>47</v>
      </c>
      <c r="V625" t="s">
        <v>2491</v>
      </c>
      <c r="W625" t="s">
        <v>1247</v>
      </c>
      <c r="X625">
        <v>3350</v>
      </c>
      <c r="Y625">
        <v>800</v>
      </c>
      <c r="Z625">
        <v>2400</v>
      </c>
      <c r="AA625" t="s">
        <v>2492</v>
      </c>
    </row>
    <row r="626" spans="1:27" x14ac:dyDescent="0.2">
      <c r="A626">
        <v>3620</v>
      </c>
      <c r="B626" t="s">
        <v>652</v>
      </c>
      <c r="C626" t="str">
        <f>_xlfn.CONCAT(Merge[[#This Row],[Customer First Name]]," ",Merge[[#This Row],[Customer Last Name]])</f>
        <v>Abraham Lane</v>
      </c>
      <c r="D626" t="s">
        <v>908</v>
      </c>
      <c r="E626">
        <v>1852</v>
      </c>
      <c r="F626" t="s">
        <v>51</v>
      </c>
      <c r="G626" s="1">
        <v>45403</v>
      </c>
      <c r="H626">
        <v>2</v>
      </c>
      <c r="I626" t="s">
        <v>32</v>
      </c>
      <c r="J626" t="s">
        <v>33</v>
      </c>
      <c r="K626">
        <v>0.2</v>
      </c>
      <c r="L626">
        <v>9.8000000000000007</v>
      </c>
      <c r="M626">
        <v>49</v>
      </c>
      <c r="N626">
        <v>39.200000000000003</v>
      </c>
      <c r="O626" t="s">
        <v>54</v>
      </c>
      <c r="P626">
        <v>1852</v>
      </c>
      <c r="Q626" t="s">
        <v>51</v>
      </c>
      <c r="R626" s="1">
        <v>45403</v>
      </c>
      <c r="S626">
        <v>2</v>
      </c>
      <c r="T626" t="s">
        <v>32</v>
      </c>
      <c r="U626" t="s">
        <v>33</v>
      </c>
      <c r="V626" t="s">
        <v>2493</v>
      </c>
      <c r="W626" t="s">
        <v>1259</v>
      </c>
      <c r="X626">
        <v>6160</v>
      </c>
      <c r="Y626">
        <v>250</v>
      </c>
      <c r="Z626">
        <v>500</v>
      </c>
      <c r="AA626" t="s">
        <v>2494</v>
      </c>
    </row>
    <row r="627" spans="1:27" x14ac:dyDescent="0.2">
      <c r="A627">
        <v>3621</v>
      </c>
      <c r="B627" t="s">
        <v>776</v>
      </c>
      <c r="C627" t="str">
        <f>_xlfn.CONCAT(Merge[[#This Row],[Customer First Name]]," ",Merge[[#This Row],[Customer Last Name]])</f>
        <v>Bailey Duncan</v>
      </c>
      <c r="D627" t="s">
        <v>170</v>
      </c>
      <c r="E627">
        <v>1853</v>
      </c>
      <c r="F627" t="s">
        <v>51</v>
      </c>
      <c r="G627" s="1">
        <v>45321</v>
      </c>
      <c r="H627">
        <v>1</v>
      </c>
      <c r="I627" t="s">
        <v>32</v>
      </c>
      <c r="J627" t="s">
        <v>39</v>
      </c>
      <c r="K627">
        <v>0.2</v>
      </c>
      <c r="L627">
        <v>102.60000000000001</v>
      </c>
      <c r="M627">
        <v>513</v>
      </c>
      <c r="N627">
        <v>410.4</v>
      </c>
      <c r="O627" t="s">
        <v>114</v>
      </c>
      <c r="P627">
        <v>1853</v>
      </c>
      <c r="Q627" t="s">
        <v>51</v>
      </c>
      <c r="R627" s="1">
        <v>45321</v>
      </c>
      <c r="S627">
        <v>3</v>
      </c>
      <c r="T627" t="s">
        <v>32</v>
      </c>
      <c r="U627" t="s">
        <v>39</v>
      </c>
      <c r="V627" t="s">
        <v>2495</v>
      </c>
      <c r="W627" t="s">
        <v>1241</v>
      </c>
      <c r="X627">
        <v>2600</v>
      </c>
      <c r="Y627">
        <v>250</v>
      </c>
      <c r="Z627">
        <v>750</v>
      </c>
      <c r="AA627" t="s">
        <v>2496</v>
      </c>
    </row>
    <row r="628" spans="1:27" x14ac:dyDescent="0.2">
      <c r="A628">
        <v>3622</v>
      </c>
      <c r="B628" t="s">
        <v>426</v>
      </c>
      <c r="C628" t="str">
        <f>_xlfn.CONCAT(Merge[[#This Row],[Customer First Name]]," ",Merge[[#This Row],[Customer Last Name]])</f>
        <v>Emily Cherry</v>
      </c>
      <c r="D628" t="s">
        <v>909</v>
      </c>
      <c r="E628">
        <v>1854</v>
      </c>
      <c r="F628" t="s">
        <v>51</v>
      </c>
      <c r="G628" s="1">
        <v>45423</v>
      </c>
      <c r="H628">
        <v>2</v>
      </c>
      <c r="I628" t="s">
        <v>32</v>
      </c>
      <c r="J628" t="s">
        <v>39</v>
      </c>
      <c r="K628">
        <v>0.2</v>
      </c>
      <c r="L628">
        <v>212.4</v>
      </c>
      <c r="M628">
        <v>1062</v>
      </c>
      <c r="N628">
        <v>849.6</v>
      </c>
      <c r="O628" t="s">
        <v>114</v>
      </c>
      <c r="P628">
        <v>1854</v>
      </c>
      <c r="Q628" t="s">
        <v>51</v>
      </c>
      <c r="R628" s="1">
        <v>45423</v>
      </c>
      <c r="S628">
        <v>3</v>
      </c>
      <c r="T628" t="s">
        <v>32</v>
      </c>
      <c r="U628" t="s">
        <v>39</v>
      </c>
      <c r="V628" t="s">
        <v>2497</v>
      </c>
      <c r="W628" t="s">
        <v>1241</v>
      </c>
      <c r="X628">
        <v>2600</v>
      </c>
      <c r="Y628">
        <v>250</v>
      </c>
      <c r="Z628">
        <v>750</v>
      </c>
      <c r="AA628" t="s">
        <v>2498</v>
      </c>
    </row>
    <row r="629" spans="1:27" x14ac:dyDescent="0.2">
      <c r="A629">
        <v>3623</v>
      </c>
      <c r="B629" t="s">
        <v>910</v>
      </c>
      <c r="C629" t="str">
        <f>_xlfn.CONCAT(Merge[[#This Row],[Customer First Name]]," ",Merge[[#This Row],[Customer Last Name]])</f>
        <v>Gracelyn Pugh</v>
      </c>
      <c r="D629" t="s">
        <v>911</v>
      </c>
      <c r="E629">
        <v>1855</v>
      </c>
      <c r="F629" t="s">
        <v>37</v>
      </c>
      <c r="G629" s="1">
        <v>45604</v>
      </c>
      <c r="H629">
        <v>2</v>
      </c>
      <c r="I629" t="s">
        <v>38</v>
      </c>
      <c r="J629" t="s">
        <v>57</v>
      </c>
      <c r="K629">
        <v>0.3</v>
      </c>
      <c r="L629">
        <v>46.5</v>
      </c>
      <c r="M629">
        <v>155</v>
      </c>
      <c r="N629">
        <v>108.5</v>
      </c>
      <c r="O629" t="s">
        <v>48</v>
      </c>
      <c r="P629">
        <v>1855</v>
      </c>
      <c r="Q629" t="s">
        <v>37</v>
      </c>
      <c r="R629" s="1">
        <v>45604</v>
      </c>
      <c r="S629">
        <v>1</v>
      </c>
      <c r="T629" t="s">
        <v>38</v>
      </c>
      <c r="U629" t="s">
        <v>57</v>
      </c>
      <c r="V629" t="s">
        <v>2499</v>
      </c>
      <c r="W629" t="s">
        <v>1095</v>
      </c>
      <c r="X629">
        <v>5000</v>
      </c>
      <c r="Y629">
        <v>800</v>
      </c>
      <c r="Z629">
        <v>800</v>
      </c>
      <c r="AA629" t="s">
        <v>2500</v>
      </c>
    </row>
    <row r="630" spans="1:27" x14ac:dyDescent="0.2">
      <c r="A630">
        <v>3624</v>
      </c>
      <c r="B630" t="s">
        <v>912</v>
      </c>
      <c r="C630" t="str">
        <f>_xlfn.CONCAT(Merge[[#This Row],[Customer First Name]]," ",Merge[[#This Row],[Customer Last Name]])</f>
        <v>Jesse Middleton</v>
      </c>
      <c r="D630" t="s">
        <v>913</v>
      </c>
      <c r="E630">
        <v>1856</v>
      </c>
      <c r="F630" t="s">
        <v>37</v>
      </c>
      <c r="G630" s="1">
        <v>45326</v>
      </c>
      <c r="H630">
        <v>2</v>
      </c>
      <c r="I630" t="s">
        <v>71</v>
      </c>
      <c r="J630" t="s">
        <v>33</v>
      </c>
      <c r="K630">
        <v>0.3</v>
      </c>
      <c r="L630">
        <v>324.3</v>
      </c>
      <c r="M630">
        <v>1081</v>
      </c>
      <c r="N630">
        <v>756.7</v>
      </c>
      <c r="O630" t="s">
        <v>114</v>
      </c>
      <c r="P630">
        <v>1856</v>
      </c>
      <c r="Q630" t="s">
        <v>37</v>
      </c>
      <c r="R630" s="1">
        <v>45326</v>
      </c>
      <c r="S630">
        <v>2</v>
      </c>
      <c r="T630" t="s">
        <v>71</v>
      </c>
      <c r="U630" t="s">
        <v>33</v>
      </c>
      <c r="V630" t="s">
        <v>2501</v>
      </c>
      <c r="W630" t="s">
        <v>1238</v>
      </c>
      <c r="X630">
        <v>6725</v>
      </c>
      <c r="Y630">
        <v>800</v>
      </c>
      <c r="Z630">
        <v>1600</v>
      </c>
      <c r="AA630" t="s">
        <v>2502</v>
      </c>
    </row>
    <row r="631" spans="1:27" x14ac:dyDescent="0.2">
      <c r="A631">
        <v>3625</v>
      </c>
      <c r="B631" t="s">
        <v>914</v>
      </c>
      <c r="C631" t="str">
        <f>_xlfn.CONCAT(Merge[[#This Row],[Customer First Name]]," ",Merge[[#This Row],[Customer Last Name]])</f>
        <v>Kyle Hubbard</v>
      </c>
      <c r="D631" t="s">
        <v>703</v>
      </c>
      <c r="E631">
        <v>1857</v>
      </c>
      <c r="F631" t="s">
        <v>37</v>
      </c>
      <c r="G631" s="1">
        <v>45334</v>
      </c>
      <c r="H631">
        <v>3</v>
      </c>
      <c r="I631" t="s">
        <v>32</v>
      </c>
      <c r="J631" t="s">
        <v>57</v>
      </c>
      <c r="K631">
        <v>0.3</v>
      </c>
      <c r="L631">
        <v>105.89999999999999</v>
      </c>
      <c r="M631">
        <v>353</v>
      </c>
      <c r="N631">
        <v>247.10000000000002</v>
      </c>
      <c r="O631" t="s">
        <v>54</v>
      </c>
      <c r="P631">
        <v>1857</v>
      </c>
      <c r="Q631" t="s">
        <v>37</v>
      </c>
      <c r="R631" s="1">
        <v>45334</v>
      </c>
      <c r="S631">
        <v>1</v>
      </c>
      <c r="T631" t="s">
        <v>32</v>
      </c>
      <c r="U631" t="s">
        <v>57</v>
      </c>
      <c r="V631" t="s">
        <v>2503</v>
      </c>
      <c r="W631" t="s">
        <v>1350</v>
      </c>
      <c r="X631">
        <v>5600</v>
      </c>
      <c r="Y631">
        <v>800</v>
      </c>
      <c r="Z631">
        <v>800</v>
      </c>
      <c r="AA631" t="s">
        <v>2504</v>
      </c>
    </row>
    <row r="632" spans="1:27" x14ac:dyDescent="0.2">
      <c r="A632">
        <v>3626</v>
      </c>
      <c r="B632" t="s">
        <v>915</v>
      </c>
      <c r="C632" t="str">
        <f>_xlfn.CONCAT(Merge[[#This Row],[Customer First Name]]," ",Merge[[#This Row],[Customer Last Name]])</f>
        <v>Marcus Barber</v>
      </c>
      <c r="D632" t="s">
        <v>916</v>
      </c>
      <c r="E632">
        <v>1858</v>
      </c>
      <c r="F632" t="s">
        <v>76</v>
      </c>
      <c r="G632" s="1">
        <v>45642</v>
      </c>
      <c r="H632">
        <v>2</v>
      </c>
      <c r="I632" t="s">
        <v>32</v>
      </c>
      <c r="J632" t="s">
        <v>81</v>
      </c>
      <c r="K632">
        <v>0.25</v>
      </c>
      <c r="L632">
        <v>220.5</v>
      </c>
      <c r="M632">
        <v>882</v>
      </c>
      <c r="N632">
        <v>661.5</v>
      </c>
      <c r="O632" t="s">
        <v>114</v>
      </c>
      <c r="P632">
        <v>1858</v>
      </c>
      <c r="Q632" t="s">
        <v>76</v>
      </c>
      <c r="R632" s="1">
        <v>45642</v>
      </c>
      <c r="S632">
        <v>3</v>
      </c>
      <c r="T632" t="s">
        <v>32</v>
      </c>
      <c r="U632" t="s">
        <v>81</v>
      </c>
      <c r="V632" t="s">
        <v>2505</v>
      </c>
      <c r="W632" t="s">
        <v>1280</v>
      </c>
      <c r="X632">
        <v>800</v>
      </c>
      <c r="Y632">
        <v>1200</v>
      </c>
      <c r="Z632">
        <v>3600</v>
      </c>
      <c r="AA632" t="s">
        <v>2506</v>
      </c>
    </row>
    <row r="633" spans="1:27" x14ac:dyDescent="0.2">
      <c r="A633">
        <v>3627</v>
      </c>
      <c r="B633" t="s">
        <v>917</v>
      </c>
      <c r="C633" t="str">
        <f>_xlfn.CONCAT(Merge[[#This Row],[Customer First Name]]," ",Merge[[#This Row],[Customer Last Name]])</f>
        <v>Catalina Montes</v>
      </c>
      <c r="D633" t="s">
        <v>918</v>
      </c>
      <c r="E633">
        <v>1859</v>
      </c>
      <c r="F633" t="s">
        <v>92</v>
      </c>
      <c r="G633" s="1">
        <v>45350</v>
      </c>
      <c r="H633">
        <v>1</v>
      </c>
      <c r="I633" t="s">
        <v>52</v>
      </c>
      <c r="J633" t="s">
        <v>47</v>
      </c>
      <c r="K633">
        <v>0.3</v>
      </c>
      <c r="L633">
        <v>351.3</v>
      </c>
      <c r="M633">
        <v>1171</v>
      </c>
      <c r="N633">
        <v>819.7</v>
      </c>
      <c r="O633" t="s">
        <v>114</v>
      </c>
      <c r="P633">
        <v>1859</v>
      </c>
      <c r="Q633" t="s">
        <v>92</v>
      </c>
      <c r="R633" s="1">
        <v>45350</v>
      </c>
      <c r="S633">
        <v>2</v>
      </c>
      <c r="T633" t="s">
        <v>52</v>
      </c>
      <c r="U633" t="s">
        <v>47</v>
      </c>
      <c r="V633" t="s">
        <v>2507</v>
      </c>
      <c r="W633" t="s">
        <v>1247</v>
      </c>
      <c r="X633">
        <v>3350</v>
      </c>
      <c r="Y633">
        <v>600</v>
      </c>
      <c r="Z633">
        <v>1200</v>
      </c>
      <c r="AA633" t="s">
        <v>2508</v>
      </c>
    </row>
    <row r="634" spans="1:27" x14ac:dyDescent="0.2">
      <c r="A634">
        <v>3628</v>
      </c>
      <c r="B634" t="s">
        <v>902</v>
      </c>
      <c r="C634" t="str">
        <f>_xlfn.CONCAT(Merge[[#This Row],[Customer First Name]]," ",Merge[[#This Row],[Customer Last Name]])</f>
        <v>Nadia Curry</v>
      </c>
      <c r="D634" t="s">
        <v>863</v>
      </c>
      <c r="E634">
        <v>1860</v>
      </c>
      <c r="F634" t="s">
        <v>31</v>
      </c>
      <c r="G634" s="1">
        <v>45358</v>
      </c>
      <c r="H634">
        <v>2</v>
      </c>
      <c r="I634" t="s">
        <v>52</v>
      </c>
      <c r="J634" t="s">
        <v>33</v>
      </c>
      <c r="K634">
        <v>0.1</v>
      </c>
      <c r="L634">
        <v>153.20000000000002</v>
      </c>
      <c r="M634">
        <v>1532</v>
      </c>
      <c r="N634">
        <v>1378.8</v>
      </c>
      <c r="O634" t="s">
        <v>48</v>
      </c>
      <c r="P634">
        <v>1860</v>
      </c>
      <c r="Q634" t="s">
        <v>31</v>
      </c>
      <c r="R634" s="1">
        <v>45358</v>
      </c>
      <c r="S634">
        <v>2</v>
      </c>
      <c r="T634" t="s">
        <v>52</v>
      </c>
      <c r="U634" t="s">
        <v>33</v>
      </c>
      <c r="V634" t="s">
        <v>2509</v>
      </c>
      <c r="W634" t="s">
        <v>1259</v>
      </c>
      <c r="X634">
        <v>6160</v>
      </c>
      <c r="Y634">
        <v>250</v>
      </c>
      <c r="Z634">
        <v>500</v>
      </c>
      <c r="AA634" t="s">
        <v>2510</v>
      </c>
    </row>
    <row r="635" spans="1:27" x14ac:dyDescent="0.2">
      <c r="A635">
        <v>3629</v>
      </c>
      <c r="B635" t="s">
        <v>919</v>
      </c>
      <c r="C635" t="str">
        <f>_xlfn.CONCAT(Merge[[#This Row],[Customer First Name]]," ",Merge[[#This Row],[Customer Last Name]])</f>
        <v>Trinity Rowe</v>
      </c>
      <c r="D635" t="s">
        <v>920</v>
      </c>
      <c r="E635">
        <v>1861</v>
      </c>
      <c r="F635" t="s">
        <v>37</v>
      </c>
      <c r="G635" s="1">
        <v>45398</v>
      </c>
      <c r="H635">
        <v>3</v>
      </c>
      <c r="I635" t="s">
        <v>32</v>
      </c>
      <c r="J635" t="s">
        <v>53</v>
      </c>
      <c r="K635">
        <v>0.3</v>
      </c>
      <c r="L635">
        <v>205.79999999999998</v>
      </c>
      <c r="M635">
        <v>686</v>
      </c>
      <c r="N635">
        <v>480.20000000000005</v>
      </c>
      <c r="O635" t="s">
        <v>54</v>
      </c>
      <c r="P635">
        <v>1861</v>
      </c>
      <c r="Q635" t="s">
        <v>37</v>
      </c>
      <c r="R635" s="1">
        <v>45398</v>
      </c>
      <c r="S635">
        <v>3</v>
      </c>
      <c r="T635" t="s">
        <v>32</v>
      </c>
      <c r="U635" t="s">
        <v>53</v>
      </c>
      <c r="V635" t="s">
        <v>2511</v>
      </c>
      <c r="W635" t="s">
        <v>1305</v>
      </c>
      <c r="X635">
        <v>4000</v>
      </c>
      <c r="Y635">
        <v>800</v>
      </c>
      <c r="Z635">
        <v>2400</v>
      </c>
      <c r="AA635" t="s">
        <v>2512</v>
      </c>
    </row>
    <row r="636" spans="1:27" x14ac:dyDescent="0.2">
      <c r="A636">
        <v>3630</v>
      </c>
      <c r="B636" t="s">
        <v>921</v>
      </c>
      <c r="C636" t="str">
        <f>_xlfn.CONCAT(Merge[[#This Row],[Customer First Name]]," ",Merge[[#This Row],[Customer Last Name]])</f>
        <v>Sullivan Adkins</v>
      </c>
      <c r="D636" t="s">
        <v>845</v>
      </c>
      <c r="E636">
        <v>1862</v>
      </c>
      <c r="F636" t="s">
        <v>76</v>
      </c>
      <c r="G636" s="1">
        <v>45306</v>
      </c>
      <c r="H636">
        <v>1</v>
      </c>
      <c r="I636" t="s">
        <v>32</v>
      </c>
      <c r="J636" t="s">
        <v>43</v>
      </c>
      <c r="K636">
        <v>0.25</v>
      </c>
      <c r="L636">
        <v>279</v>
      </c>
      <c r="M636">
        <v>1116</v>
      </c>
      <c r="N636">
        <v>837</v>
      </c>
      <c r="O636" t="s">
        <v>54</v>
      </c>
      <c r="P636">
        <v>1862</v>
      </c>
      <c r="Q636" t="s">
        <v>76</v>
      </c>
      <c r="R636" s="1">
        <v>45306</v>
      </c>
      <c r="S636">
        <v>3</v>
      </c>
      <c r="T636" t="s">
        <v>32</v>
      </c>
      <c r="U636" t="s">
        <v>43</v>
      </c>
      <c r="V636" t="s">
        <v>2513</v>
      </c>
      <c r="W636" t="s">
        <v>1244</v>
      </c>
      <c r="X636">
        <v>2300</v>
      </c>
      <c r="Y636">
        <v>1200</v>
      </c>
      <c r="Z636">
        <v>3600</v>
      </c>
      <c r="AA636" t="s">
        <v>2514</v>
      </c>
    </row>
    <row r="637" spans="1:27" x14ac:dyDescent="0.2">
      <c r="A637">
        <v>3631</v>
      </c>
      <c r="B637" t="s">
        <v>922</v>
      </c>
      <c r="C637" t="str">
        <f>_xlfn.CONCAT(Merge[[#This Row],[Customer First Name]]," ",Merge[[#This Row],[Customer Last Name]])</f>
        <v>Ian Cole</v>
      </c>
      <c r="D637" t="s">
        <v>923</v>
      </c>
      <c r="E637">
        <v>1863</v>
      </c>
      <c r="F637" t="s">
        <v>37</v>
      </c>
      <c r="G637" s="1">
        <v>45449</v>
      </c>
      <c r="H637">
        <v>2</v>
      </c>
      <c r="I637" t="s">
        <v>52</v>
      </c>
      <c r="J637" t="s">
        <v>43</v>
      </c>
      <c r="K637">
        <v>0.3</v>
      </c>
      <c r="L637">
        <v>356.09999999999997</v>
      </c>
      <c r="M637">
        <v>1187</v>
      </c>
      <c r="N637">
        <v>830.90000000000009</v>
      </c>
      <c r="O637" t="s">
        <v>54</v>
      </c>
      <c r="P637">
        <v>1863</v>
      </c>
      <c r="Q637" t="s">
        <v>37</v>
      </c>
      <c r="R637" s="1">
        <v>45449</v>
      </c>
      <c r="S637">
        <v>2</v>
      </c>
      <c r="T637" t="s">
        <v>52</v>
      </c>
      <c r="U637" t="s">
        <v>43</v>
      </c>
      <c r="V637" t="s">
        <v>2515</v>
      </c>
      <c r="W637" t="s">
        <v>1244</v>
      </c>
      <c r="X637">
        <v>2300</v>
      </c>
      <c r="Y637">
        <v>800</v>
      </c>
      <c r="Z637">
        <v>1600</v>
      </c>
      <c r="AA637" t="s">
        <v>2516</v>
      </c>
    </row>
    <row r="638" spans="1:27" x14ac:dyDescent="0.2">
      <c r="A638">
        <v>3632</v>
      </c>
      <c r="B638" t="s">
        <v>924</v>
      </c>
      <c r="C638" t="str">
        <f>_xlfn.CONCAT(Merge[[#This Row],[Customer First Name]]," ",Merge[[#This Row],[Customer Last Name]])</f>
        <v>Cairo Page</v>
      </c>
      <c r="D638" t="s">
        <v>472</v>
      </c>
      <c r="E638">
        <v>1864</v>
      </c>
      <c r="F638" t="s">
        <v>37</v>
      </c>
      <c r="G638" s="1">
        <v>45411</v>
      </c>
      <c r="H638">
        <v>1</v>
      </c>
      <c r="I638" t="s">
        <v>32</v>
      </c>
      <c r="J638" t="s">
        <v>43</v>
      </c>
      <c r="K638">
        <v>0.3</v>
      </c>
      <c r="L638">
        <v>200.7</v>
      </c>
      <c r="M638">
        <v>669</v>
      </c>
      <c r="N638">
        <v>468.3</v>
      </c>
      <c r="O638" t="s">
        <v>114</v>
      </c>
      <c r="P638">
        <v>1864</v>
      </c>
      <c r="Q638" t="s">
        <v>37</v>
      </c>
      <c r="R638" s="1">
        <v>45411</v>
      </c>
      <c r="S638">
        <v>2</v>
      </c>
      <c r="T638" t="s">
        <v>32</v>
      </c>
      <c r="U638" t="s">
        <v>43</v>
      </c>
      <c r="V638" t="s">
        <v>2517</v>
      </c>
      <c r="W638" t="s">
        <v>1299</v>
      </c>
      <c r="X638">
        <v>2500</v>
      </c>
      <c r="Y638">
        <v>800</v>
      </c>
      <c r="Z638">
        <v>1600</v>
      </c>
      <c r="AA638" t="s">
        <v>2518</v>
      </c>
    </row>
    <row r="639" spans="1:27" x14ac:dyDescent="0.2">
      <c r="A639">
        <v>3633</v>
      </c>
      <c r="B639" t="s">
        <v>925</v>
      </c>
      <c r="C639" t="str">
        <f>_xlfn.CONCAT(Merge[[#This Row],[Customer First Name]]," ",Merge[[#This Row],[Customer Last Name]])</f>
        <v>Emersyn Quintero</v>
      </c>
      <c r="D639" t="s">
        <v>507</v>
      </c>
      <c r="E639">
        <v>1865</v>
      </c>
      <c r="F639" t="s">
        <v>37</v>
      </c>
      <c r="G639" s="1">
        <v>45491</v>
      </c>
      <c r="H639">
        <v>1</v>
      </c>
      <c r="I639" t="s">
        <v>71</v>
      </c>
      <c r="J639" t="s">
        <v>57</v>
      </c>
      <c r="K639">
        <v>0.3</v>
      </c>
      <c r="L639">
        <v>324.59999999999997</v>
      </c>
      <c r="M639">
        <v>1082</v>
      </c>
      <c r="N639">
        <v>757.40000000000009</v>
      </c>
      <c r="O639" t="s">
        <v>48</v>
      </c>
      <c r="P639">
        <v>1865</v>
      </c>
      <c r="Q639" t="s">
        <v>37</v>
      </c>
      <c r="R639" s="1">
        <v>45491</v>
      </c>
      <c r="S639">
        <v>3</v>
      </c>
      <c r="T639" t="s">
        <v>71</v>
      </c>
      <c r="U639" t="s">
        <v>57</v>
      </c>
      <c r="V639" t="s">
        <v>2519</v>
      </c>
      <c r="W639" t="s">
        <v>1350</v>
      </c>
      <c r="X639">
        <v>5600</v>
      </c>
      <c r="Y639">
        <v>800</v>
      </c>
      <c r="Z639">
        <v>2400</v>
      </c>
      <c r="AA639" t="s">
        <v>2520</v>
      </c>
    </row>
    <row r="640" spans="1:27" x14ac:dyDescent="0.2">
      <c r="A640">
        <v>3634</v>
      </c>
      <c r="B640" t="s">
        <v>926</v>
      </c>
      <c r="C640" t="str">
        <f>_xlfn.CONCAT(Merge[[#This Row],[Customer First Name]]," ",Merge[[#This Row],[Customer Last Name]])</f>
        <v>Edgar Huff</v>
      </c>
      <c r="D640" t="s">
        <v>274</v>
      </c>
      <c r="E640">
        <v>1866</v>
      </c>
      <c r="F640" t="s">
        <v>92</v>
      </c>
      <c r="G640" s="1">
        <v>45363</v>
      </c>
      <c r="H640">
        <v>2</v>
      </c>
      <c r="I640" t="s">
        <v>52</v>
      </c>
      <c r="J640" t="s">
        <v>39</v>
      </c>
      <c r="K640">
        <v>0.3</v>
      </c>
      <c r="L640">
        <v>273.3</v>
      </c>
      <c r="M640">
        <v>911</v>
      </c>
      <c r="N640">
        <v>637.70000000000005</v>
      </c>
      <c r="O640" t="s">
        <v>54</v>
      </c>
      <c r="P640">
        <v>1866</v>
      </c>
      <c r="Q640" t="s">
        <v>92</v>
      </c>
      <c r="R640" s="1">
        <v>45363</v>
      </c>
      <c r="S640">
        <v>2</v>
      </c>
      <c r="T640" t="s">
        <v>52</v>
      </c>
      <c r="U640" t="s">
        <v>39</v>
      </c>
      <c r="V640" t="s">
        <v>2521</v>
      </c>
      <c r="W640" t="s">
        <v>1241</v>
      </c>
      <c r="X640">
        <v>2600</v>
      </c>
      <c r="Y640">
        <v>600</v>
      </c>
      <c r="Z640">
        <v>1200</v>
      </c>
      <c r="AA640" t="s">
        <v>2522</v>
      </c>
    </row>
    <row r="641" spans="1:27" x14ac:dyDescent="0.2">
      <c r="A641">
        <v>3635</v>
      </c>
      <c r="B641" t="s">
        <v>740</v>
      </c>
      <c r="C641" t="str">
        <f>_xlfn.CONCAT(Merge[[#This Row],[Customer First Name]]," ",Merge[[#This Row],[Customer Last Name]])</f>
        <v>Kyler Stevenson</v>
      </c>
      <c r="D641" t="s">
        <v>624</v>
      </c>
      <c r="E641">
        <v>1867</v>
      </c>
      <c r="F641" t="s">
        <v>31</v>
      </c>
      <c r="G641" s="1">
        <v>45340</v>
      </c>
      <c r="H641">
        <v>3</v>
      </c>
      <c r="I641" t="s">
        <v>38</v>
      </c>
      <c r="J641" t="s">
        <v>57</v>
      </c>
      <c r="K641">
        <v>0.1</v>
      </c>
      <c r="L641">
        <v>128.30000000000001</v>
      </c>
      <c r="M641">
        <v>1283</v>
      </c>
      <c r="N641">
        <v>1154.7</v>
      </c>
      <c r="O641" t="s">
        <v>34</v>
      </c>
      <c r="P641">
        <v>1867</v>
      </c>
      <c r="Q641" t="s">
        <v>31</v>
      </c>
      <c r="R641" s="1">
        <v>45340</v>
      </c>
      <c r="S641">
        <v>3</v>
      </c>
      <c r="T641" t="s">
        <v>38</v>
      </c>
      <c r="U641" t="s">
        <v>57</v>
      </c>
      <c r="V641" t="s">
        <v>2523</v>
      </c>
      <c r="W641" t="s">
        <v>1350</v>
      </c>
      <c r="X641">
        <v>5600</v>
      </c>
      <c r="Y641">
        <v>250</v>
      </c>
      <c r="Z641">
        <v>750</v>
      </c>
      <c r="AA641" t="s">
        <v>2524</v>
      </c>
    </row>
    <row r="642" spans="1:27" x14ac:dyDescent="0.2">
      <c r="A642">
        <v>3636</v>
      </c>
      <c r="B642" t="s">
        <v>927</v>
      </c>
      <c r="C642" t="str">
        <f>_xlfn.CONCAT(Merge[[#This Row],[Customer First Name]]," ",Merge[[#This Row],[Customer Last Name]])</f>
        <v>Maisie Ryan</v>
      </c>
      <c r="D642" t="s">
        <v>928</v>
      </c>
      <c r="E642">
        <v>1868</v>
      </c>
      <c r="F642" t="s">
        <v>51</v>
      </c>
      <c r="G642" s="1">
        <v>45498</v>
      </c>
      <c r="H642">
        <v>3</v>
      </c>
      <c r="I642" t="s">
        <v>71</v>
      </c>
      <c r="J642" t="s">
        <v>81</v>
      </c>
      <c r="K642">
        <v>0.2</v>
      </c>
      <c r="L642">
        <v>107</v>
      </c>
      <c r="M642">
        <v>535</v>
      </c>
      <c r="N642">
        <v>428</v>
      </c>
      <c r="O642" t="s">
        <v>34</v>
      </c>
      <c r="P642">
        <v>1868</v>
      </c>
      <c r="Q642" t="s">
        <v>51</v>
      </c>
      <c r="R642" s="1">
        <v>45498</v>
      </c>
      <c r="S642">
        <v>2</v>
      </c>
      <c r="T642" t="s">
        <v>71</v>
      </c>
      <c r="U642" t="s">
        <v>81</v>
      </c>
      <c r="V642" t="s">
        <v>2525</v>
      </c>
      <c r="W642" t="s">
        <v>1280</v>
      </c>
      <c r="X642">
        <v>800</v>
      </c>
      <c r="Y642">
        <v>250</v>
      </c>
      <c r="Z642">
        <v>500</v>
      </c>
      <c r="AA642" t="s">
        <v>2526</v>
      </c>
    </row>
    <row r="643" spans="1:27" x14ac:dyDescent="0.2">
      <c r="A643">
        <v>3637</v>
      </c>
      <c r="B643" t="s">
        <v>929</v>
      </c>
      <c r="C643" t="str">
        <f>_xlfn.CONCAT(Merge[[#This Row],[Customer First Name]]," ",Merge[[#This Row],[Customer Last Name]])</f>
        <v>Noa Tanner</v>
      </c>
      <c r="D643" t="s">
        <v>100</v>
      </c>
      <c r="E643">
        <v>1869</v>
      </c>
      <c r="F643" t="s">
        <v>42</v>
      </c>
      <c r="G643" s="1">
        <v>45341</v>
      </c>
      <c r="H643">
        <v>2</v>
      </c>
      <c r="I643" t="s">
        <v>38</v>
      </c>
      <c r="J643" t="s">
        <v>43</v>
      </c>
      <c r="K643">
        <v>0.25</v>
      </c>
      <c r="L643">
        <v>108.25</v>
      </c>
      <c r="M643">
        <v>433</v>
      </c>
      <c r="N643">
        <v>324.75</v>
      </c>
      <c r="O643" t="s">
        <v>44</v>
      </c>
      <c r="P643">
        <v>1869</v>
      </c>
      <c r="Q643" t="s">
        <v>42</v>
      </c>
      <c r="R643" s="1">
        <v>45341</v>
      </c>
      <c r="S643">
        <v>1</v>
      </c>
      <c r="T643" t="s">
        <v>38</v>
      </c>
      <c r="U643" t="s">
        <v>43</v>
      </c>
      <c r="V643" t="s">
        <v>2527</v>
      </c>
      <c r="W643" t="s">
        <v>1244</v>
      </c>
      <c r="X643">
        <v>2300</v>
      </c>
      <c r="Y643">
        <v>300</v>
      </c>
      <c r="Z643">
        <v>300</v>
      </c>
      <c r="AA643" t="s">
        <v>2528</v>
      </c>
    </row>
    <row r="644" spans="1:27" x14ac:dyDescent="0.2">
      <c r="A644">
        <v>3638</v>
      </c>
      <c r="B644" t="s">
        <v>930</v>
      </c>
      <c r="C644" t="str">
        <f>_xlfn.CONCAT(Merge[[#This Row],[Customer First Name]]," ",Merge[[#This Row],[Customer Last Name]])</f>
        <v>Alexandra Simpson</v>
      </c>
      <c r="D644" t="s">
        <v>931</v>
      </c>
      <c r="E644">
        <v>1870</v>
      </c>
      <c r="F644" t="s">
        <v>42</v>
      </c>
      <c r="G644" s="1">
        <v>45556</v>
      </c>
      <c r="H644">
        <v>1</v>
      </c>
      <c r="I644" t="s">
        <v>32</v>
      </c>
      <c r="J644" t="s">
        <v>33</v>
      </c>
      <c r="K644">
        <v>0.25</v>
      </c>
      <c r="L644">
        <v>384.75</v>
      </c>
      <c r="M644">
        <v>1539</v>
      </c>
      <c r="N644">
        <v>1154.25</v>
      </c>
      <c r="O644" t="s">
        <v>114</v>
      </c>
      <c r="P644">
        <v>1870</v>
      </c>
      <c r="Q644" t="s">
        <v>42</v>
      </c>
      <c r="R644" s="1">
        <v>45556</v>
      </c>
      <c r="S644">
        <v>3</v>
      </c>
      <c r="T644" t="s">
        <v>32</v>
      </c>
      <c r="U644" t="s">
        <v>33</v>
      </c>
      <c r="V644" t="s">
        <v>2529</v>
      </c>
      <c r="W644" t="s">
        <v>1238</v>
      </c>
      <c r="X644">
        <v>6725</v>
      </c>
      <c r="Y644">
        <v>300</v>
      </c>
      <c r="Z644">
        <v>900</v>
      </c>
      <c r="AA644" t="s">
        <v>2530</v>
      </c>
    </row>
    <row r="645" spans="1:27" x14ac:dyDescent="0.2">
      <c r="A645">
        <v>3639</v>
      </c>
      <c r="B645" t="s">
        <v>171</v>
      </c>
      <c r="C645" t="str">
        <f>_xlfn.CONCAT(Merge[[#This Row],[Customer First Name]]," ",Merge[[#This Row],[Customer Last Name]])</f>
        <v>Kora Russell</v>
      </c>
      <c r="D645" t="s">
        <v>932</v>
      </c>
      <c r="E645">
        <v>1871</v>
      </c>
      <c r="F645" t="s">
        <v>51</v>
      </c>
      <c r="G645" s="1">
        <v>45437</v>
      </c>
      <c r="H645">
        <v>2</v>
      </c>
      <c r="I645" t="s">
        <v>52</v>
      </c>
      <c r="J645" t="s">
        <v>47</v>
      </c>
      <c r="K645">
        <v>0.2</v>
      </c>
      <c r="L645">
        <v>46.800000000000004</v>
      </c>
      <c r="M645">
        <v>234</v>
      </c>
      <c r="N645">
        <v>187.2</v>
      </c>
      <c r="O645" t="s">
        <v>54</v>
      </c>
      <c r="P645">
        <v>1871</v>
      </c>
      <c r="Q645" t="s">
        <v>51</v>
      </c>
      <c r="R645" s="1">
        <v>45437</v>
      </c>
      <c r="S645">
        <v>3</v>
      </c>
      <c r="T645" t="s">
        <v>52</v>
      </c>
      <c r="U645" t="s">
        <v>47</v>
      </c>
      <c r="V645" t="s">
        <v>2531</v>
      </c>
      <c r="W645" t="s">
        <v>1275</v>
      </c>
      <c r="X645">
        <v>3000</v>
      </c>
      <c r="Y645">
        <v>250</v>
      </c>
      <c r="Z645">
        <v>750</v>
      </c>
      <c r="AA645" t="s">
        <v>2532</v>
      </c>
    </row>
    <row r="646" spans="1:27" x14ac:dyDescent="0.2">
      <c r="A646">
        <v>3640</v>
      </c>
      <c r="B646" t="s">
        <v>933</v>
      </c>
      <c r="C646" t="str">
        <f>_xlfn.CONCAT(Merge[[#This Row],[Customer First Name]]," ",Merge[[#This Row],[Customer Last Name]])</f>
        <v>Samara Colón</v>
      </c>
      <c r="D646" t="s">
        <v>934</v>
      </c>
      <c r="E646">
        <v>1872</v>
      </c>
      <c r="F646" t="s">
        <v>42</v>
      </c>
      <c r="G646" s="1">
        <v>45551</v>
      </c>
      <c r="H646">
        <v>2</v>
      </c>
      <c r="I646" t="s">
        <v>52</v>
      </c>
      <c r="J646" t="s">
        <v>47</v>
      </c>
      <c r="K646">
        <v>0.25</v>
      </c>
      <c r="L646">
        <v>258.5</v>
      </c>
      <c r="M646">
        <v>1034</v>
      </c>
      <c r="N646">
        <v>775.5</v>
      </c>
      <c r="O646" t="s">
        <v>54</v>
      </c>
      <c r="P646">
        <v>1872</v>
      </c>
      <c r="Q646" t="s">
        <v>42</v>
      </c>
      <c r="R646" s="1">
        <v>45551</v>
      </c>
      <c r="S646">
        <v>1</v>
      </c>
      <c r="T646" t="s">
        <v>52</v>
      </c>
      <c r="U646" t="s">
        <v>47</v>
      </c>
      <c r="V646" t="s">
        <v>2533</v>
      </c>
      <c r="W646" t="s">
        <v>1256</v>
      </c>
      <c r="X646">
        <v>3220</v>
      </c>
      <c r="Y646">
        <v>300</v>
      </c>
      <c r="Z646">
        <v>300</v>
      </c>
      <c r="AA646" t="s">
        <v>2534</v>
      </c>
    </row>
    <row r="647" spans="1:27" x14ac:dyDescent="0.2">
      <c r="A647">
        <v>3641</v>
      </c>
      <c r="B647" t="s">
        <v>241</v>
      </c>
      <c r="C647" t="str">
        <f>_xlfn.CONCAT(Merge[[#This Row],[Customer First Name]]," ",Merge[[#This Row],[Customer Last Name]])</f>
        <v>Joaquin Singh</v>
      </c>
      <c r="D647" t="s">
        <v>221</v>
      </c>
      <c r="E647">
        <v>1873</v>
      </c>
      <c r="F647" t="s">
        <v>51</v>
      </c>
      <c r="G647" s="1">
        <v>45556</v>
      </c>
      <c r="H647">
        <v>1</v>
      </c>
      <c r="I647" t="s">
        <v>38</v>
      </c>
      <c r="J647" t="s">
        <v>47</v>
      </c>
      <c r="K647">
        <v>0.2</v>
      </c>
      <c r="L647">
        <v>211.4</v>
      </c>
      <c r="M647">
        <v>1057</v>
      </c>
      <c r="N647">
        <v>845.6</v>
      </c>
      <c r="O647" t="s">
        <v>48</v>
      </c>
      <c r="P647">
        <v>1873</v>
      </c>
      <c r="Q647" t="s">
        <v>51</v>
      </c>
      <c r="R647" s="1">
        <v>45556</v>
      </c>
      <c r="S647">
        <v>1</v>
      </c>
      <c r="T647" t="s">
        <v>38</v>
      </c>
      <c r="U647" t="s">
        <v>47</v>
      </c>
      <c r="V647" t="s">
        <v>2535</v>
      </c>
      <c r="W647" t="s">
        <v>1275</v>
      </c>
      <c r="X647">
        <v>3000</v>
      </c>
      <c r="Y647">
        <v>250</v>
      </c>
      <c r="Z647">
        <v>250</v>
      </c>
      <c r="AA647" t="s">
        <v>2536</v>
      </c>
    </row>
    <row r="648" spans="1:27" x14ac:dyDescent="0.2">
      <c r="A648">
        <v>3642</v>
      </c>
      <c r="B648" t="s">
        <v>362</v>
      </c>
      <c r="C648" t="str">
        <f>_xlfn.CONCAT(Merge[[#This Row],[Customer First Name]]," ",Merge[[#This Row],[Customer Last Name]])</f>
        <v>Joy Hoffman</v>
      </c>
      <c r="D648" t="s">
        <v>475</v>
      </c>
      <c r="E648">
        <v>1874</v>
      </c>
      <c r="F648" t="s">
        <v>76</v>
      </c>
      <c r="G648" s="1">
        <v>45486</v>
      </c>
      <c r="H648">
        <v>1</v>
      </c>
      <c r="I648" t="s">
        <v>32</v>
      </c>
      <c r="J648" t="s">
        <v>47</v>
      </c>
      <c r="K648">
        <v>0.25</v>
      </c>
      <c r="L648">
        <v>358.75</v>
      </c>
      <c r="M648">
        <v>1435</v>
      </c>
      <c r="N648">
        <v>1076.25</v>
      </c>
      <c r="O648" t="s">
        <v>44</v>
      </c>
      <c r="P648">
        <v>1874</v>
      </c>
      <c r="Q648" t="s">
        <v>76</v>
      </c>
      <c r="R648" s="1">
        <v>45486</v>
      </c>
      <c r="S648">
        <v>3</v>
      </c>
      <c r="T648" t="s">
        <v>32</v>
      </c>
      <c r="U648" t="s">
        <v>47</v>
      </c>
      <c r="V648" t="s">
        <v>2537</v>
      </c>
      <c r="W648" t="s">
        <v>1247</v>
      </c>
      <c r="X648">
        <v>3350</v>
      </c>
      <c r="Y648">
        <v>1200</v>
      </c>
      <c r="Z648">
        <v>3600</v>
      </c>
      <c r="AA648" t="s">
        <v>2538</v>
      </c>
    </row>
    <row r="649" spans="1:27" x14ac:dyDescent="0.2">
      <c r="A649">
        <v>3643</v>
      </c>
      <c r="B649" t="s">
        <v>935</v>
      </c>
      <c r="C649" t="str">
        <f>_xlfn.CONCAT(Merge[[#This Row],[Customer First Name]]," ",Merge[[#This Row],[Customer Last Name]])</f>
        <v>Gabriel Martin</v>
      </c>
      <c r="D649" t="s">
        <v>416</v>
      </c>
      <c r="E649">
        <v>1875</v>
      </c>
      <c r="F649" t="s">
        <v>76</v>
      </c>
      <c r="G649" s="1">
        <v>45528</v>
      </c>
      <c r="H649">
        <v>3</v>
      </c>
      <c r="I649" t="s">
        <v>32</v>
      </c>
      <c r="J649" t="s">
        <v>64</v>
      </c>
      <c r="K649">
        <v>0.25</v>
      </c>
      <c r="L649">
        <v>74.25</v>
      </c>
      <c r="M649">
        <v>297</v>
      </c>
      <c r="N649">
        <v>222.75</v>
      </c>
      <c r="O649" t="s">
        <v>44</v>
      </c>
      <c r="P649">
        <v>1875</v>
      </c>
      <c r="Q649" t="s">
        <v>76</v>
      </c>
      <c r="R649" s="1">
        <v>45528</v>
      </c>
      <c r="S649">
        <v>1</v>
      </c>
      <c r="T649" t="s">
        <v>32</v>
      </c>
      <c r="U649" t="s">
        <v>64</v>
      </c>
      <c r="V649" t="s">
        <v>2539</v>
      </c>
      <c r="W649" t="s">
        <v>1400</v>
      </c>
      <c r="X649">
        <v>7310</v>
      </c>
      <c r="Y649">
        <v>1200</v>
      </c>
      <c r="Z649">
        <v>1200</v>
      </c>
      <c r="AA649" t="s">
        <v>2540</v>
      </c>
    </row>
    <row r="650" spans="1:27" x14ac:dyDescent="0.2">
      <c r="A650">
        <v>3644</v>
      </c>
      <c r="B650" t="s">
        <v>485</v>
      </c>
      <c r="C650" t="str">
        <f>_xlfn.CONCAT(Merge[[#This Row],[Customer First Name]]," ",Merge[[#This Row],[Customer Last Name]])</f>
        <v>Patrick Tucker</v>
      </c>
      <c r="D650" t="s">
        <v>372</v>
      </c>
      <c r="E650">
        <v>1876</v>
      </c>
      <c r="F650" t="s">
        <v>51</v>
      </c>
      <c r="G650" s="1">
        <v>45298</v>
      </c>
      <c r="H650">
        <v>1</v>
      </c>
      <c r="I650" t="s">
        <v>52</v>
      </c>
      <c r="J650" t="s">
        <v>81</v>
      </c>
      <c r="K650">
        <v>0.2</v>
      </c>
      <c r="L650">
        <v>216.60000000000002</v>
      </c>
      <c r="M650">
        <v>1083</v>
      </c>
      <c r="N650">
        <v>866.4</v>
      </c>
      <c r="O650" t="s">
        <v>48</v>
      </c>
      <c r="P650">
        <v>1876</v>
      </c>
      <c r="Q650" t="s">
        <v>51</v>
      </c>
      <c r="R650" s="1">
        <v>45298</v>
      </c>
      <c r="S650">
        <v>2</v>
      </c>
      <c r="T650" t="s">
        <v>52</v>
      </c>
      <c r="U650" t="s">
        <v>81</v>
      </c>
      <c r="V650" t="s">
        <v>2541</v>
      </c>
      <c r="W650" t="s">
        <v>1280</v>
      </c>
      <c r="X650">
        <v>800</v>
      </c>
      <c r="Y650">
        <v>250</v>
      </c>
      <c r="Z650">
        <v>500</v>
      </c>
      <c r="AA650" t="s">
        <v>2542</v>
      </c>
    </row>
    <row r="651" spans="1:27" x14ac:dyDescent="0.2">
      <c r="A651">
        <v>3645</v>
      </c>
      <c r="B651" t="s">
        <v>936</v>
      </c>
      <c r="C651" t="str">
        <f>_xlfn.CONCAT(Merge[[#This Row],[Customer First Name]]," ",Merge[[#This Row],[Customer Last Name]])</f>
        <v>Regina Mullins</v>
      </c>
      <c r="D651" t="s">
        <v>937</v>
      </c>
      <c r="E651">
        <v>1877</v>
      </c>
      <c r="F651" t="s">
        <v>37</v>
      </c>
      <c r="G651" s="1">
        <v>45402</v>
      </c>
      <c r="H651">
        <v>2</v>
      </c>
      <c r="I651" t="s">
        <v>32</v>
      </c>
      <c r="J651" t="s">
        <v>47</v>
      </c>
      <c r="K651">
        <v>0.3</v>
      </c>
      <c r="L651">
        <v>455.4</v>
      </c>
      <c r="M651">
        <v>1518</v>
      </c>
      <c r="N651">
        <v>1062.5999999999999</v>
      </c>
      <c r="O651" t="s">
        <v>48</v>
      </c>
      <c r="P651">
        <v>1877</v>
      </c>
      <c r="Q651" t="s">
        <v>37</v>
      </c>
      <c r="R651" s="1">
        <v>45402</v>
      </c>
      <c r="S651">
        <v>3</v>
      </c>
      <c r="T651" t="s">
        <v>32</v>
      </c>
      <c r="U651" t="s">
        <v>47</v>
      </c>
      <c r="V651" t="s">
        <v>2543</v>
      </c>
      <c r="W651" t="s">
        <v>1275</v>
      </c>
      <c r="X651">
        <v>3000</v>
      </c>
      <c r="Y651">
        <v>800</v>
      </c>
      <c r="Z651">
        <v>2400</v>
      </c>
      <c r="AA651" t="s">
        <v>2544</v>
      </c>
    </row>
    <row r="652" spans="1:27" x14ac:dyDescent="0.2">
      <c r="A652">
        <v>3646</v>
      </c>
      <c r="B652" t="s">
        <v>404</v>
      </c>
      <c r="C652" t="str">
        <f>_xlfn.CONCAT(Merge[[#This Row],[Customer First Name]]," ",Merge[[#This Row],[Customer Last Name]])</f>
        <v>Hayes Norris</v>
      </c>
      <c r="D652" t="s">
        <v>938</v>
      </c>
      <c r="E652">
        <v>1878</v>
      </c>
      <c r="F652" t="s">
        <v>76</v>
      </c>
      <c r="G652" s="1">
        <v>45474</v>
      </c>
      <c r="H652">
        <v>3</v>
      </c>
      <c r="I652" t="s">
        <v>32</v>
      </c>
      <c r="J652" t="s">
        <v>43</v>
      </c>
      <c r="K652">
        <v>0.25</v>
      </c>
      <c r="L652">
        <v>117.75</v>
      </c>
      <c r="M652">
        <v>471</v>
      </c>
      <c r="N652">
        <v>353.25</v>
      </c>
      <c r="O652" t="s">
        <v>54</v>
      </c>
      <c r="P652">
        <v>1878</v>
      </c>
      <c r="Q652" t="s">
        <v>76</v>
      </c>
      <c r="R652" s="1">
        <v>45474</v>
      </c>
      <c r="S652">
        <v>2</v>
      </c>
      <c r="T652" t="s">
        <v>32</v>
      </c>
      <c r="U652" t="s">
        <v>43</v>
      </c>
      <c r="V652" t="s">
        <v>2545</v>
      </c>
      <c r="W652" t="s">
        <v>1244</v>
      </c>
      <c r="X652">
        <v>2300</v>
      </c>
      <c r="Y652">
        <v>1200</v>
      </c>
      <c r="Z652">
        <v>2400</v>
      </c>
      <c r="AA652" t="s">
        <v>2546</v>
      </c>
    </row>
    <row r="653" spans="1:27" x14ac:dyDescent="0.2">
      <c r="A653">
        <v>3647</v>
      </c>
      <c r="B653" t="s">
        <v>744</v>
      </c>
      <c r="C653" t="str">
        <f>_xlfn.CONCAT(Merge[[#This Row],[Customer First Name]]," ",Merge[[#This Row],[Customer Last Name]])</f>
        <v>Kaylee Best</v>
      </c>
      <c r="D653" t="s">
        <v>939</v>
      </c>
      <c r="E653">
        <v>1879</v>
      </c>
      <c r="F653" t="s">
        <v>37</v>
      </c>
      <c r="G653" s="1">
        <v>45617</v>
      </c>
      <c r="H653">
        <v>3</v>
      </c>
      <c r="I653" t="s">
        <v>38</v>
      </c>
      <c r="J653" t="s">
        <v>81</v>
      </c>
      <c r="K653">
        <v>0.3</v>
      </c>
      <c r="L653">
        <v>266.39999999999998</v>
      </c>
      <c r="M653">
        <v>888</v>
      </c>
      <c r="N653">
        <v>621.6</v>
      </c>
      <c r="O653" t="s">
        <v>54</v>
      </c>
      <c r="P653">
        <v>1879</v>
      </c>
      <c r="Q653" t="s">
        <v>37</v>
      </c>
      <c r="R653" s="1">
        <v>45617</v>
      </c>
      <c r="S653">
        <v>3</v>
      </c>
      <c r="T653" t="s">
        <v>38</v>
      </c>
      <c r="U653" t="s">
        <v>81</v>
      </c>
      <c r="V653" t="s">
        <v>2547</v>
      </c>
      <c r="W653" t="s">
        <v>1280</v>
      </c>
      <c r="X653">
        <v>800</v>
      </c>
      <c r="Y653">
        <v>800</v>
      </c>
      <c r="Z653">
        <v>2400</v>
      </c>
      <c r="AA653" t="s">
        <v>2548</v>
      </c>
    </row>
    <row r="654" spans="1:27" x14ac:dyDescent="0.2">
      <c r="A654">
        <v>3648</v>
      </c>
      <c r="B654" t="s">
        <v>940</v>
      </c>
      <c r="C654" t="str">
        <f>_xlfn.CONCAT(Merge[[#This Row],[Customer First Name]]," ",Merge[[#This Row],[Customer Last Name]])</f>
        <v>Brooklynn Mcgee</v>
      </c>
      <c r="D654" t="s">
        <v>725</v>
      </c>
      <c r="E654">
        <v>1880</v>
      </c>
      <c r="F654" t="s">
        <v>37</v>
      </c>
      <c r="G654" s="1">
        <v>45483</v>
      </c>
      <c r="H654">
        <v>3</v>
      </c>
      <c r="I654" t="s">
        <v>52</v>
      </c>
      <c r="J654" t="s">
        <v>33</v>
      </c>
      <c r="K654">
        <v>0.3</v>
      </c>
      <c r="L654">
        <v>203.1</v>
      </c>
      <c r="M654">
        <v>677</v>
      </c>
      <c r="N654">
        <v>473.9</v>
      </c>
      <c r="O654" t="s">
        <v>48</v>
      </c>
      <c r="P654">
        <v>1880</v>
      </c>
      <c r="Q654" t="s">
        <v>37</v>
      </c>
      <c r="R654" s="1">
        <v>45483</v>
      </c>
      <c r="S654">
        <v>2</v>
      </c>
      <c r="T654" t="s">
        <v>52</v>
      </c>
      <c r="U654" t="s">
        <v>33</v>
      </c>
      <c r="V654" t="s">
        <v>2549</v>
      </c>
      <c r="W654" t="s">
        <v>1259</v>
      </c>
      <c r="X654">
        <v>6160</v>
      </c>
      <c r="Y654">
        <v>800</v>
      </c>
      <c r="Z654">
        <v>1600</v>
      </c>
      <c r="AA654" t="s">
        <v>2550</v>
      </c>
    </row>
    <row r="655" spans="1:27" x14ac:dyDescent="0.2">
      <c r="A655">
        <v>3649</v>
      </c>
      <c r="B655" t="s">
        <v>315</v>
      </c>
      <c r="C655" t="str">
        <f>_xlfn.CONCAT(Merge[[#This Row],[Customer First Name]]," ",Merge[[#This Row],[Customer Last Name]])</f>
        <v>Zaire Rose</v>
      </c>
      <c r="D655" t="s">
        <v>592</v>
      </c>
      <c r="E655">
        <v>1881</v>
      </c>
      <c r="F655" t="s">
        <v>76</v>
      </c>
      <c r="G655" s="1">
        <v>45528</v>
      </c>
      <c r="H655">
        <v>2</v>
      </c>
      <c r="I655" t="s">
        <v>32</v>
      </c>
      <c r="J655" t="s">
        <v>81</v>
      </c>
      <c r="K655">
        <v>0.25</v>
      </c>
      <c r="L655">
        <v>172.25</v>
      </c>
      <c r="M655">
        <v>689</v>
      </c>
      <c r="N655">
        <v>516.75</v>
      </c>
      <c r="O655" t="s">
        <v>44</v>
      </c>
      <c r="P655">
        <v>1881</v>
      </c>
      <c r="Q655" t="s">
        <v>76</v>
      </c>
      <c r="R655" s="1">
        <v>45528</v>
      </c>
      <c r="S655">
        <v>2</v>
      </c>
      <c r="T655" t="s">
        <v>32</v>
      </c>
      <c r="U655" t="s">
        <v>81</v>
      </c>
      <c r="V655" t="s">
        <v>2551</v>
      </c>
      <c r="W655" t="s">
        <v>1280</v>
      </c>
      <c r="X655">
        <v>800</v>
      </c>
      <c r="Y655">
        <v>1200</v>
      </c>
      <c r="Z655">
        <v>2400</v>
      </c>
      <c r="AA655" t="s">
        <v>2552</v>
      </c>
    </row>
    <row r="656" spans="1:27" x14ac:dyDescent="0.2">
      <c r="A656">
        <v>3650</v>
      </c>
      <c r="B656" t="s">
        <v>941</v>
      </c>
      <c r="C656" t="str">
        <f>_xlfn.CONCAT(Merge[[#This Row],[Customer First Name]]," ",Merge[[#This Row],[Customer Last Name]])</f>
        <v>Wade Novak</v>
      </c>
      <c r="D656" t="s">
        <v>942</v>
      </c>
      <c r="E656">
        <v>1882</v>
      </c>
      <c r="F656" t="s">
        <v>51</v>
      </c>
      <c r="G656" s="1">
        <v>45323</v>
      </c>
      <c r="H656">
        <v>2</v>
      </c>
      <c r="I656" t="s">
        <v>52</v>
      </c>
      <c r="J656" t="s">
        <v>33</v>
      </c>
      <c r="K656">
        <v>0.2</v>
      </c>
      <c r="L656">
        <v>73</v>
      </c>
      <c r="M656">
        <v>365</v>
      </c>
      <c r="N656">
        <v>292</v>
      </c>
      <c r="O656" t="s">
        <v>114</v>
      </c>
      <c r="P656">
        <v>1882</v>
      </c>
      <c r="Q656" t="s">
        <v>51</v>
      </c>
      <c r="R656" s="1">
        <v>45323</v>
      </c>
      <c r="S656">
        <v>2</v>
      </c>
      <c r="T656" t="s">
        <v>52</v>
      </c>
      <c r="U656" t="s">
        <v>33</v>
      </c>
      <c r="V656" t="s">
        <v>2553</v>
      </c>
      <c r="W656" t="s">
        <v>1259</v>
      </c>
      <c r="X656">
        <v>6160</v>
      </c>
      <c r="Y656">
        <v>250</v>
      </c>
      <c r="Z656">
        <v>500</v>
      </c>
      <c r="AA656" t="s">
        <v>2554</v>
      </c>
    </row>
    <row r="657" spans="1:27" x14ac:dyDescent="0.2">
      <c r="A657">
        <v>3651</v>
      </c>
      <c r="B657" t="s">
        <v>667</v>
      </c>
      <c r="C657" t="str">
        <f>_xlfn.CONCAT(Merge[[#This Row],[Customer First Name]]," ",Merge[[#This Row],[Customer Last Name]])</f>
        <v>Sonny Haley</v>
      </c>
      <c r="D657" t="s">
        <v>943</v>
      </c>
      <c r="E657">
        <v>1883</v>
      </c>
      <c r="F657" t="s">
        <v>42</v>
      </c>
      <c r="G657" s="1">
        <v>45620</v>
      </c>
      <c r="H657">
        <v>1</v>
      </c>
      <c r="I657" t="s">
        <v>71</v>
      </c>
      <c r="J657" t="s">
        <v>33</v>
      </c>
      <c r="K657">
        <v>0.25</v>
      </c>
      <c r="L657">
        <v>234.75</v>
      </c>
      <c r="M657">
        <v>939</v>
      </c>
      <c r="N657">
        <v>704.25</v>
      </c>
      <c r="O657" t="s">
        <v>114</v>
      </c>
      <c r="P657">
        <v>1883</v>
      </c>
      <c r="Q657" t="s">
        <v>42</v>
      </c>
      <c r="R657" s="1">
        <v>45620</v>
      </c>
      <c r="S657">
        <v>2</v>
      </c>
      <c r="T657" t="s">
        <v>71</v>
      </c>
      <c r="U657" t="s">
        <v>33</v>
      </c>
      <c r="V657" t="s">
        <v>2555</v>
      </c>
      <c r="W657" t="s">
        <v>1238</v>
      </c>
      <c r="X657">
        <v>6725</v>
      </c>
      <c r="Y657">
        <v>300</v>
      </c>
      <c r="Z657">
        <v>600</v>
      </c>
      <c r="AA657" t="s">
        <v>2556</v>
      </c>
    </row>
    <row r="658" spans="1:27" x14ac:dyDescent="0.2">
      <c r="A658">
        <v>3652</v>
      </c>
      <c r="B658" t="s">
        <v>325</v>
      </c>
      <c r="C658" t="str">
        <f>_xlfn.CONCAT(Merge[[#This Row],[Customer First Name]]," ",Merge[[#This Row],[Customer Last Name]])</f>
        <v>Jonathan Solis</v>
      </c>
      <c r="D658" t="s">
        <v>879</v>
      </c>
      <c r="E658">
        <v>1884</v>
      </c>
      <c r="F658" t="s">
        <v>37</v>
      </c>
      <c r="G658" s="1">
        <v>45470</v>
      </c>
      <c r="H658">
        <v>3</v>
      </c>
      <c r="I658" t="s">
        <v>52</v>
      </c>
      <c r="J658" t="s">
        <v>47</v>
      </c>
      <c r="K658">
        <v>0.3</v>
      </c>
      <c r="L658">
        <v>445.5</v>
      </c>
      <c r="M658">
        <v>1485</v>
      </c>
      <c r="N658">
        <v>1039.5</v>
      </c>
      <c r="O658" t="s">
        <v>54</v>
      </c>
      <c r="P658">
        <v>1884</v>
      </c>
      <c r="Q658" t="s">
        <v>37</v>
      </c>
      <c r="R658" s="1">
        <v>45470</v>
      </c>
      <c r="S658">
        <v>2</v>
      </c>
      <c r="T658" t="s">
        <v>52</v>
      </c>
      <c r="U658" t="s">
        <v>47</v>
      </c>
      <c r="V658" t="s">
        <v>2557</v>
      </c>
      <c r="W658" t="s">
        <v>1275</v>
      </c>
      <c r="X658">
        <v>3000</v>
      </c>
      <c r="Y658">
        <v>800</v>
      </c>
      <c r="Z658">
        <v>1600</v>
      </c>
      <c r="AA658" t="s">
        <v>2558</v>
      </c>
    </row>
    <row r="659" spans="1:27" x14ac:dyDescent="0.2">
      <c r="A659">
        <v>3653</v>
      </c>
      <c r="B659" t="s">
        <v>310</v>
      </c>
      <c r="C659" t="str">
        <f>_xlfn.CONCAT(Merge[[#This Row],[Customer First Name]]," ",Merge[[#This Row],[Customer Last Name]])</f>
        <v>Katherine Powell</v>
      </c>
      <c r="D659" t="s">
        <v>944</v>
      </c>
      <c r="E659">
        <v>1885</v>
      </c>
      <c r="F659" t="s">
        <v>51</v>
      </c>
      <c r="G659" s="1">
        <v>45418</v>
      </c>
      <c r="H659">
        <v>1</v>
      </c>
      <c r="I659" t="s">
        <v>52</v>
      </c>
      <c r="J659" t="s">
        <v>57</v>
      </c>
      <c r="K659">
        <v>0.2</v>
      </c>
      <c r="L659">
        <v>197</v>
      </c>
      <c r="M659">
        <v>985</v>
      </c>
      <c r="N659">
        <v>788</v>
      </c>
      <c r="O659" t="s">
        <v>54</v>
      </c>
      <c r="P659">
        <v>1885</v>
      </c>
      <c r="Q659" t="s">
        <v>51</v>
      </c>
      <c r="R659" s="1">
        <v>45418</v>
      </c>
      <c r="S659">
        <v>1</v>
      </c>
      <c r="T659" t="s">
        <v>52</v>
      </c>
      <c r="U659" t="s">
        <v>57</v>
      </c>
      <c r="V659" t="s">
        <v>2559</v>
      </c>
      <c r="W659" t="s">
        <v>1350</v>
      </c>
      <c r="X659">
        <v>5600</v>
      </c>
      <c r="Y659">
        <v>250</v>
      </c>
      <c r="Z659">
        <v>250</v>
      </c>
      <c r="AA659" t="s">
        <v>2560</v>
      </c>
    </row>
    <row r="660" spans="1:27" x14ac:dyDescent="0.2">
      <c r="A660">
        <v>3654</v>
      </c>
      <c r="B660" t="s">
        <v>892</v>
      </c>
      <c r="C660" t="str">
        <f>_xlfn.CONCAT(Merge[[#This Row],[Customer First Name]]," ",Merge[[#This Row],[Customer Last Name]])</f>
        <v>Ximena Roth</v>
      </c>
      <c r="D660" t="s">
        <v>945</v>
      </c>
      <c r="E660">
        <v>1886</v>
      </c>
      <c r="F660" t="s">
        <v>37</v>
      </c>
      <c r="G660" s="1">
        <v>45503</v>
      </c>
      <c r="H660">
        <v>3</v>
      </c>
      <c r="I660" t="s">
        <v>32</v>
      </c>
      <c r="J660" t="s">
        <v>81</v>
      </c>
      <c r="K660">
        <v>0.3</v>
      </c>
      <c r="L660">
        <v>109.2</v>
      </c>
      <c r="M660">
        <v>364</v>
      </c>
      <c r="N660">
        <v>254.8</v>
      </c>
      <c r="O660" t="s">
        <v>48</v>
      </c>
      <c r="P660">
        <v>1886</v>
      </c>
      <c r="Q660" t="s">
        <v>37</v>
      </c>
      <c r="R660" s="1">
        <v>45503</v>
      </c>
      <c r="S660">
        <v>1</v>
      </c>
      <c r="T660" t="s">
        <v>32</v>
      </c>
      <c r="U660" t="s">
        <v>81</v>
      </c>
      <c r="V660" t="s">
        <v>2561</v>
      </c>
      <c r="W660" t="s">
        <v>1280</v>
      </c>
      <c r="X660">
        <v>800</v>
      </c>
      <c r="Y660">
        <v>800</v>
      </c>
      <c r="Z660">
        <v>800</v>
      </c>
      <c r="AA660" t="s">
        <v>2562</v>
      </c>
    </row>
    <row r="661" spans="1:27" x14ac:dyDescent="0.2">
      <c r="A661">
        <v>3655</v>
      </c>
      <c r="B661" t="s">
        <v>946</v>
      </c>
      <c r="C661" t="str">
        <f>_xlfn.CONCAT(Merge[[#This Row],[Customer First Name]]," ",Merge[[#This Row],[Customer Last Name]])</f>
        <v>Stetson Matthews</v>
      </c>
      <c r="D661" t="s">
        <v>947</v>
      </c>
      <c r="E661">
        <v>1887</v>
      </c>
      <c r="F661" t="s">
        <v>37</v>
      </c>
      <c r="G661" s="1">
        <v>45307</v>
      </c>
      <c r="H661">
        <v>1</v>
      </c>
      <c r="I661" t="s">
        <v>32</v>
      </c>
      <c r="J661" t="s">
        <v>64</v>
      </c>
      <c r="K661">
        <v>0.3</v>
      </c>
      <c r="L661">
        <v>233.7</v>
      </c>
      <c r="M661">
        <v>779</v>
      </c>
      <c r="N661">
        <v>545.29999999999995</v>
      </c>
      <c r="O661" t="s">
        <v>44</v>
      </c>
      <c r="P661">
        <v>1887</v>
      </c>
      <c r="Q661" t="s">
        <v>37</v>
      </c>
      <c r="R661" s="1">
        <v>45307</v>
      </c>
      <c r="S661">
        <v>3</v>
      </c>
      <c r="T661" t="s">
        <v>32</v>
      </c>
      <c r="U661" t="s">
        <v>64</v>
      </c>
      <c r="V661" t="s">
        <v>2563</v>
      </c>
      <c r="W661" t="s">
        <v>1262</v>
      </c>
      <c r="X661">
        <v>7250</v>
      </c>
      <c r="Y661">
        <v>800</v>
      </c>
      <c r="Z661">
        <v>2400</v>
      </c>
      <c r="AA661" t="s">
        <v>2564</v>
      </c>
    </row>
    <row r="662" spans="1:27" x14ac:dyDescent="0.2">
      <c r="A662">
        <v>3656</v>
      </c>
      <c r="B662" t="s">
        <v>948</v>
      </c>
      <c r="C662" t="str">
        <f>_xlfn.CONCAT(Merge[[#This Row],[Customer First Name]]," ",Merge[[#This Row],[Customer Last Name]])</f>
        <v>Adelina Gray</v>
      </c>
      <c r="D662" t="s">
        <v>255</v>
      </c>
      <c r="E662">
        <v>1888</v>
      </c>
      <c r="F662" t="s">
        <v>37</v>
      </c>
      <c r="G662" s="1">
        <v>45610</v>
      </c>
      <c r="H662">
        <v>1</v>
      </c>
      <c r="I662" t="s">
        <v>32</v>
      </c>
      <c r="J662" t="s">
        <v>33</v>
      </c>
      <c r="K662">
        <v>0.3</v>
      </c>
      <c r="L662">
        <v>231.6</v>
      </c>
      <c r="M662">
        <v>772</v>
      </c>
      <c r="N662">
        <v>540.4</v>
      </c>
      <c r="O662" t="s">
        <v>44</v>
      </c>
      <c r="P662">
        <v>1888</v>
      </c>
      <c r="Q662" t="s">
        <v>37</v>
      </c>
      <c r="R662" s="1">
        <v>45610</v>
      </c>
      <c r="S662">
        <v>1</v>
      </c>
      <c r="T662" t="s">
        <v>32</v>
      </c>
      <c r="U662" t="s">
        <v>33</v>
      </c>
      <c r="V662" t="s">
        <v>2565</v>
      </c>
      <c r="W662" t="s">
        <v>1238</v>
      </c>
      <c r="X662">
        <v>6725</v>
      </c>
      <c r="Y662">
        <v>800</v>
      </c>
      <c r="Z662">
        <v>800</v>
      </c>
      <c r="AA662" t="s">
        <v>2566</v>
      </c>
    </row>
    <row r="663" spans="1:27" x14ac:dyDescent="0.2">
      <c r="A663">
        <v>3657</v>
      </c>
      <c r="B663" t="s">
        <v>949</v>
      </c>
      <c r="C663" t="str">
        <f>_xlfn.CONCAT(Merge[[#This Row],[Customer First Name]]," ",Merge[[#This Row],[Customer Last Name]])</f>
        <v>Casey Rosario</v>
      </c>
      <c r="D663" t="s">
        <v>950</v>
      </c>
      <c r="E663">
        <v>1889</v>
      </c>
      <c r="F663" t="s">
        <v>92</v>
      </c>
      <c r="G663" s="1">
        <v>45439</v>
      </c>
      <c r="H663">
        <v>1</v>
      </c>
      <c r="I663" t="s">
        <v>71</v>
      </c>
      <c r="J663" t="s">
        <v>39</v>
      </c>
      <c r="K663">
        <v>0.3</v>
      </c>
      <c r="L663">
        <v>304.5</v>
      </c>
      <c r="M663">
        <v>1015</v>
      </c>
      <c r="N663">
        <v>710.5</v>
      </c>
      <c r="O663" t="s">
        <v>44</v>
      </c>
      <c r="P663">
        <v>1889</v>
      </c>
      <c r="Q663" t="s">
        <v>92</v>
      </c>
      <c r="R663" s="1">
        <v>45439</v>
      </c>
      <c r="S663">
        <v>3</v>
      </c>
      <c r="T663" t="s">
        <v>71</v>
      </c>
      <c r="U663" t="s">
        <v>39</v>
      </c>
      <c r="V663" t="s">
        <v>2567</v>
      </c>
      <c r="W663" t="s">
        <v>1241</v>
      </c>
      <c r="X663">
        <v>2600</v>
      </c>
      <c r="Y663">
        <v>600</v>
      </c>
      <c r="Z663">
        <v>1800</v>
      </c>
      <c r="AA663" t="s">
        <v>2568</v>
      </c>
    </row>
    <row r="664" spans="1:27" x14ac:dyDescent="0.2">
      <c r="A664">
        <v>3658</v>
      </c>
      <c r="B664" t="s">
        <v>79</v>
      </c>
      <c r="C664" t="str">
        <f>_xlfn.CONCAT(Merge[[#This Row],[Customer First Name]]," ",Merge[[#This Row],[Customer Last Name]])</f>
        <v>Sutton Fuentes</v>
      </c>
      <c r="D664" t="s">
        <v>951</v>
      </c>
      <c r="E664">
        <v>1890</v>
      </c>
      <c r="F664" t="s">
        <v>76</v>
      </c>
      <c r="G664" s="1">
        <v>45584</v>
      </c>
      <c r="H664">
        <v>1</v>
      </c>
      <c r="I664" t="s">
        <v>52</v>
      </c>
      <c r="J664" t="s">
        <v>53</v>
      </c>
      <c r="K664">
        <v>0.25</v>
      </c>
      <c r="L664">
        <v>275.25</v>
      </c>
      <c r="M664">
        <v>1101</v>
      </c>
      <c r="N664">
        <v>825.75</v>
      </c>
      <c r="O664" t="s">
        <v>34</v>
      </c>
      <c r="P664">
        <v>1890</v>
      </c>
      <c r="Q664" t="s">
        <v>76</v>
      </c>
      <c r="R664" s="1">
        <v>45584</v>
      </c>
      <c r="S664">
        <v>3</v>
      </c>
      <c r="T664" t="s">
        <v>52</v>
      </c>
      <c r="U664" t="s">
        <v>53</v>
      </c>
      <c r="V664" t="s">
        <v>2569</v>
      </c>
      <c r="W664" t="s">
        <v>1250</v>
      </c>
      <c r="X664">
        <v>4217</v>
      </c>
      <c r="Y664">
        <v>1200</v>
      </c>
      <c r="Z664">
        <v>3600</v>
      </c>
      <c r="AA664" t="s">
        <v>2570</v>
      </c>
    </row>
    <row r="665" spans="1:27" x14ac:dyDescent="0.2">
      <c r="A665">
        <v>3659</v>
      </c>
      <c r="B665" t="s">
        <v>952</v>
      </c>
      <c r="C665" t="str">
        <f>_xlfn.CONCAT(Merge[[#This Row],[Customer First Name]]," ",Merge[[#This Row],[Customer Last Name]])</f>
        <v>Briella Steele</v>
      </c>
      <c r="D665" t="s">
        <v>727</v>
      </c>
      <c r="E665">
        <v>1891</v>
      </c>
      <c r="F665" t="s">
        <v>92</v>
      </c>
      <c r="G665" s="1">
        <v>45502</v>
      </c>
      <c r="H665">
        <v>1</v>
      </c>
      <c r="I665" t="s">
        <v>52</v>
      </c>
      <c r="J665" t="s">
        <v>64</v>
      </c>
      <c r="K665">
        <v>0.3</v>
      </c>
      <c r="L665">
        <v>351.9</v>
      </c>
      <c r="M665">
        <v>1173</v>
      </c>
      <c r="N665">
        <v>821.1</v>
      </c>
      <c r="O665" t="s">
        <v>48</v>
      </c>
      <c r="P665">
        <v>1891</v>
      </c>
      <c r="Q665" t="s">
        <v>92</v>
      </c>
      <c r="R665" s="1">
        <v>45502</v>
      </c>
      <c r="S665">
        <v>2</v>
      </c>
      <c r="T665" t="s">
        <v>52</v>
      </c>
      <c r="U665" t="s">
        <v>64</v>
      </c>
      <c r="V665" t="s">
        <v>2571</v>
      </c>
      <c r="W665" t="s">
        <v>1400</v>
      </c>
      <c r="X665">
        <v>7310</v>
      </c>
      <c r="Y665">
        <v>600</v>
      </c>
      <c r="Z665">
        <v>1200</v>
      </c>
      <c r="AA665" t="s">
        <v>2572</v>
      </c>
    </row>
    <row r="666" spans="1:27" x14ac:dyDescent="0.2">
      <c r="A666">
        <v>3660</v>
      </c>
      <c r="B666" t="s">
        <v>953</v>
      </c>
      <c r="C666" t="str">
        <f>_xlfn.CONCAT(Merge[[#This Row],[Customer First Name]]," ",Merge[[#This Row],[Customer Last Name]])</f>
        <v>Allie Patton</v>
      </c>
      <c r="D666" t="s">
        <v>954</v>
      </c>
      <c r="E666">
        <v>1892</v>
      </c>
      <c r="F666" t="s">
        <v>92</v>
      </c>
      <c r="G666" s="1">
        <v>45534</v>
      </c>
      <c r="H666">
        <v>3</v>
      </c>
      <c r="I666" t="s">
        <v>52</v>
      </c>
      <c r="J666" t="s">
        <v>43</v>
      </c>
      <c r="K666">
        <v>0.3</v>
      </c>
      <c r="L666">
        <v>301.8</v>
      </c>
      <c r="M666">
        <v>1006</v>
      </c>
      <c r="N666">
        <v>704.2</v>
      </c>
      <c r="O666" t="s">
        <v>34</v>
      </c>
      <c r="P666">
        <v>1892</v>
      </c>
      <c r="Q666" t="s">
        <v>92</v>
      </c>
      <c r="R666" s="1">
        <v>45534</v>
      </c>
      <c r="S666">
        <v>2</v>
      </c>
      <c r="T666" t="s">
        <v>52</v>
      </c>
      <c r="U666" t="s">
        <v>43</v>
      </c>
      <c r="V666" t="s">
        <v>2573</v>
      </c>
      <c r="W666" t="s">
        <v>1299</v>
      </c>
      <c r="X666">
        <v>2500</v>
      </c>
      <c r="Y666">
        <v>600</v>
      </c>
      <c r="Z666">
        <v>1200</v>
      </c>
      <c r="AA666" t="s">
        <v>2574</v>
      </c>
    </row>
    <row r="667" spans="1:27" x14ac:dyDescent="0.2">
      <c r="A667">
        <v>3661</v>
      </c>
      <c r="B667" t="s">
        <v>180</v>
      </c>
      <c r="C667" t="str">
        <f>_xlfn.CONCAT(Merge[[#This Row],[Customer First Name]]," ",Merge[[#This Row],[Customer Last Name]])</f>
        <v>Ryker Guerra</v>
      </c>
      <c r="D667" t="s">
        <v>494</v>
      </c>
      <c r="E667">
        <v>1893</v>
      </c>
      <c r="F667" t="s">
        <v>92</v>
      </c>
      <c r="G667" s="1">
        <v>45539</v>
      </c>
      <c r="H667">
        <v>1</v>
      </c>
      <c r="I667" t="s">
        <v>38</v>
      </c>
      <c r="J667" t="s">
        <v>53</v>
      </c>
      <c r="K667">
        <v>0.3</v>
      </c>
      <c r="L667">
        <v>42.3</v>
      </c>
      <c r="M667">
        <v>141</v>
      </c>
      <c r="N667">
        <v>98.7</v>
      </c>
      <c r="O667" t="s">
        <v>54</v>
      </c>
      <c r="P667">
        <v>1893</v>
      </c>
      <c r="Q667" t="s">
        <v>92</v>
      </c>
      <c r="R667" s="1">
        <v>45539</v>
      </c>
      <c r="S667">
        <v>1</v>
      </c>
      <c r="T667" t="s">
        <v>38</v>
      </c>
      <c r="U667" t="s">
        <v>53</v>
      </c>
      <c r="V667" t="s">
        <v>2575</v>
      </c>
      <c r="W667" t="s">
        <v>1250</v>
      </c>
      <c r="X667">
        <v>4217</v>
      </c>
      <c r="Y667">
        <v>600</v>
      </c>
      <c r="Z667">
        <v>600</v>
      </c>
      <c r="AA667" t="s">
        <v>2576</v>
      </c>
    </row>
    <row r="668" spans="1:27" x14ac:dyDescent="0.2">
      <c r="A668">
        <v>3662</v>
      </c>
      <c r="B668" t="s">
        <v>955</v>
      </c>
      <c r="C668" t="str">
        <f>_xlfn.CONCAT(Merge[[#This Row],[Customer First Name]]," ",Merge[[#This Row],[Customer Last Name]])</f>
        <v>Abigail Mora</v>
      </c>
      <c r="D668" t="s">
        <v>151</v>
      </c>
      <c r="E668">
        <v>1894</v>
      </c>
      <c r="F668" t="s">
        <v>76</v>
      </c>
      <c r="G668" s="1">
        <v>45328</v>
      </c>
      <c r="H668">
        <v>2</v>
      </c>
      <c r="I668" t="s">
        <v>38</v>
      </c>
      <c r="J668" t="s">
        <v>64</v>
      </c>
      <c r="K668">
        <v>0.25</v>
      </c>
      <c r="L668">
        <v>86.75</v>
      </c>
      <c r="M668">
        <v>347</v>
      </c>
      <c r="N668">
        <v>260.25</v>
      </c>
      <c r="O668" t="s">
        <v>114</v>
      </c>
      <c r="P668">
        <v>1894</v>
      </c>
      <c r="Q668" t="s">
        <v>76</v>
      </c>
      <c r="R668" s="1">
        <v>45328</v>
      </c>
      <c r="S668">
        <v>1</v>
      </c>
      <c r="T668" t="s">
        <v>38</v>
      </c>
      <c r="U668" t="s">
        <v>64</v>
      </c>
      <c r="V668" t="s">
        <v>2577</v>
      </c>
      <c r="W668" t="s">
        <v>1400</v>
      </c>
      <c r="X668">
        <v>7310</v>
      </c>
      <c r="Y668">
        <v>1200</v>
      </c>
      <c r="Z668">
        <v>1200</v>
      </c>
      <c r="AA668" t="s">
        <v>2578</v>
      </c>
    </row>
    <row r="669" spans="1:27" x14ac:dyDescent="0.2">
      <c r="A669">
        <v>3663</v>
      </c>
      <c r="B669" t="s">
        <v>956</v>
      </c>
      <c r="C669" t="str">
        <f>_xlfn.CONCAT(Merge[[#This Row],[Customer First Name]]," ",Merge[[#This Row],[Customer Last Name]])</f>
        <v>Kayla Hanson</v>
      </c>
      <c r="D669" t="s">
        <v>957</v>
      </c>
      <c r="E669">
        <v>1895</v>
      </c>
      <c r="F669" t="s">
        <v>31</v>
      </c>
      <c r="G669" s="1">
        <v>45398</v>
      </c>
      <c r="H669">
        <v>1</v>
      </c>
      <c r="I669" t="s">
        <v>52</v>
      </c>
      <c r="J669" t="s">
        <v>64</v>
      </c>
      <c r="K669">
        <v>0.1</v>
      </c>
      <c r="L669">
        <v>27.6</v>
      </c>
      <c r="M669">
        <v>276</v>
      </c>
      <c r="N669">
        <v>248.4</v>
      </c>
      <c r="O669" t="s">
        <v>34</v>
      </c>
      <c r="P669">
        <v>1895</v>
      </c>
      <c r="Q669" t="s">
        <v>31</v>
      </c>
      <c r="R669" s="1">
        <v>45398</v>
      </c>
      <c r="S669">
        <v>2</v>
      </c>
      <c r="T669" t="s">
        <v>52</v>
      </c>
      <c r="U669" t="s">
        <v>64</v>
      </c>
      <c r="V669" t="s">
        <v>2579</v>
      </c>
      <c r="W669" t="s">
        <v>1400</v>
      </c>
      <c r="X669">
        <v>7310</v>
      </c>
      <c r="Y669">
        <v>250</v>
      </c>
      <c r="Z669">
        <v>500</v>
      </c>
      <c r="AA669" t="s">
        <v>2580</v>
      </c>
    </row>
    <row r="670" spans="1:27" x14ac:dyDescent="0.2">
      <c r="A670">
        <v>3664</v>
      </c>
      <c r="B670" t="s">
        <v>958</v>
      </c>
      <c r="C670" t="str">
        <f>_xlfn.CONCAT(Merge[[#This Row],[Customer First Name]]," ",Merge[[#This Row],[Customer Last Name]])</f>
        <v>Naomi Barnes</v>
      </c>
      <c r="D670" t="s">
        <v>959</v>
      </c>
      <c r="E670">
        <v>1896</v>
      </c>
      <c r="F670" t="s">
        <v>51</v>
      </c>
      <c r="G670" s="1">
        <v>45311</v>
      </c>
      <c r="H670">
        <v>3</v>
      </c>
      <c r="I670" t="s">
        <v>52</v>
      </c>
      <c r="J670" t="s">
        <v>47</v>
      </c>
      <c r="K670">
        <v>0.2</v>
      </c>
      <c r="L670">
        <v>359.20000000000005</v>
      </c>
      <c r="M670">
        <v>1796</v>
      </c>
      <c r="N670">
        <v>1436.8</v>
      </c>
      <c r="O670" t="s">
        <v>48</v>
      </c>
      <c r="P670">
        <v>1896</v>
      </c>
      <c r="Q670" t="s">
        <v>51</v>
      </c>
      <c r="R670" s="1">
        <v>45311</v>
      </c>
      <c r="S670">
        <v>2</v>
      </c>
      <c r="T670" t="s">
        <v>52</v>
      </c>
      <c r="U670" t="s">
        <v>47</v>
      </c>
      <c r="V670" t="s">
        <v>2581</v>
      </c>
      <c r="W670" t="s">
        <v>1275</v>
      </c>
      <c r="X670">
        <v>3000</v>
      </c>
      <c r="Y670">
        <v>250</v>
      </c>
      <c r="Z670">
        <v>500</v>
      </c>
      <c r="AA670" t="s">
        <v>2582</v>
      </c>
    </row>
    <row r="671" spans="1:27" x14ac:dyDescent="0.2">
      <c r="A671">
        <v>3665</v>
      </c>
      <c r="B671" t="s">
        <v>510</v>
      </c>
      <c r="C671" t="str">
        <f>_xlfn.CONCAT(Merge[[#This Row],[Customer First Name]]," ",Merge[[#This Row],[Customer Last Name]])</f>
        <v>Sullivan Carson</v>
      </c>
      <c r="D671" t="s">
        <v>845</v>
      </c>
      <c r="E671">
        <v>1897</v>
      </c>
      <c r="F671" t="s">
        <v>76</v>
      </c>
      <c r="G671" s="1">
        <v>45299</v>
      </c>
      <c r="H671">
        <v>3</v>
      </c>
      <c r="I671" t="s">
        <v>71</v>
      </c>
      <c r="J671" t="s">
        <v>33</v>
      </c>
      <c r="K671">
        <v>0.25</v>
      </c>
      <c r="L671">
        <v>181.5</v>
      </c>
      <c r="M671">
        <v>726</v>
      </c>
      <c r="N671">
        <v>544.5</v>
      </c>
      <c r="O671" t="s">
        <v>34</v>
      </c>
      <c r="P671">
        <v>1897</v>
      </c>
      <c r="Q671" t="s">
        <v>76</v>
      </c>
      <c r="R671" s="1">
        <v>45299</v>
      </c>
      <c r="S671">
        <v>3</v>
      </c>
      <c r="T671" t="s">
        <v>71</v>
      </c>
      <c r="U671" t="s">
        <v>33</v>
      </c>
      <c r="V671" t="s">
        <v>2583</v>
      </c>
      <c r="W671" t="s">
        <v>1259</v>
      </c>
      <c r="X671">
        <v>6160</v>
      </c>
      <c r="Y671">
        <v>1200</v>
      </c>
      <c r="Z671">
        <v>3600</v>
      </c>
      <c r="AA671" t="s">
        <v>2584</v>
      </c>
    </row>
    <row r="672" spans="1:27" x14ac:dyDescent="0.2">
      <c r="A672">
        <v>3666</v>
      </c>
      <c r="B672" t="s">
        <v>960</v>
      </c>
      <c r="C672" t="str">
        <f>_xlfn.CONCAT(Merge[[#This Row],[Customer First Name]]," ",Merge[[#This Row],[Customer Last Name]])</f>
        <v>Jasmine Larson</v>
      </c>
      <c r="D672" t="s">
        <v>961</v>
      </c>
      <c r="E672">
        <v>1898</v>
      </c>
      <c r="F672" t="s">
        <v>76</v>
      </c>
      <c r="G672" s="1">
        <v>45423</v>
      </c>
      <c r="H672">
        <v>1</v>
      </c>
      <c r="I672" t="s">
        <v>32</v>
      </c>
      <c r="J672" t="s">
        <v>53</v>
      </c>
      <c r="K672">
        <v>0.25</v>
      </c>
      <c r="L672">
        <v>261.75</v>
      </c>
      <c r="M672">
        <v>1047</v>
      </c>
      <c r="N672">
        <v>785.25</v>
      </c>
      <c r="O672" t="s">
        <v>48</v>
      </c>
      <c r="P672">
        <v>1898</v>
      </c>
      <c r="Q672" t="s">
        <v>76</v>
      </c>
      <c r="R672" s="1">
        <v>45423</v>
      </c>
      <c r="S672">
        <v>3</v>
      </c>
      <c r="T672" t="s">
        <v>32</v>
      </c>
      <c r="U672" t="s">
        <v>53</v>
      </c>
      <c r="V672" t="s">
        <v>2585</v>
      </c>
      <c r="W672" t="s">
        <v>1305</v>
      </c>
      <c r="X672">
        <v>4000</v>
      </c>
      <c r="Y672">
        <v>1200</v>
      </c>
      <c r="Z672">
        <v>3600</v>
      </c>
      <c r="AA672" t="s">
        <v>2586</v>
      </c>
    </row>
    <row r="673" spans="1:27" x14ac:dyDescent="0.2">
      <c r="A673">
        <v>3667</v>
      </c>
      <c r="B673" t="s">
        <v>951</v>
      </c>
      <c r="C673" t="str">
        <f>_xlfn.CONCAT(Merge[[#This Row],[Customer First Name]]," ",Merge[[#This Row],[Customer Last Name]])</f>
        <v>Cataleya Sutton</v>
      </c>
      <c r="D673" t="s">
        <v>456</v>
      </c>
      <c r="E673">
        <v>1899</v>
      </c>
      <c r="F673" t="s">
        <v>31</v>
      </c>
      <c r="G673" s="1">
        <v>45378</v>
      </c>
      <c r="H673">
        <v>1</v>
      </c>
      <c r="I673" t="s">
        <v>32</v>
      </c>
      <c r="J673" t="s">
        <v>33</v>
      </c>
      <c r="K673">
        <v>0.1</v>
      </c>
      <c r="L673">
        <v>112.5</v>
      </c>
      <c r="M673">
        <v>1125</v>
      </c>
      <c r="N673">
        <v>1012.5</v>
      </c>
      <c r="O673" t="s">
        <v>54</v>
      </c>
      <c r="P673">
        <v>1899</v>
      </c>
      <c r="Q673" t="s">
        <v>31</v>
      </c>
      <c r="R673" s="1">
        <v>45378</v>
      </c>
      <c r="S673">
        <v>1</v>
      </c>
      <c r="T673" t="s">
        <v>32</v>
      </c>
      <c r="U673" t="s">
        <v>33</v>
      </c>
      <c r="V673" t="s">
        <v>2587</v>
      </c>
      <c r="W673" t="s">
        <v>1238</v>
      </c>
      <c r="X673">
        <v>6725</v>
      </c>
      <c r="Y673">
        <v>250</v>
      </c>
      <c r="Z673">
        <v>250</v>
      </c>
      <c r="AA673" t="s">
        <v>2588</v>
      </c>
    </row>
    <row r="674" spans="1:27" x14ac:dyDescent="0.2">
      <c r="A674">
        <v>3668</v>
      </c>
      <c r="B674" t="s">
        <v>302</v>
      </c>
      <c r="C674" t="str">
        <f>_xlfn.CONCAT(Merge[[#This Row],[Customer First Name]]," ",Merge[[#This Row],[Customer Last Name]])</f>
        <v>Georgia Velazquez</v>
      </c>
      <c r="D674" t="s">
        <v>962</v>
      </c>
      <c r="E674">
        <v>1900</v>
      </c>
      <c r="F674" t="s">
        <v>37</v>
      </c>
      <c r="G674" s="1">
        <v>45611</v>
      </c>
      <c r="H674">
        <v>3</v>
      </c>
      <c r="I674" t="s">
        <v>32</v>
      </c>
      <c r="J674" t="s">
        <v>64</v>
      </c>
      <c r="K674">
        <v>0.3</v>
      </c>
      <c r="L674">
        <v>247.2</v>
      </c>
      <c r="M674">
        <v>824</v>
      </c>
      <c r="N674">
        <v>576.79999999999995</v>
      </c>
      <c r="O674" t="s">
        <v>44</v>
      </c>
      <c r="P674">
        <v>1900</v>
      </c>
      <c r="Q674" t="s">
        <v>37</v>
      </c>
      <c r="R674" s="1">
        <v>45611</v>
      </c>
      <c r="S674">
        <v>1</v>
      </c>
      <c r="T674" t="s">
        <v>32</v>
      </c>
      <c r="U674" t="s">
        <v>64</v>
      </c>
      <c r="V674" t="s">
        <v>2589</v>
      </c>
      <c r="W674" t="s">
        <v>1262</v>
      </c>
      <c r="X674">
        <v>7250</v>
      </c>
      <c r="Y674">
        <v>800</v>
      </c>
      <c r="Z674">
        <v>800</v>
      </c>
      <c r="AA674" t="s">
        <v>2590</v>
      </c>
    </row>
    <row r="675" spans="1:27" x14ac:dyDescent="0.2">
      <c r="A675">
        <v>3669</v>
      </c>
      <c r="B675" t="s">
        <v>851</v>
      </c>
      <c r="C675" t="str">
        <f>_xlfn.CONCAT(Merge[[#This Row],[Customer First Name]]," ",Merge[[#This Row],[Customer Last Name]])</f>
        <v>Sterling Hall</v>
      </c>
      <c r="D675" t="s">
        <v>963</v>
      </c>
      <c r="E675">
        <v>1901</v>
      </c>
      <c r="F675" t="s">
        <v>51</v>
      </c>
      <c r="G675" s="1">
        <v>45452</v>
      </c>
      <c r="H675">
        <v>3</v>
      </c>
      <c r="I675" t="s">
        <v>52</v>
      </c>
      <c r="J675" t="s">
        <v>81</v>
      </c>
      <c r="K675">
        <v>0.2</v>
      </c>
      <c r="L675">
        <v>266.8</v>
      </c>
      <c r="M675">
        <v>1334</v>
      </c>
      <c r="N675">
        <v>1067.2</v>
      </c>
      <c r="O675" t="s">
        <v>114</v>
      </c>
      <c r="P675">
        <v>1901</v>
      </c>
      <c r="Q675" t="s">
        <v>51</v>
      </c>
      <c r="R675" s="1">
        <v>45452</v>
      </c>
      <c r="S675">
        <v>2</v>
      </c>
      <c r="T675" t="s">
        <v>52</v>
      </c>
      <c r="U675" t="s">
        <v>81</v>
      </c>
      <c r="V675" t="s">
        <v>2591</v>
      </c>
      <c r="W675" t="s">
        <v>1361</v>
      </c>
      <c r="X675">
        <v>870</v>
      </c>
      <c r="Y675">
        <v>250</v>
      </c>
      <c r="Z675">
        <v>500</v>
      </c>
      <c r="AA675" t="s">
        <v>2592</v>
      </c>
    </row>
    <row r="676" spans="1:27" x14ac:dyDescent="0.2">
      <c r="A676">
        <v>3670</v>
      </c>
      <c r="B676" t="s">
        <v>193</v>
      </c>
      <c r="C676" t="str">
        <f>_xlfn.CONCAT(Merge[[#This Row],[Customer First Name]]," ",Merge[[#This Row],[Customer Last Name]])</f>
        <v>Makayla Wong</v>
      </c>
      <c r="D676" t="s">
        <v>964</v>
      </c>
      <c r="E676">
        <v>1902</v>
      </c>
      <c r="F676" t="s">
        <v>51</v>
      </c>
      <c r="G676" s="1">
        <v>45614</v>
      </c>
      <c r="H676">
        <v>3</v>
      </c>
      <c r="I676" t="s">
        <v>52</v>
      </c>
      <c r="J676" t="s">
        <v>39</v>
      </c>
      <c r="K676">
        <v>0.2</v>
      </c>
      <c r="L676">
        <v>258.2</v>
      </c>
      <c r="M676">
        <v>1291</v>
      </c>
      <c r="N676">
        <v>1032.8</v>
      </c>
      <c r="O676" t="s">
        <v>34</v>
      </c>
      <c r="P676">
        <v>1902</v>
      </c>
      <c r="Q676" t="s">
        <v>51</v>
      </c>
      <c r="R676" s="1">
        <v>45614</v>
      </c>
      <c r="S676">
        <v>1</v>
      </c>
      <c r="T676" t="s">
        <v>52</v>
      </c>
      <c r="U676" t="s">
        <v>39</v>
      </c>
      <c r="V676" t="s">
        <v>2593</v>
      </c>
      <c r="W676" t="s">
        <v>1241</v>
      </c>
      <c r="X676">
        <v>2600</v>
      </c>
      <c r="Y676">
        <v>250</v>
      </c>
      <c r="Z676">
        <v>250</v>
      </c>
      <c r="AA676" t="s">
        <v>2594</v>
      </c>
    </row>
    <row r="677" spans="1:27" x14ac:dyDescent="0.2">
      <c r="A677">
        <v>3671</v>
      </c>
      <c r="B677" t="s">
        <v>112</v>
      </c>
      <c r="C677" t="str">
        <f>_xlfn.CONCAT(Merge[[#This Row],[Customer First Name]]," ",Merge[[#This Row],[Customer Last Name]])</f>
        <v>Ailani Anderson</v>
      </c>
      <c r="D677" t="s">
        <v>429</v>
      </c>
      <c r="E677">
        <v>1903</v>
      </c>
      <c r="F677" t="s">
        <v>31</v>
      </c>
      <c r="G677" s="1">
        <v>45451</v>
      </c>
      <c r="H677">
        <v>2</v>
      </c>
      <c r="I677" t="s">
        <v>52</v>
      </c>
      <c r="J677" t="s">
        <v>53</v>
      </c>
      <c r="K677">
        <v>0.1</v>
      </c>
      <c r="L677">
        <v>126.60000000000001</v>
      </c>
      <c r="M677">
        <v>1266</v>
      </c>
      <c r="N677">
        <v>1139.4000000000001</v>
      </c>
      <c r="O677" t="s">
        <v>34</v>
      </c>
      <c r="P677">
        <v>1903</v>
      </c>
      <c r="Q677" t="s">
        <v>31</v>
      </c>
      <c r="R677" s="1">
        <v>45451</v>
      </c>
      <c r="S677">
        <v>2</v>
      </c>
      <c r="T677" t="s">
        <v>52</v>
      </c>
      <c r="U677" t="s">
        <v>53</v>
      </c>
      <c r="V677" t="s">
        <v>2595</v>
      </c>
      <c r="W677" t="s">
        <v>1250</v>
      </c>
      <c r="X677">
        <v>4217</v>
      </c>
      <c r="Y677">
        <v>250</v>
      </c>
      <c r="Z677">
        <v>500</v>
      </c>
      <c r="AA677" t="s">
        <v>2596</v>
      </c>
    </row>
    <row r="678" spans="1:27" x14ac:dyDescent="0.2">
      <c r="A678">
        <v>3672</v>
      </c>
      <c r="B678" t="s">
        <v>284</v>
      </c>
      <c r="C678" t="str">
        <f>_xlfn.CONCAT(Merge[[#This Row],[Customer First Name]]," ",Merge[[#This Row],[Customer Last Name]])</f>
        <v>Ariana Griffin</v>
      </c>
      <c r="D678" t="s">
        <v>965</v>
      </c>
      <c r="E678">
        <v>1904</v>
      </c>
      <c r="F678" t="s">
        <v>76</v>
      </c>
      <c r="G678" s="1">
        <v>45471</v>
      </c>
      <c r="H678">
        <v>3</v>
      </c>
      <c r="I678" t="s">
        <v>52</v>
      </c>
      <c r="J678" t="s">
        <v>47</v>
      </c>
      <c r="K678">
        <v>0.25</v>
      </c>
      <c r="L678">
        <v>53</v>
      </c>
      <c r="M678">
        <v>212</v>
      </c>
      <c r="N678">
        <v>159</v>
      </c>
      <c r="O678" t="s">
        <v>54</v>
      </c>
      <c r="P678">
        <v>1904</v>
      </c>
      <c r="Q678" t="s">
        <v>76</v>
      </c>
      <c r="R678" s="1">
        <v>45471</v>
      </c>
      <c r="S678">
        <v>3</v>
      </c>
      <c r="T678" t="s">
        <v>52</v>
      </c>
      <c r="U678" t="s">
        <v>47</v>
      </c>
      <c r="V678" t="s">
        <v>2597</v>
      </c>
      <c r="W678" t="s">
        <v>1247</v>
      </c>
      <c r="X678">
        <v>3350</v>
      </c>
      <c r="Y678">
        <v>1200</v>
      </c>
      <c r="Z678">
        <v>3600</v>
      </c>
      <c r="AA678" t="s">
        <v>2598</v>
      </c>
    </row>
    <row r="679" spans="1:27" x14ac:dyDescent="0.2">
      <c r="A679">
        <v>3673</v>
      </c>
      <c r="B679" t="s">
        <v>844</v>
      </c>
      <c r="C679" t="str">
        <f>_xlfn.CONCAT(Merge[[#This Row],[Customer First Name]]," ",Merge[[#This Row],[Customer Last Name]])</f>
        <v>Warren Wheeler</v>
      </c>
      <c r="D679" t="s">
        <v>966</v>
      </c>
      <c r="E679">
        <v>1905</v>
      </c>
      <c r="F679" t="s">
        <v>76</v>
      </c>
      <c r="G679" s="1">
        <v>45543</v>
      </c>
      <c r="H679">
        <v>1</v>
      </c>
      <c r="I679" t="s">
        <v>52</v>
      </c>
      <c r="J679" t="s">
        <v>39</v>
      </c>
      <c r="K679">
        <v>0.25</v>
      </c>
      <c r="L679">
        <v>429.25</v>
      </c>
      <c r="M679">
        <v>1717</v>
      </c>
      <c r="N679">
        <v>1287.75</v>
      </c>
      <c r="O679" t="s">
        <v>48</v>
      </c>
      <c r="P679">
        <v>1905</v>
      </c>
      <c r="Q679" t="s">
        <v>76</v>
      </c>
      <c r="R679" s="1">
        <v>45543</v>
      </c>
      <c r="S679">
        <v>2</v>
      </c>
      <c r="T679" t="s">
        <v>52</v>
      </c>
      <c r="U679" t="s">
        <v>39</v>
      </c>
      <c r="V679" t="s">
        <v>2599</v>
      </c>
      <c r="W679" t="s">
        <v>1241</v>
      </c>
      <c r="X679">
        <v>2600</v>
      </c>
      <c r="Y679">
        <v>1200</v>
      </c>
      <c r="Z679">
        <v>2400</v>
      </c>
      <c r="AA679" t="s">
        <v>2600</v>
      </c>
    </row>
    <row r="680" spans="1:27" x14ac:dyDescent="0.2">
      <c r="A680">
        <v>3674</v>
      </c>
      <c r="B680" t="s">
        <v>767</v>
      </c>
      <c r="C680" t="str">
        <f>_xlfn.CONCAT(Merge[[#This Row],[Customer First Name]]," ",Merge[[#This Row],[Customer Last Name]])</f>
        <v>Shiloh Enriquez</v>
      </c>
      <c r="D680" t="s">
        <v>116</v>
      </c>
      <c r="E680">
        <v>1906</v>
      </c>
      <c r="F680" t="s">
        <v>76</v>
      </c>
      <c r="G680" s="1">
        <v>45503</v>
      </c>
      <c r="H680">
        <v>2</v>
      </c>
      <c r="I680" t="s">
        <v>38</v>
      </c>
      <c r="J680" t="s">
        <v>47</v>
      </c>
      <c r="K680">
        <v>0.25</v>
      </c>
      <c r="L680">
        <v>158</v>
      </c>
      <c r="M680">
        <v>632</v>
      </c>
      <c r="N680">
        <v>474</v>
      </c>
      <c r="O680" t="s">
        <v>54</v>
      </c>
      <c r="P680">
        <v>1906</v>
      </c>
      <c r="Q680" t="s">
        <v>76</v>
      </c>
      <c r="R680" s="1">
        <v>45503</v>
      </c>
      <c r="S680">
        <v>1</v>
      </c>
      <c r="T680" t="s">
        <v>38</v>
      </c>
      <c r="U680" t="s">
        <v>47</v>
      </c>
      <c r="V680" t="s">
        <v>2601</v>
      </c>
      <c r="W680" t="s">
        <v>1256</v>
      </c>
      <c r="X680">
        <v>3220</v>
      </c>
      <c r="Y680">
        <v>1200</v>
      </c>
      <c r="Z680">
        <v>1200</v>
      </c>
      <c r="AA680" t="s">
        <v>2602</v>
      </c>
    </row>
    <row r="681" spans="1:27" x14ac:dyDescent="0.2">
      <c r="A681">
        <v>3675</v>
      </c>
      <c r="B681" t="s">
        <v>967</v>
      </c>
      <c r="C681" t="str">
        <f>_xlfn.CONCAT(Merge[[#This Row],[Customer First Name]]," ",Merge[[#This Row],[Customer Last Name]])</f>
        <v>Saige Walker</v>
      </c>
      <c r="D681" t="s">
        <v>968</v>
      </c>
      <c r="E681">
        <v>1907</v>
      </c>
      <c r="F681" t="s">
        <v>92</v>
      </c>
      <c r="G681" s="1">
        <v>45507</v>
      </c>
      <c r="H681">
        <v>1</v>
      </c>
      <c r="I681" t="s">
        <v>32</v>
      </c>
      <c r="J681" t="s">
        <v>81</v>
      </c>
      <c r="K681">
        <v>0.3</v>
      </c>
      <c r="L681">
        <v>473.09999999999997</v>
      </c>
      <c r="M681">
        <v>1577</v>
      </c>
      <c r="N681">
        <v>1103.9000000000001</v>
      </c>
      <c r="O681" t="s">
        <v>34</v>
      </c>
      <c r="P681">
        <v>1907</v>
      </c>
      <c r="Q681" t="s">
        <v>92</v>
      </c>
      <c r="R681" s="1">
        <v>45507</v>
      </c>
      <c r="S681">
        <v>1</v>
      </c>
      <c r="T681" t="s">
        <v>32</v>
      </c>
      <c r="U681" t="s">
        <v>81</v>
      </c>
      <c r="V681" t="s">
        <v>2603</v>
      </c>
      <c r="W681" t="s">
        <v>1280</v>
      </c>
      <c r="X681">
        <v>800</v>
      </c>
      <c r="Y681">
        <v>600</v>
      </c>
      <c r="Z681">
        <v>600</v>
      </c>
      <c r="AA681" t="s">
        <v>2604</v>
      </c>
    </row>
    <row r="682" spans="1:27" x14ac:dyDescent="0.2">
      <c r="A682">
        <v>3676</v>
      </c>
      <c r="B682" t="s">
        <v>325</v>
      </c>
      <c r="C682" t="str">
        <f>_xlfn.CONCAT(Merge[[#This Row],[Customer First Name]]," ",Merge[[#This Row],[Customer Last Name]])</f>
        <v>Kaleb Solis</v>
      </c>
      <c r="D682" t="s">
        <v>529</v>
      </c>
      <c r="E682">
        <v>1908</v>
      </c>
      <c r="F682" t="s">
        <v>31</v>
      </c>
      <c r="G682" s="1">
        <v>45524</v>
      </c>
      <c r="H682">
        <v>3</v>
      </c>
      <c r="I682" t="s">
        <v>32</v>
      </c>
      <c r="J682" t="s">
        <v>64</v>
      </c>
      <c r="K682">
        <v>0.1</v>
      </c>
      <c r="L682">
        <v>11.600000000000001</v>
      </c>
      <c r="M682">
        <v>116</v>
      </c>
      <c r="N682">
        <v>104.4</v>
      </c>
      <c r="O682" t="s">
        <v>44</v>
      </c>
      <c r="P682">
        <v>1908</v>
      </c>
      <c r="Q682" t="s">
        <v>31</v>
      </c>
      <c r="R682" s="1">
        <v>45524</v>
      </c>
      <c r="S682">
        <v>2</v>
      </c>
      <c r="T682" t="s">
        <v>32</v>
      </c>
      <c r="U682" t="s">
        <v>64</v>
      </c>
      <c r="V682" t="s">
        <v>2605</v>
      </c>
      <c r="W682" t="s">
        <v>1400</v>
      </c>
      <c r="X682">
        <v>7310</v>
      </c>
      <c r="Y682">
        <v>250</v>
      </c>
      <c r="Z682">
        <v>500</v>
      </c>
      <c r="AA682" t="s">
        <v>2606</v>
      </c>
    </row>
    <row r="683" spans="1:27" x14ac:dyDescent="0.2">
      <c r="A683">
        <v>3677</v>
      </c>
      <c r="B683" t="s">
        <v>72</v>
      </c>
      <c r="C683" t="str">
        <f>_xlfn.CONCAT(Merge[[#This Row],[Customer First Name]]," ",Merge[[#This Row],[Customer Last Name]])</f>
        <v>London Holt</v>
      </c>
      <c r="D683" t="s">
        <v>331</v>
      </c>
      <c r="E683">
        <v>1909</v>
      </c>
      <c r="F683" t="s">
        <v>92</v>
      </c>
      <c r="G683" s="1">
        <v>45342</v>
      </c>
      <c r="H683">
        <v>2</v>
      </c>
      <c r="I683" t="s">
        <v>52</v>
      </c>
      <c r="J683" t="s">
        <v>57</v>
      </c>
      <c r="K683">
        <v>0.3</v>
      </c>
      <c r="L683">
        <v>459.59999999999997</v>
      </c>
      <c r="M683">
        <v>1532</v>
      </c>
      <c r="N683">
        <v>1072.4000000000001</v>
      </c>
      <c r="O683" t="s">
        <v>34</v>
      </c>
      <c r="P683">
        <v>1909</v>
      </c>
      <c r="Q683" t="s">
        <v>92</v>
      </c>
      <c r="R683" s="1">
        <v>45342</v>
      </c>
      <c r="S683">
        <v>2</v>
      </c>
      <c r="T683" t="s">
        <v>52</v>
      </c>
      <c r="U683" t="s">
        <v>57</v>
      </c>
      <c r="V683" t="s">
        <v>2607</v>
      </c>
      <c r="W683" t="s">
        <v>1095</v>
      </c>
      <c r="X683">
        <v>5000</v>
      </c>
      <c r="Y683">
        <v>600</v>
      </c>
      <c r="Z683">
        <v>1200</v>
      </c>
      <c r="AA683" t="s">
        <v>2608</v>
      </c>
    </row>
    <row r="684" spans="1:27" x14ac:dyDescent="0.2">
      <c r="A684">
        <v>3678</v>
      </c>
      <c r="B684" t="s">
        <v>969</v>
      </c>
      <c r="C684" t="str">
        <f>_xlfn.CONCAT(Merge[[#This Row],[Customer First Name]]," ",Merge[[#This Row],[Customer Last Name]])</f>
        <v>Genesis French</v>
      </c>
      <c r="D684" t="s">
        <v>522</v>
      </c>
      <c r="E684">
        <v>1910</v>
      </c>
      <c r="F684" t="s">
        <v>76</v>
      </c>
      <c r="G684" s="1">
        <v>45523</v>
      </c>
      <c r="H684">
        <v>2</v>
      </c>
      <c r="I684" t="s">
        <v>52</v>
      </c>
      <c r="J684" t="s">
        <v>57</v>
      </c>
      <c r="K684">
        <v>0.25</v>
      </c>
      <c r="L684">
        <v>189.75</v>
      </c>
      <c r="M684">
        <v>759</v>
      </c>
      <c r="N684">
        <v>569.25</v>
      </c>
      <c r="O684" t="s">
        <v>34</v>
      </c>
      <c r="P684">
        <v>1910</v>
      </c>
      <c r="Q684" t="s">
        <v>76</v>
      </c>
      <c r="R684" s="1">
        <v>45523</v>
      </c>
      <c r="S684">
        <v>2</v>
      </c>
      <c r="T684" t="s">
        <v>52</v>
      </c>
      <c r="U684" t="s">
        <v>57</v>
      </c>
      <c r="V684" t="s">
        <v>2609</v>
      </c>
      <c r="W684" t="s">
        <v>1350</v>
      </c>
      <c r="X684">
        <v>5600</v>
      </c>
      <c r="Y684">
        <v>1200</v>
      </c>
      <c r="Z684">
        <v>2400</v>
      </c>
      <c r="AA684" t="s">
        <v>2610</v>
      </c>
    </row>
    <row r="685" spans="1:27" x14ac:dyDescent="0.2">
      <c r="A685">
        <v>3679</v>
      </c>
      <c r="B685" t="s">
        <v>106</v>
      </c>
      <c r="C685" t="str">
        <f>_xlfn.CONCAT(Merge[[#This Row],[Customer First Name]]," ",Merge[[#This Row],[Customer Last Name]])</f>
        <v>Sonny Arias</v>
      </c>
      <c r="D685" t="s">
        <v>943</v>
      </c>
      <c r="E685">
        <v>1911</v>
      </c>
      <c r="F685" t="s">
        <v>51</v>
      </c>
      <c r="G685" s="1">
        <v>45364</v>
      </c>
      <c r="H685">
        <v>1</v>
      </c>
      <c r="I685" t="s">
        <v>71</v>
      </c>
      <c r="J685" t="s">
        <v>64</v>
      </c>
      <c r="K685">
        <v>0.2</v>
      </c>
      <c r="L685">
        <v>275.40000000000003</v>
      </c>
      <c r="M685">
        <v>1377</v>
      </c>
      <c r="N685">
        <v>1101.5999999999999</v>
      </c>
      <c r="O685" t="s">
        <v>114</v>
      </c>
      <c r="P685">
        <v>1911</v>
      </c>
      <c r="Q685" t="s">
        <v>51</v>
      </c>
      <c r="R685" s="1">
        <v>45364</v>
      </c>
      <c r="S685">
        <v>2</v>
      </c>
      <c r="T685" t="s">
        <v>71</v>
      </c>
      <c r="U685" t="s">
        <v>64</v>
      </c>
      <c r="V685" t="s">
        <v>2611</v>
      </c>
      <c r="W685" t="s">
        <v>1400</v>
      </c>
      <c r="X685">
        <v>7310</v>
      </c>
      <c r="Y685">
        <v>250</v>
      </c>
      <c r="Z685">
        <v>500</v>
      </c>
      <c r="AA685" t="s">
        <v>2612</v>
      </c>
    </row>
    <row r="686" spans="1:27" x14ac:dyDescent="0.2">
      <c r="A686">
        <v>3680</v>
      </c>
      <c r="B686" t="s">
        <v>477</v>
      </c>
      <c r="C686" t="str">
        <f>_xlfn.CONCAT(Merge[[#This Row],[Customer First Name]]," ",Merge[[#This Row],[Customer Last Name]])</f>
        <v>Sutton Frazier</v>
      </c>
      <c r="D686" t="s">
        <v>951</v>
      </c>
      <c r="E686">
        <v>1912</v>
      </c>
      <c r="F686" t="s">
        <v>76</v>
      </c>
      <c r="G686" s="1">
        <v>45376</v>
      </c>
      <c r="H686">
        <v>3</v>
      </c>
      <c r="I686" t="s">
        <v>71</v>
      </c>
      <c r="J686" t="s">
        <v>81</v>
      </c>
      <c r="K686">
        <v>0.25</v>
      </c>
      <c r="L686">
        <v>88</v>
      </c>
      <c r="M686">
        <v>352</v>
      </c>
      <c r="N686">
        <v>264</v>
      </c>
      <c r="O686" t="s">
        <v>114</v>
      </c>
      <c r="P686">
        <v>1912</v>
      </c>
      <c r="Q686" t="s">
        <v>76</v>
      </c>
      <c r="R686" s="1">
        <v>45376</v>
      </c>
      <c r="S686">
        <v>2</v>
      </c>
      <c r="T686" t="s">
        <v>71</v>
      </c>
      <c r="U686" t="s">
        <v>81</v>
      </c>
      <c r="V686" t="s">
        <v>2613</v>
      </c>
      <c r="W686" t="s">
        <v>1361</v>
      </c>
      <c r="X686">
        <v>870</v>
      </c>
      <c r="Y686">
        <v>1200</v>
      </c>
      <c r="Z686">
        <v>2400</v>
      </c>
      <c r="AA686" t="s">
        <v>2614</v>
      </c>
    </row>
    <row r="687" spans="1:27" x14ac:dyDescent="0.2">
      <c r="A687">
        <v>3681</v>
      </c>
      <c r="B687" t="s">
        <v>970</v>
      </c>
      <c r="C687" t="str">
        <f>_xlfn.CONCAT(Merge[[#This Row],[Customer First Name]]," ",Merge[[#This Row],[Customer Last Name]])</f>
        <v>Luke Hodge</v>
      </c>
      <c r="D687" t="s">
        <v>246</v>
      </c>
      <c r="E687">
        <v>1913</v>
      </c>
      <c r="F687" t="s">
        <v>76</v>
      </c>
      <c r="G687" s="1">
        <v>45498</v>
      </c>
      <c r="H687">
        <v>3</v>
      </c>
      <c r="I687" t="s">
        <v>32</v>
      </c>
      <c r="J687" t="s">
        <v>33</v>
      </c>
      <c r="K687">
        <v>0.25</v>
      </c>
      <c r="L687">
        <v>328</v>
      </c>
      <c r="M687">
        <v>1312</v>
      </c>
      <c r="N687">
        <v>984</v>
      </c>
      <c r="O687" t="s">
        <v>34</v>
      </c>
      <c r="P687">
        <v>1913</v>
      </c>
      <c r="Q687" t="s">
        <v>76</v>
      </c>
      <c r="R687" s="1">
        <v>45498</v>
      </c>
      <c r="S687">
        <v>1</v>
      </c>
      <c r="T687" t="s">
        <v>32</v>
      </c>
      <c r="U687" t="s">
        <v>33</v>
      </c>
      <c r="V687" t="s">
        <v>2615</v>
      </c>
      <c r="W687" t="s">
        <v>1302</v>
      </c>
      <c r="X687">
        <v>6000</v>
      </c>
      <c r="Y687">
        <v>1200</v>
      </c>
      <c r="Z687">
        <v>1200</v>
      </c>
      <c r="AA687" t="s">
        <v>2616</v>
      </c>
    </row>
    <row r="688" spans="1:27" x14ac:dyDescent="0.2">
      <c r="A688">
        <v>3682</v>
      </c>
      <c r="B688" t="s">
        <v>773</v>
      </c>
      <c r="C688" t="str">
        <f>_xlfn.CONCAT(Merge[[#This Row],[Customer First Name]]," ",Merge[[#This Row],[Customer Last Name]])</f>
        <v>Banks Richardson</v>
      </c>
      <c r="D688" t="s">
        <v>971</v>
      </c>
      <c r="E688">
        <v>1914</v>
      </c>
      <c r="F688" t="s">
        <v>31</v>
      </c>
      <c r="G688" s="1">
        <v>45439</v>
      </c>
      <c r="H688">
        <v>1</v>
      </c>
      <c r="I688" t="s">
        <v>38</v>
      </c>
      <c r="J688" t="s">
        <v>39</v>
      </c>
      <c r="K688">
        <v>0.1</v>
      </c>
      <c r="L688">
        <v>131.4</v>
      </c>
      <c r="M688">
        <v>1314</v>
      </c>
      <c r="N688">
        <v>1182.5999999999999</v>
      </c>
      <c r="O688" t="s">
        <v>44</v>
      </c>
      <c r="P688">
        <v>1914</v>
      </c>
      <c r="Q688" t="s">
        <v>31</v>
      </c>
      <c r="R688" s="1">
        <v>45439</v>
      </c>
      <c r="S688">
        <v>2</v>
      </c>
      <c r="T688" t="s">
        <v>38</v>
      </c>
      <c r="U688" t="s">
        <v>39</v>
      </c>
      <c r="V688" t="s">
        <v>2617</v>
      </c>
      <c r="W688" t="s">
        <v>1241</v>
      </c>
      <c r="X688">
        <v>2600</v>
      </c>
      <c r="Y688">
        <v>250</v>
      </c>
      <c r="Z688">
        <v>500</v>
      </c>
      <c r="AA688" t="s">
        <v>2618</v>
      </c>
    </row>
    <row r="689" spans="1:27" x14ac:dyDescent="0.2">
      <c r="A689">
        <v>3683</v>
      </c>
      <c r="B689" t="s">
        <v>972</v>
      </c>
      <c r="C689" t="str">
        <f>_xlfn.CONCAT(Merge[[#This Row],[Customer First Name]]," ",Merge[[#This Row],[Customer Last Name]])</f>
        <v>Shiloh Hudson</v>
      </c>
      <c r="D689" t="s">
        <v>116</v>
      </c>
      <c r="E689">
        <v>1915</v>
      </c>
      <c r="F689" t="s">
        <v>76</v>
      </c>
      <c r="G689" s="1">
        <v>45459</v>
      </c>
      <c r="H689">
        <v>1</v>
      </c>
      <c r="I689" t="s">
        <v>32</v>
      </c>
      <c r="J689" t="s">
        <v>53</v>
      </c>
      <c r="K689">
        <v>0.25</v>
      </c>
      <c r="L689">
        <v>180</v>
      </c>
      <c r="M689">
        <v>720</v>
      </c>
      <c r="N689">
        <v>540</v>
      </c>
      <c r="O689" t="s">
        <v>34</v>
      </c>
      <c r="P689">
        <v>1915</v>
      </c>
      <c r="Q689" t="s">
        <v>76</v>
      </c>
      <c r="R689" s="1">
        <v>45459</v>
      </c>
      <c r="S689">
        <v>1</v>
      </c>
      <c r="T689" t="s">
        <v>32</v>
      </c>
      <c r="U689" t="s">
        <v>53</v>
      </c>
      <c r="V689" t="s">
        <v>2619</v>
      </c>
      <c r="W689" t="s">
        <v>1250</v>
      </c>
      <c r="X689">
        <v>4217</v>
      </c>
      <c r="Y689">
        <v>1200</v>
      </c>
      <c r="Z689">
        <v>1200</v>
      </c>
      <c r="AA689" t="s">
        <v>2620</v>
      </c>
    </row>
    <row r="690" spans="1:27" x14ac:dyDescent="0.2">
      <c r="A690">
        <v>3684</v>
      </c>
      <c r="B690" t="s">
        <v>203</v>
      </c>
      <c r="C690" t="str">
        <f>_xlfn.CONCAT(Merge[[#This Row],[Customer First Name]]," ",Merge[[#This Row],[Customer Last Name]])</f>
        <v>Aisha Cooper</v>
      </c>
      <c r="D690" t="s">
        <v>973</v>
      </c>
      <c r="E690">
        <v>1916</v>
      </c>
      <c r="F690" t="s">
        <v>31</v>
      </c>
      <c r="G690" s="1">
        <v>45480</v>
      </c>
      <c r="H690">
        <v>1</v>
      </c>
      <c r="I690" t="s">
        <v>32</v>
      </c>
      <c r="J690" t="s">
        <v>64</v>
      </c>
      <c r="K690">
        <v>0.1</v>
      </c>
      <c r="L690">
        <v>36.200000000000003</v>
      </c>
      <c r="M690">
        <v>362</v>
      </c>
      <c r="N690">
        <v>325.8</v>
      </c>
      <c r="O690" t="s">
        <v>34</v>
      </c>
      <c r="P690">
        <v>1916</v>
      </c>
      <c r="Q690" t="s">
        <v>31</v>
      </c>
      <c r="R690" s="1">
        <v>45480</v>
      </c>
      <c r="S690">
        <v>3</v>
      </c>
      <c r="T690" t="s">
        <v>32</v>
      </c>
      <c r="U690" t="s">
        <v>64</v>
      </c>
      <c r="V690" t="s">
        <v>2621</v>
      </c>
      <c r="W690" t="s">
        <v>1265</v>
      </c>
      <c r="X690">
        <v>7000</v>
      </c>
      <c r="Y690">
        <v>250</v>
      </c>
      <c r="Z690">
        <v>750</v>
      </c>
      <c r="AA690" t="s">
        <v>2622</v>
      </c>
    </row>
    <row r="691" spans="1:27" x14ac:dyDescent="0.2">
      <c r="A691">
        <v>3685</v>
      </c>
      <c r="B691" t="s">
        <v>175</v>
      </c>
      <c r="C691" t="str">
        <f>_xlfn.CONCAT(Merge[[#This Row],[Customer First Name]]," ",Merge[[#This Row],[Customer Last Name]])</f>
        <v>Jacob Fleming</v>
      </c>
      <c r="D691" t="s">
        <v>974</v>
      </c>
      <c r="E691">
        <v>1917</v>
      </c>
      <c r="F691" t="s">
        <v>76</v>
      </c>
      <c r="G691" s="1">
        <v>45383</v>
      </c>
      <c r="H691">
        <v>2</v>
      </c>
      <c r="I691" t="s">
        <v>52</v>
      </c>
      <c r="J691" t="s">
        <v>81</v>
      </c>
      <c r="K691">
        <v>0.25</v>
      </c>
      <c r="L691">
        <v>200.5</v>
      </c>
      <c r="M691">
        <v>802</v>
      </c>
      <c r="N691">
        <v>601.5</v>
      </c>
      <c r="O691" t="s">
        <v>114</v>
      </c>
      <c r="P691">
        <v>1917</v>
      </c>
      <c r="Q691" t="s">
        <v>76</v>
      </c>
      <c r="R691" s="1">
        <v>45383</v>
      </c>
      <c r="S691">
        <v>2</v>
      </c>
      <c r="T691" t="s">
        <v>52</v>
      </c>
      <c r="U691" t="s">
        <v>81</v>
      </c>
      <c r="V691" t="s">
        <v>2623</v>
      </c>
      <c r="W691" t="s">
        <v>1361</v>
      </c>
      <c r="X691">
        <v>870</v>
      </c>
      <c r="Y691">
        <v>1200</v>
      </c>
      <c r="Z691">
        <v>2400</v>
      </c>
      <c r="AA691" t="s">
        <v>2624</v>
      </c>
    </row>
    <row r="692" spans="1:27" x14ac:dyDescent="0.2">
      <c r="A692">
        <v>3686</v>
      </c>
      <c r="B692" t="s">
        <v>975</v>
      </c>
      <c r="C692" t="str">
        <f>_xlfn.CONCAT(Merge[[#This Row],[Customer First Name]]," ",Merge[[#This Row],[Customer Last Name]])</f>
        <v>Navy Velez</v>
      </c>
      <c r="D692" t="s">
        <v>976</v>
      </c>
      <c r="E692">
        <v>1918</v>
      </c>
      <c r="F692" t="s">
        <v>37</v>
      </c>
      <c r="G692" s="1">
        <v>45389</v>
      </c>
      <c r="H692">
        <v>3</v>
      </c>
      <c r="I692" t="s">
        <v>71</v>
      </c>
      <c r="J692" t="s">
        <v>33</v>
      </c>
      <c r="K692">
        <v>0.3</v>
      </c>
      <c r="L692">
        <v>112.5</v>
      </c>
      <c r="M692">
        <v>375</v>
      </c>
      <c r="N692">
        <v>262.5</v>
      </c>
      <c r="O692" t="s">
        <v>48</v>
      </c>
      <c r="P692">
        <v>1918</v>
      </c>
      <c r="Q692" t="s">
        <v>37</v>
      </c>
      <c r="R692" s="1">
        <v>45389</v>
      </c>
      <c r="S692">
        <v>2</v>
      </c>
      <c r="T692" t="s">
        <v>71</v>
      </c>
      <c r="U692" t="s">
        <v>33</v>
      </c>
      <c r="V692" t="s">
        <v>2625</v>
      </c>
      <c r="W692" t="s">
        <v>1259</v>
      </c>
      <c r="X692">
        <v>6160</v>
      </c>
      <c r="Y692">
        <v>800</v>
      </c>
      <c r="Z692">
        <v>1600</v>
      </c>
      <c r="AA692" t="s">
        <v>2626</v>
      </c>
    </row>
    <row r="693" spans="1:27" x14ac:dyDescent="0.2">
      <c r="A693">
        <v>3687</v>
      </c>
      <c r="B693" t="s">
        <v>977</v>
      </c>
      <c r="C693" t="str">
        <f>_xlfn.CONCAT(Merge[[#This Row],[Customer First Name]]," ",Merge[[#This Row],[Customer Last Name]])</f>
        <v>Lilly Schultz</v>
      </c>
      <c r="D693" t="s">
        <v>978</v>
      </c>
      <c r="E693">
        <v>1919</v>
      </c>
      <c r="F693" t="s">
        <v>42</v>
      </c>
      <c r="G693" s="1">
        <v>45422</v>
      </c>
      <c r="H693">
        <v>2</v>
      </c>
      <c r="I693" t="s">
        <v>52</v>
      </c>
      <c r="J693" t="s">
        <v>39</v>
      </c>
      <c r="K693">
        <v>0.25</v>
      </c>
      <c r="L693">
        <v>95.75</v>
      </c>
      <c r="M693">
        <v>383</v>
      </c>
      <c r="N693">
        <v>287.25</v>
      </c>
      <c r="O693" t="s">
        <v>34</v>
      </c>
      <c r="P693">
        <v>1919</v>
      </c>
      <c r="Q693" t="s">
        <v>42</v>
      </c>
      <c r="R693" s="1">
        <v>45422</v>
      </c>
      <c r="S693">
        <v>3</v>
      </c>
      <c r="T693" t="s">
        <v>52</v>
      </c>
      <c r="U693" t="s">
        <v>39</v>
      </c>
      <c r="V693" t="s">
        <v>2627</v>
      </c>
      <c r="W693" t="s">
        <v>1241</v>
      </c>
      <c r="X693">
        <v>2600</v>
      </c>
      <c r="Y693">
        <v>300</v>
      </c>
      <c r="Z693">
        <v>900</v>
      </c>
      <c r="AA693" t="s">
        <v>2628</v>
      </c>
    </row>
    <row r="694" spans="1:27" x14ac:dyDescent="0.2">
      <c r="A694">
        <v>3688</v>
      </c>
      <c r="B694" t="s">
        <v>979</v>
      </c>
      <c r="C694" t="str">
        <f>_xlfn.CONCAT(Merge[[#This Row],[Customer First Name]]," ",Merge[[#This Row],[Customer Last Name]])</f>
        <v>Evelyn Rhodes</v>
      </c>
      <c r="D694" t="s">
        <v>980</v>
      </c>
      <c r="E694">
        <v>1920</v>
      </c>
      <c r="F694" t="s">
        <v>37</v>
      </c>
      <c r="G694" s="1">
        <v>45383</v>
      </c>
      <c r="H694">
        <v>3</v>
      </c>
      <c r="I694" t="s">
        <v>52</v>
      </c>
      <c r="J694" t="s">
        <v>81</v>
      </c>
      <c r="K694">
        <v>0.3</v>
      </c>
      <c r="L694">
        <v>241.79999999999998</v>
      </c>
      <c r="M694">
        <v>806</v>
      </c>
      <c r="N694">
        <v>564.20000000000005</v>
      </c>
      <c r="O694" t="s">
        <v>48</v>
      </c>
      <c r="P694">
        <v>1920</v>
      </c>
      <c r="Q694" t="s">
        <v>37</v>
      </c>
      <c r="R694" s="1">
        <v>45383</v>
      </c>
      <c r="S694">
        <v>1</v>
      </c>
      <c r="T694" t="s">
        <v>52</v>
      </c>
      <c r="U694" t="s">
        <v>81</v>
      </c>
      <c r="V694" t="s">
        <v>2629</v>
      </c>
      <c r="W694" t="s">
        <v>1361</v>
      </c>
      <c r="X694">
        <v>870</v>
      </c>
      <c r="Y694">
        <v>800</v>
      </c>
      <c r="Z694">
        <v>800</v>
      </c>
      <c r="AA694" t="s">
        <v>2630</v>
      </c>
    </row>
    <row r="695" spans="1:27" x14ac:dyDescent="0.2">
      <c r="A695">
        <v>3689</v>
      </c>
      <c r="B695" t="s">
        <v>371</v>
      </c>
      <c r="C695" t="str">
        <f>_xlfn.CONCAT(Merge[[#This Row],[Customer First Name]]," ",Merge[[#This Row],[Customer Last Name]])</f>
        <v>Arya Roy</v>
      </c>
      <c r="D695" t="s">
        <v>981</v>
      </c>
      <c r="E695">
        <v>1921</v>
      </c>
      <c r="F695" t="s">
        <v>51</v>
      </c>
      <c r="G695" s="1">
        <v>45577</v>
      </c>
      <c r="H695">
        <v>2</v>
      </c>
      <c r="I695" t="s">
        <v>38</v>
      </c>
      <c r="J695" t="s">
        <v>33</v>
      </c>
      <c r="K695">
        <v>0.2</v>
      </c>
      <c r="L695">
        <v>151.6</v>
      </c>
      <c r="M695">
        <v>758</v>
      </c>
      <c r="N695">
        <v>606.4</v>
      </c>
      <c r="O695" t="s">
        <v>48</v>
      </c>
      <c r="P695">
        <v>1921</v>
      </c>
      <c r="Q695" t="s">
        <v>51</v>
      </c>
      <c r="R695" s="1">
        <v>45577</v>
      </c>
      <c r="S695">
        <v>2</v>
      </c>
      <c r="T695" t="s">
        <v>38</v>
      </c>
      <c r="U695" t="s">
        <v>33</v>
      </c>
      <c r="V695" t="s">
        <v>2631</v>
      </c>
      <c r="W695" t="s">
        <v>1302</v>
      </c>
      <c r="X695">
        <v>6000</v>
      </c>
      <c r="Y695">
        <v>250</v>
      </c>
      <c r="Z695">
        <v>500</v>
      </c>
      <c r="AA695" t="s">
        <v>2632</v>
      </c>
    </row>
    <row r="696" spans="1:27" x14ac:dyDescent="0.2">
      <c r="A696">
        <v>3690</v>
      </c>
      <c r="B696" t="s">
        <v>634</v>
      </c>
      <c r="C696" t="str">
        <f>_xlfn.CONCAT(Merge[[#This Row],[Customer First Name]]," ",Merge[[#This Row],[Customer Last Name]])</f>
        <v>Fernando Bernal</v>
      </c>
      <c r="D696" t="s">
        <v>442</v>
      </c>
      <c r="E696">
        <v>1922</v>
      </c>
      <c r="F696" t="s">
        <v>92</v>
      </c>
      <c r="G696" s="1">
        <v>45607</v>
      </c>
      <c r="H696">
        <v>1</v>
      </c>
      <c r="I696" t="s">
        <v>32</v>
      </c>
      <c r="J696" t="s">
        <v>57</v>
      </c>
      <c r="K696">
        <v>0.3</v>
      </c>
      <c r="L696">
        <v>72.3</v>
      </c>
      <c r="M696">
        <v>241</v>
      </c>
      <c r="N696">
        <v>168.7</v>
      </c>
      <c r="O696" t="s">
        <v>114</v>
      </c>
      <c r="P696">
        <v>1922</v>
      </c>
      <c r="Q696" t="s">
        <v>92</v>
      </c>
      <c r="R696" s="1">
        <v>45607</v>
      </c>
      <c r="S696">
        <v>1</v>
      </c>
      <c r="T696" t="s">
        <v>32</v>
      </c>
      <c r="U696" t="s">
        <v>57</v>
      </c>
      <c r="V696" t="s">
        <v>2633</v>
      </c>
      <c r="W696" t="s">
        <v>1350</v>
      </c>
      <c r="X696">
        <v>5600</v>
      </c>
      <c r="Y696">
        <v>600</v>
      </c>
      <c r="Z696">
        <v>600</v>
      </c>
      <c r="AA696" t="s">
        <v>2634</v>
      </c>
    </row>
    <row r="697" spans="1:27" x14ac:dyDescent="0.2">
      <c r="A697">
        <v>3691</v>
      </c>
      <c r="B697" t="s">
        <v>982</v>
      </c>
      <c r="C697" t="str">
        <f>_xlfn.CONCAT(Merge[[#This Row],[Customer First Name]]," ",Merge[[#This Row],[Customer Last Name]])</f>
        <v>Sophia Cantrell</v>
      </c>
      <c r="D697" t="s">
        <v>983</v>
      </c>
      <c r="E697">
        <v>1923</v>
      </c>
      <c r="F697" t="s">
        <v>92</v>
      </c>
      <c r="G697" s="1">
        <v>45338</v>
      </c>
      <c r="H697">
        <v>3</v>
      </c>
      <c r="I697" t="s">
        <v>38</v>
      </c>
      <c r="J697" t="s">
        <v>64</v>
      </c>
      <c r="K697">
        <v>0.3</v>
      </c>
      <c r="L697">
        <v>12</v>
      </c>
      <c r="M697">
        <v>40</v>
      </c>
      <c r="N697">
        <v>28</v>
      </c>
      <c r="O697" t="s">
        <v>34</v>
      </c>
      <c r="P697">
        <v>1923</v>
      </c>
      <c r="Q697" t="s">
        <v>92</v>
      </c>
      <c r="R697" s="1">
        <v>45338</v>
      </c>
      <c r="S697">
        <v>3</v>
      </c>
      <c r="T697" t="s">
        <v>38</v>
      </c>
      <c r="U697" t="s">
        <v>64</v>
      </c>
      <c r="V697" t="s">
        <v>2635</v>
      </c>
      <c r="W697" t="s">
        <v>1400</v>
      </c>
      <c r="X697">
        <v>7310</v>
      </c>
      <c r="Y697">
        <v>600</v>
      </c>
      <c r="Z697">
        <v>1800</v>
      </c>
      <c r="AA697" t="s">
        <v>2636</v>
      </c>
    </row>
    <row r="698" spans="1:27" x14ac:dyDescent="0.2">
      <c r="A698">
        <v>3692</v>
      </c>
      <c r="B698" t="s">
        <v>72</v>
      </c>
      <c r="C698" t="str">
        <f>_xlfn.CONCAT(Merge[[#This Row],[Customer First Name]]," ",Merge[[#This Row],[Customer Last Name]])</f>
        <v>Rebecca Holt</v>
      </c>
      <c r="D698" t="s">
        <v>621</v>
      </c>
      <c r="E698">
        <v>1924</v>
      </c>
      <c r="F698" t="s">
        <v>76</v>
      </c>
      <c r="G698" s="1">
        <v>45326</v>
      </c>
      <c r="H698">
        <v>2</v>
      </c>
      <c r="I698" t="s">
        <v>52</v>
      </c>
      <c r="J698" t="s">
        <v>47</v>
      </c>
      <c r="K698">
        <v>0.25</v>
      </c>
      <c r="L698">
        <v>386.75</v>
      </c>
      <c r="M698">
        <v>1547</v>
      </c>
      <c r="N698">
        <v>1160.25</v>
      </c>
      <c r="O698" t="s">
        <v>54</v>
      </c>
      <c r="P698">
        <v>1924</v>
      </c>
      <c r="Q698" t="s">
        <v>76</v>
      </c>
      <c r="R698" s="1">
        <v>45326</v>
      </c>
      <c r="S698">
        <v>2</v>
      </c>
      <c r="T698" t="s">
        <v>52</v>
      </c>
      <c r="U698" t="s">
        <v>47</v>
      </c>
      <c r="V698" t="s">
        <v>2637</v>
      </c>
      <c r="W698" t="s">
        <v>1275</v>
      </c>
      <c r="X698">
        <v>3000</v>
      </c>
      <c r="Y698">
        <v>1200</v>
      </c>
      <c r="Z698">
        <v>2400</v>
      </c>
      <c r="AA698" t="s">
        <v>2638</v>
      </c>
    </row>
    <row r="699" spans="1:27" x14ac:dyDescent="0.2">
      <c r="A699">
        <v>3693</v>
      </c>
      <c r="B699" t="s">
        <v>984</v>
      </c>
      <c r="C699" t="str">
        <f>_xlfn.CONCAT(Merge[[#This Row],[Customer First Name]]," ",Merge[[#This Row],[Customer Last Name]])</f>
        <v>George Quinn</v>
      </c>
      <c r="D699" t="s">
        <v>985</v>
      </c>
      <c r="E699">
        <v>1925</v>
      </c>
      <c r="F699" t="s">
        <v>51</v>
      </c>
      <c r="G699" s="1">
        <v>45622</v>
      </c>
      <c r="H699">
        <v>3</v>
      </c>
      <c r="I699" t="s">
        <v>52</v>
      </c>
      <c r="J699" t="s">
        <v>64</v>
      </c>
      <c r="K699">
        <v>0.2</v>
      </c>
      <c r="L699">
        <v>79</v>
      </c>
      <c r="M699">
        <v>395</v>
      </c>
      <c r="N699">
        <v>316</v>
      </c>
      <c r="O699" t="s">
        <v>34</v>
      </c>
      <c r="P699">
        <v>1925</v>
      </c>
      <c r="Q699" t="s">
        <v>51</v>
      </c>
      <c r="R699" s="1">
        <v>45622</v>
      </c>
      <c r="S699">
        <v>2</v>
      </c>
      <c r="T699" t="s">
        <v>52</v>
      </c>
      <c r="U699" t="s">
        <v>64</v>
      </c>
      <c r="V699" t="s">
        <v>2639</v>
      </c>
      <c r="W699" t="s">
        <v>1262</v>
      </c>
      <c r="X699">
        <v>7250</v>
      </c>
      <c r="Y699">
        <v>250</v>
      </c>
      <c r="Z699">
        <v>500</v>
      </c>
      <c r="AA699" t="s">
        <v>2640</v>
      </c>
    </row>
    <row r="700" spans="1:27" x14ac:dyDescent="0.2">
      <c r="A700">
        <v>3694</v>
      </c>
      <c r="B700" t="s">
        <v>420</v>
      </c>
      <c r="C700" t="str">
        <f>_xlfn.CONCAT(Merge[[#This Row],[Customer First Name]]," ",Merge[[#This Row],[Customer Last Name]])</f>
        <v>Rhett Stewart</v>
      </c>
      <c r="D700" t="s">
        <v>986</v>
      </c>
      <c r="E700">
        <v>1926</v>
      </c>
      <c r="F700" t="s">
        <v>92</v>
      </c>
      <c r="G700" s="1">
        <v>45618</v>
      </c>
      <c r="H700">
        <v>3</v>
      </c>
      <c r="I700" t="s">
        <v>32</v>
      </c>
      <c r="J700" t="s">
        <v>39</v>
      </c>
      <c r="K700">
        <v>0.3</v>
      </c>
      <c r="L700">
        <v>236.1</v>
      </c>
      <c r="M700">
        <v>787</v>
      </c>
      <c r="N700">
        <v>550.9</v>
      </c>
      <c r="O700" t="s">
        <v>34</v>
      </c>
      <c r="P700">
        <v>1926</v>
      </c>
      <c r="Q700" t="s">
        <v>92</v>
      </c>
      <c r="R700" s="1">
        <v>45618</v>
      </c>
      <c r="S700">
        <v>2</v>
      </c>
      <c r="T700" t="s">
        <v>32</v>
      </c>
      <c r="U700" t="s">
        <v>39</v>
      </c>
      <c r="V700" t="s">
        <v>2641</v>
      </c>
      <c r="W700" t="s">
        <v>1241</v>
      </c>
      <c r="X700">
        <v>2600</v>
      </c>
      <c r="Y700">
        <v>600</v>
      </c>
      <c r="Z700">
        <v>1200</v>
      </c>
      <c r="AA700" t="s">
        <v>2642</v>
      </c>
    </row>
    <row r="701" spans="1:27" x14ac:dyDescent="0.2">
      <c r="A701">
        <v>3695</v>
      </c>
      <c r="B701" t="s">
        <v>987</v>
      </c>
      <c r="C701" t="str">
        <f>_xlfn.CONCAT(Merge[[#This Row],[Customer First Name]]," ",Merge[[#This Row],[Customer Last Name]])</f>
        <v>Amelia Ward</v>
      </c>
      <c r="D701" t="s">
        <v>988</v>
      </c>
      <c r="E701">
        <v>1927</v>
      </c>
      <c r="F701" t="s">
        <v>76</v>
      </c>
      <c r="G701" s="1">
        <v>45423</v>
      </c>
      <c r="H701">
        <v>1</v>
      </c>
      <c r="I701" t="s">
        <v>52</v>
      </c>
      <c r="J701" t="s">
        <v>39</v>
      </c>
      <c r="K701">
        <v>0.25</v>
      </c>
      <c r="L701">
        <v>156.75</v>
      </c>
      <c r="M701">
        <v>627</v>
      </c>
      <c r="N701">
        <v>470.25</v>
      </c>
      <c r="O701" t="s">
        <v>54</v>
      </c>
      <c r="P701">
        <v>1927</v>
      </c>
      <c r="Q701" t="s">
        <v>76</v>
      </c>
      <c r="R701" s="1">
        <v>45423</v>
      </c>
      <c r="S701">
        <v>1</v>
      </c>
      <c r="T701" t="s">
        <v>52</v>
      </c>
      <c r="U701" t="s">
        <v>39</v>
      </c>
      <c r="V701" t="s">
        <v>2643</v>
      </c>
      <c r="W701" t="s">
        <v>1241</v>
      </c>
      <c r="X701">
        <v>2600</v>
      </c>
      <c r="Y701">
        <v>1200</v>
      </c>
      <c r="Z701">
        <v>1200</v>
      </c>
      <c r="AA701" t="s">
        <v>2644</v>
      </c>
    </row>
    <row r="702" spans="1:27" x14ac:dyDescent="0.2">
      <c r="A702">
        <v>3696</v>
      </c>
      <c r="B702" t="s">
        <v>989</v>
      </c>
      <c r="C702" t="str">
        <f>_xlfn.CONCAT(Merge[[#This Row],[Customer First Name]]," ",Merge[[#This Row],[Customer Last Name]])</f>
        <v>Zion Payne</v>
      </c>
      <c r="D702" t="s">
        <v>272</v>
      </c>
      <c r="E702">
        <v>1928</v>
      </c>
      <c r="F702" t="s">
        <v>92</v>
      </c>
      <c r="G702" s="1">
        <v>45496</v>
      </c>
      <c r="H702">
        <v>3</v>
      </c>
      <c r="I702" t="s">
        <v>52</v>
      </c>
      <c r="J702" t="s">
        <v>81</v>
      </c>
      <c r="K702">
        <v>0.3</v>
      </c>
      <c r="L702">
        <v>78.599999999999994</v>
      </c>
      <c r="M702">
        <v>262</v>
      </c>
      <c r="N702">
        <v>183.4</v>
      </c>
      <c r="O702" t="s">
        <v>114</v>
      </c>
      <c r="P702">
        <v>1928</v>
      </c>
      <c r="Q702" t="s">
        <v>92</v>
      </c>
      <c r="R702" s="1">
        <v>45496</v>
      </c>
      <c r="S702">
        <v>2</v>
      </c>
      <c r="T702" t="s">
        <v>52</v>
      </c>
      <c r="U702" t="s">
        <v>81</v>
      </c>
      <c r="V702" t="s">
        <v>2645</v>
      </c>
      <c r="W702" t="s">
        <v>1361</v>
      </c>
      <c r="X702">
        <v>870</v>
      </c>
      <c r="Y702">
        <v>600</v>
      </c>
      <c r="Z702">
        <v>1200</v>
      </c>
      <c r="AA702" t="s">
        <v>2646</v>
      </c>
    </row>
    <row r="703" spans="1:27" x14ac:dyDescent="0.2">
      <c r="A703">
        <v>3697</v>
      </c>
      <c r="B703" t="s">
        <v>990</v>
      </c>
      <c r="C703" t="str">
        <f>_xlfn.CONCAT(Merge[[#This Row],[Customer First Name]]," ",Merge[[#This Row],[Customer Last Name]])</f>
        <v>Gracie Ortiz</v>
      </c>
      <c r="D703" t="s">
        <v>991</v>
      </c>
      <c r="E703">
        <v>1929</v>
      </c>
      <c r="F703" t="s">
        <v>31</v>
      </c>
      <c r="G703" s="1">
        <v>45530</v>
      </c>
      <c r="H703">
        <v>2</v>
      </c>
      <c r="I703" t="s">
        <v>32</v>
      </c>
      <c r="J703" t="s">
        <v>53</v>
      </c>
      <c r="K703">
        <v>0.1</v>
      </c>
      <c r="L703">
        <v>94.300000000000011</v>
      </c>
      <c r="M703">
        <v>943</v>
      </c>
      <c r="N703">
        <v>848.7</v>
      </c>
      <c r="O703" t="s">
        <v>44</v>
      </c>
      <c r="P703">
        <v>1929</v>
      </c>
      <c r="Q703" t="s">
        <v>31</v>
      </c>
      <c r="R703" s="1">
        <v>45530</v>
      </c>
      <c r="S703">
        <v>3</v>
      </c>
      <c r="T703" t="s">
        <v>32</v>
      </c>
      <c r="U703" t="s">
        <v>53</v>
      </c>
      <c r="V703" t="s">
        <v>2647</v>
      </c>
      <c r="W703" t="s">
        <v>1250</v>
      </c>
      <c r="X703">
        <v>4217</v>
      </c>
      <c r="Y703">
        <v>250</v>
      </c>
      <c r="Z703">
        <v>750</v>
      </c>
      <c r="AA703" t="s">
        <v>2648</v>
      </c>
    </row>
    <row r="704" spans="1:27" x14ac:dyDescent="0.2">
      <c r="A704">
        <v>3698</v>
      </c>
      <c r="B704" t="s">
        <v>992</v>
      </c>
      <c r="C704" t="str">
        <f>_xlfn.CONCAT(Merge[[#This Row],[Customer First Name]]," ",Merge[[#This Row],[Customer Last Name]])</f>
        <v>Eden Becker</v>
      </c>
      <c r="D704" t="s">
        <v>779</v>
      </c>
      <c r="E704">
        <v>1930</v>
      </c>
      <c r="F704" t="s">
        <v>92</v>
      </c>
      <c r="G704" s="1">
        <v>45404</v>
      </c>
      <c r="H704">
        <v>3</v>
      </c>
      <c r="I704" t="s">
        <v>52</v>
      </c>
      <c r="J704" t="s">
        <v>81</v>
      </c>
      <c r="K704">
        <v>0.3</v>
      </c>
      <c r="L704">
        <v>126.89999999999999</v>
      </c>
      <c r="M704">
        <v>423</v>
      </c>
      <c r="N704">
        <v>296.10000000000002</v>
      </c>
      <c r="O704" t="s">
        <v>54</v>
      </c>
      <c r="P704">
        <v>1930</v>
      </c>
      <c r="Q704" t="s">
        <v>92</v>
      </c>
      <c r="R704" s="1">
        <v>45404</v>
      </c>
      <c r="S704">
        <v>1</v>
      </c>
      <c r="T704" t="s">
        <v>52</v>
      </c>
      <c r="U704" t="s">
        <v>81</v>
      </c>
      <c r="V704" t="s">
        <v>2649</v>
      </c>
      <c r="W704" t="s">
        <v>1361</v>
      </c>
      <c r="X704">
        <v>870</v>
      </c>
      <c r="Y704">
        <v>600</v>
      </c>
      <c r="Z704">
        <v>600</v>
      </c>
      <c r="AA704" t="s">
        <v>2650</v>
      </c>
    </row>
    <row r="705" spans="1:27" x14ac:dyDescent="0.2">
      <c r="A705">
        <v>3699</v>
      </c>
      <c r="B705" t="s">
        <v>547</v>
      </c>
      <c r="C705" t="str">
        <f>_xlfn.CONCAT(Merge[[#This Row],[Customer First Name]]," ",Merge[[#This Row],[Customer Last Name]])</f>
        <v>Jaxon Nash</v>
      </c>
      <c r="D705" t="s">
        <v>993</v>
      </c>
      <c r="E705">
        <v>1931</v>
      </c>
      <c r="F705" t="s">
        <v>37</v>
      </c>
      <c r="G705" s="1">
        <v>45545</v>
      </c>
      <c r="H705">
        <v>1</v>
      </c>
      <c r="I705" t="s">
        <v>52</v>
      </c>
      <c r="J705" t="s">
        <v>47</v>
      </c>
      <c r="K705">
        <v>0.3</v>
      </c>
      <c r="L705">
        <v>490.79999999999995</v>
      </c>
      <c r="M705">
        <v>1636</v>
      </c>
      <c r="N705">
        <v>1145.2</v>
      </c>
      <c r="O705" t="s">
        <v>48</v>
      </c>
      <c r="P705">
        <v>1931</v>
      </c>
      <c r="Q705" t="s">
        <v>37</v>
      </c>
      <c r="R705" s="1">
        <v>45545</v>
      </c>
      <c r="S705">
        <v>2</v>
      </c>
      <c r="T705" t="s">
        <v>52</v>
      </c>
      <c r="U705" t="s">
        <v>47</v>
      </c>
      <c r="V705" t="s">
        <v>2651</v>
      </c>
      <c r="W705" t="s">
        <v>1256</v>
      </c>
      <c r="X705">
        <v>3220</v>
      </c>
      <c r="Y705">
        <v>800</v>
      </c>
      <c r="Z705">
        <v>1600</v>
      </c>
      <c r="AA705" t="s">
        <v>2652</v>
      </c>
    </row>
    <row r="706" spans="1:27" x14ac:dyDescent="0.2">
      <c r="A706">
        <v>3700</v>
      </c>
      <c r="B706" t="s">
        <v>112</v>
      </c>
      <c r="C706" t="str">
        <f>_xlfn.CONCAT(Merge[[#This Row],[Customer First Name]]," ",Merge[[#This Row],[Customer Last Name]])</f>
        <v>Kade Anderson</v>
      </c>
      <c r="D706" t="s">
        <v>994</v>
      </c>
      <c r="E706">
        <v>1932</v>
      </c>
      <c r="F706" t="s">
        <v>92</v>
      </c>
      <c r="G706" s="1">
        <v>45516</v>
      </c>
      <c r="H706">
        <v>2</v>
      </c>
      <c r="I706" t="s">
        <v>52</v>
      </c>
      <c r="J706" t="s">
        <v>33</v>
      </c>
      <c r="K706">
        <v>0.3</v>
      </c>
      <c r="L706">
        <v>11.7</v>
      </c>
      <c r="M706">
        <v>39</v>
      </c>
      <c r="N706">
        <v>27.3</v>
      </c>
      <c r="O706" t="s">
        <v>48</v>
      </c>
      <c r="P706">
        <v>1932</v>
      </c>
      <c r="Q706" t="s">
        <v>92</v>
      </c>
      <c r="R706" s="1">
        <v>45516</v>
      </c>
      <c r="S706">
        <v>2</v>
      </c>
      <c r="T706" t="s">
        <v>52</v>
      </c>
      <c r="U706" t="s">
        <v>33</v>
      </c>
      <c r="V706" t="s">
        <v>2653</v>
      </c>
      <c r="W706" t="s">
        <v>1259</v>
      </c>
      <c r="X706">
        <v>6160</v>
      </c>
      <c r="Y706">
        <v>600</v>
      </c>
      <c r="Z706">
        <v>1200</v>
      </c>
      <c r="AA706" t="s">
        <v>2654</v>
      </c>
    </row>
    <row r="707" spans="1:27" x14ac:dyDescent="0.2">
      <c r="A707">
        <v>3701</v>
      </c>
      <c r="B707" t="s">
        <v>426</v>
      </c>
      <c r="C707" t="str">
        <f>_xlfn.CONCAT(Merge[[#This Row],[Customer First Name]]," ",Merge[[#This Row],[Customer Last Name]])</f>
        <v>Ian Cherry</v>
      </c>
      <c r="D707" t="s">
        <v>923</v>
      </c>
      <c r="E707">
        <v>1933</v>
      </c>
      <c r="F707" t="s">
        <v>51</v>
      </c>
      <c r="G707" s="1">
        <v>45463</v>
      </c>
      <c r="H707">
        <v>1</v>
      </c>
      <c r="I707" t="s">
        <v>32</v>
      </c>
      <c r="J707" t="s">
        <v>81</v>
      </c>
      <c r="K707">
        <v>0.2</v>
      </c>
      <c r="L707">
        <v>332</v>
      </c>
      <c r="M707">
        <v>1660</v>
      </c>
      <c r="N707">
        <v>1328</v>
      </c>
      <c r="O707" t="s">
        <v>114</v>
      </c>
      <c r="P707">
        <v>1933</v>
      </c>
      <c r="Q707" t="s">
        <v>51</v>
      </c>
      <c r="R707" s="1">
        <v>45463</v>
      </c>
      <c r="S707">
        <v>1</v>
      </c>
      <c r="T707" t="s">
        <v>32</v>
      </c>
      <c r="U707" t="s">
        <v>81</v>
      </c>
      <c r="V707" t="s">
        <v>2655</v>
      </c>
      <c r="W707" t="s">
        <v>1280</v>
      </c>
      <c r="X707">
        <v>800</v>
      </c>
      <c r="Y707">
        <v>250</v>
      </c>
      <c r="Z707">
        <v>250</v>
      </c>
      <c r="AA707" t="s">
        <v>2656</v>
      </c>
    </row>
    <row r="708" spans="1:27" x14ac:dyDescent="0.2">
      <c r="A708">
        <v>3702</v>
      </c>
      <c r="B708" t="s">
        <v>995</v>
      </c>
      <c r="C708" t="str">
        <f>_xlfn.CONCAT(Merge[[#This Row],[Customer First Name]]," ",Merge[[#This Row],[Customer Last Name]])</f>
        <v>Timothy Glass</v>
      </c>
      <c r="D708" t="s">
        <v>996</v>
      </c>
      <c r="E708">
        <v>1934</v>
      </c>
      <c r="F708" t="s">
        <v>37</v>
      </c>
      <c r="G708" s="1">
        <v>45315</v>
      </c>
      <c r="H708">
        <v>2</v>
      </c>
      <c r="I708" t="s">
        <v>38</v>
      </c>
      <c r="J708" t="s">
        <v>81</v>
      </c>
      <c r="K708">
        <v>0.3</v>
      </c>
      <c r="L708">
        <v>78.599999999999994</v>
      </c>
      <c r="M708">
        <v>262</v>
      </c>
      <c r="N708">
        <v>183.4</v>
      </c>
      <c r="O708" t="s">
        <v>44</v>
      </c>
      <c r="P708">
        <v>1934</v>
      </c>
      <c r="Q708" t="s">
        <v>37</v>
      </c>
      <c r="R708" s="1">
        <v>45315</v>
      </c>
      <c r="S708">
        <v>3</v>
      </c>
      <c r="T708" t="s">
        <v>38</v>
      </c>
      <c r="U708" t="s">
        <v>81</v>
      </c>
      <c r="V708" t="s">
        <v>2657</v>
      </c>
      <c r="W708" t="s">
        <v>1361</v>
      </c>
      <c r="X708">
        <v>870</v>
      </c>
      <c r="Y708">
        <v>800</v>
      </c>
      <c r="Z708">
        <v>2400</v>
      </c>
      <c r="AA708" t="s">
        <v>2658</v>
      </c>
    </row>
    <row r="709" spans="1:27" x14ac:dyDescent="0.2">
      <c r="A709">
        <v>3703</v>
      </c>
      <c r="B709" t="s">
        <v>460</v>
      </c>
      <c r="C709" t="str">
        <f>_xlfn.CONCAT(Merge[[#This Row],[Customer First Name]]," ",Merge[[#This Row],[Customer Last Name]])</f>
        <v>Sadie Thomas</v>
      </c>
      <c r="D709" t="s">
        <v>391</v>
      </c>
      <c r="E709">
        <v>1935</v>
      </c>
      <c r="F709" t="s">
        <v>31</v>
      </c>
      <c r="G709" s="1">
        <v>45357</v>
      </c>
      <c r="H709">
        <v>3</v>
      </c>
      <c r="I709" t="s">
        <v>38</v>
      </c>
      <c r="J709" t="s">
        <v>57</v>
      </c>
      <c r="K709">
        <v>0.1</v>
      </c>
      <c r="L709">
        <v>96.100000000000009</v>
      </c>
      <c r="M709">
        <v>961</v>
      </c>
      <c r="N709">
        <v>864.9</v>
      </c>
      <c r="O709" t="s">
        <v>44</v>
      </c>
      <c r="P709">
        <v>1935</v>
      </c>
      <c r="Q709" t="s">
        <v>31</v>
      </c>
      <c r="R709" s="1">
        <v>45357</v>
      </c>
      <c r="S709">
        <v>1</v>
      </c>
      <c r="T709" t="s">
        <v>38</v>
      </c>
      <c r="U709" t="s">
        <v>57</v>
      </c>
      <c r="V709" t="s">
        <v>2659</v>
      </c>
      <c r="W709" t="s">
        <v>1253</v>
      </c>
      <c r="X709">
        <v>5290</v>
      </c>
      <c r="Y709">
        <v>250</v>
      </c>
      <c r="Z709">
        <v>250</v>
      </c>
      <c r="AA709" t="s">
        <v>2660</v>
      </c>
    </row>
    <row r="710" spans="1:27" x14ac:dyDescent="0.2">
      <c r="A710">
        <v>3704</v>
      </c>
      <c r="B710" t="s">
        <v>984</v>
      </c>
      <c r="C710" t="str">
        <f>_xlfn.CONCAT(Merge[[#This Row],[Customer First Name]]," ",Merge[[#This Row],[Customer Last Name]])</f>
        <v>Steven Quinn</v>
      </c>
      <c r="D710" t="s">
        <v>862</v>
      </c>
      <c r="E710">
        <v>1936</v>
      </c>
      <c r="F710" t="s">
        <v>37</v>
      </c>
      <c r="G710" s="1">
        <v>45411</v>
      </c>
      <c r="H710">
        <v>2</v>
      </c>
      <c r="I710" t="s">
        <v>52</v>
      </c>
      <c r="J710" t="s">
        <v>39</v>
      </c>
      <c r="K710">
        <v>0.3</v>
      </c>
      <c r="L710">
        <v>166.2</v>
      </c>
      <c r="M710">
        <v>554</v>
      </c>
      <c r="N710">
        <v>387.8</v>
      </c>
      <c r="O710" t="s">
        <v>48</v>
      </c>
      <c r="P710">
        <v>1936</v>
      </c>
      <c r="Q710" t="s">
        <v>37</v>
      </c>
      <c r="R710" s="1">
        <v>45411</v>
      </c>
      <c r="S710">
        <v>2</v>
      </c>
      <c r="T710" t="s">
        <v>52</v>
      </c>
      <c r="U710" t="s">
        <v>39</v>
      </c>
      <c r="V710" t="s">
        <v>2661</v>
      </c>
      <c r="W710" t="s">
        <v>1241</v>
      </c>
      <c r="X710">
        <v>2600</v>
      </c>
      <c r="Y710">
        <v>800</v>
      </c>
      <c r="Z710">
        <v>1600</v>
      </c>
      <c r="AA710" t="s">
        <v>2662</v>
      </c>
    </row>
    <row r="711" spans="1:27" x14ac:dyDescent="0.2">
      <c r="A711">
        <v>3705</v>
      </c>
      <c r="B711" t="s">
        <v>997</v>
      </c>
      <c r="C711" t="str">
        <f>_xlfn.CONCAT(Merge[[#This Row],[Customer First Name]]," ",Merge[[#This Row],[Customer Last Name]])</f>
        <v>Elliot Petersen</v>
      </c>
      <c r="D711" t="s">
        <v>998</v>
      </c>
      <c r="E711">
        <v>1937</v>
      </c>
      <c r="F711" t="s">
        <v>31</v>
      </c>
      <c r="G711" s="1">
        <v>45398</v>
      </c>
      <c r="H711">
        <v>3</v>
      </c>
      <c r="I711" t="s">
        <v>32</v>
      </c>
      <c r="J711" t="s">
        <v>39</v>
      </c>
      <c r="K711">
        <v>0.1</v>
      </c>
      <c r="L711">
        <v>5.2</v>
      </c>
      <c r="M711">
        <v>52</v>
      </c>
      <c r="N711">
        <v>46.8</v>
      </c>
      <c r="O711" t="s">
        <v>114</v>
      </c>
      <c r="P711">
        <v>1937</v>
      </c>
      <c r="Q711" t="s">
        <v>31</v>
      </c>
      <c r="R711" s="1">
        <v>45398</v>
      </c>
      <c r="S711">
        <v>3</v>
      </c>
      <c r="T711" t="s">
        <v>32</v>
      </c>
      <c r="U711" t="s">
        <v>39</v>
      </c>
      <c r="V711" t="s">
        <v>2663</v>
      </c>
      <c r="W711" t="s">
        <v>1241</v>
      </c>
      <c r="X711">
        <v>2600</v>
      </c>
      <c r="Y711">
        <v>250</v>
      </c>
      <c r="Z711">
        <v>750</v>
      </c>
      <c r="AA711" t="s">
        <v>2664</v>
      </c>
    </row>
    <row r="712" spans="1:27" x14ac:dyDescent="0.2">
      <c r="A712">
        <v>3706</v>
      </c>
      <c r="B712" t="s">
        <v>999</v>
      </c>
      <c r="C712" t="str">
        <f>_xlfn.CONCAT(Merge[[#This Row],[Customer First Name]]," ",Merge[[#This Row],[Customer Last Name]])</f>
        <v>Sergio Lu</v>
      </c>
      <c r="D712" t="s">
        <v>1000</v>
      </c>
      <c r="E712">
        <v>1938</v>
      </c>
      <c r="F712" t="s">
        <v>76</v>
      </c>
      <c r="G712" s="1">
        <v>45373</v>
      </c>
      <c r="H712">
        <v>2</v>
      </c>
      <c r="I712" t="s">
        <v>32</v>
      </c>
      <c r="J712" t="s">
        <v>64</v>
      </c>
      <c r="K712">
        <v>0.25</v>
      </c>
      <c r="L712">
        <v>262</v>
      </c>
      <c r="M712">
        <v>1048</v>
      </c>
      <c r="N712">
        <v>786</v>
      </c>
      <c r="O712" t="s">
        <v>48</v>
      </c>
      <c r="P712">
        <v>1938</v>
      </c>
      <c r="Q712" t="s">
        <v>76</v>
      </c>
      <c r="R712" s="1">
        <v>45373</v>
      </c>
      <c r="S712">
        <v>3</v>
      </c>
      <c r="T712" t="s">
        <v>32</v>
      </c>
      <c r="U712" t="s">
        <v>64</v>
      </c>
      <c r="V712" t="s">
        <v>2665</v>
      </c>
      <c r="W712" t="s">
        <v>1265</v>
      </c>
      <c r="X712">
        <v>7000</v>
      </c>
      <c r="Y712">
        <v>1200</v>
      </c>
      <c r="Z712">
        <v>3600</v>
      </c>
      <c r="AA712" t="s">
        <v>2666</v>
      </c>
    </row>
    <row r="713" spans="1:27" x14ac:dyDescent="0.2">
      <c r="A713">
        <v>3707</v>
      </c>
      <c r="B713" t="s">
        <v>1001</v>
      </c>
      <c r="C713" t="str">
        <f>_xlfn.CONCAT(Merge[[#This Row],[Customer First Name]]," ",Merge[[#This Row],[Customer Last Name]])</f>
        <v>Zara Brooks</v>
      </c>
      <c r="D713" t="s">
        <v>384</v>
      </c>
      <c r="E713">
        <v>1939</v>
      </c>
      <c r="F713" t="s">
        <v>31</v>
      </c>
      <c r="G713" s="1">
        <v>45515</v>
      </c>
      <c r="H713">
        <v>1</v>
      </c>
      <c r="I713" t="s">
        <v>32</v>
      </c>
      <c r="J713" t="s">
        <v>43</v>
      </c>
      <c r="K713">
        <v>0.1</v>
      </c>
      <c r="L713">
        <v>48.2</v>
      </c>
      <c r="M713">
        <v>482</v>
      </c>
      <c r="N713">
        <v>433.8</v>
      </c>
      <c r="O713" t="s">
        <v>44</v>
      </c>
      <c r="P713">
        <v>1939</v>
      </c>
      <c r="Q713" t="s">
        <v>31</v>
      </c>
      <c r="R713" s="1">
        <v>45515</v>
      </c>
      <c r="S713">
        <v>2</v>
      </c>
      <c r="T713" t="s">
        <v>32</v>
      </c>
      <c r="U713" t="s">
        <v>43</v>
      </c>
      <c r="V713" t="s">
        <v>2667</v>
      </c>
      <c r="W713" t="s">
        <v>1299</v>
      </c>
      <c r="X713">
        <v>2500</v>
      </c>
      <c r="Y713">
        <v>250</v>
      </c>
      <c r="Z713">
        <v>500</v>
      </c>
      <c r="AA713" t="s">
        <v>2668</v>
      </c>
    </row>
    <row r="714" spans="1:27" x14ac:dyDescent="0.2">
      <c r="A714">
        <v>3708</v>
      </c>
      <c r="B714" t="s">
        <v>558</v>
      </c>
      <c r="C714" t="str">
        <f>_xlfn.CONCAT(Merge[[#This Row],[Customer First Name]]," ",Merge[[#This Row],[Customer Last Name]])</f>
        <v>Xander Odom</v>
      </c>
      <c r="D714" t="s">
        <v>380</v>
      </c>
      <c r="E714">
        <v>1940</v>
      </c>
      <c r="F714" t="s">
        <v>31</v>
      </c>
      <c r="G714" s="1">
        <v>45322</v>
      </c>
      <c r="H714">
        <v>1</v>
      </c>
      <c r="I714" t="s">
        <v>32</v>
      </c>
      <c r="J714" t="s">
        <v>47</v>
      </c>
      <c r="K714">
        <v>0.1</v>
      </c>
      <c r="L714">
        <v>160.30000000000001</v>
      </c>
      <c r="M714">
        <v>1603</v>
      </c>
      <c r="N714">
        <v>1442.7</v>
      </c>
      <c r="O714" t="s">
        <v>114</v>
      </c>
      <c r="P714">
        <v>1940</v>
      </c>
      <c r="Q714" t="s">
        <v>31</v>
      </c>
      <c r="R714" s="1">
        <v>45322</v>
      </c>
      <c r="S714">
        <v>1</v>
      </c>
      <c r="T714" t="s">
        <v>32</v>
      </c>
      <c r="U714" t="s">
        <v>47</v>
      </c>
      <c r="V714" t="s">
        <v>2669</v>
      </c>
      <c r="W714" t="s">
        <v>1256</v>
      </c>
      <c r="X714">
        <v>3220</v>
      </c>
      <c r="Y714">
        <v>250</v>
      </c>
      <c r="Z714">
        <v>250</v>
      </c>
      <c r="AA714" t="s">
        <v>2670</v>
      </c>
    </row>
    <row r="715" spans="1:27" x14ac:dyDescent="0.2">
      <c r="A715">
        <v>3709</v>
      </c>
      <c r="B715" t="s">
        <v>1002</v>
      </c>
      <c r="C715" t="str">
        <f>_xlfn.CONCAT(Merge[[#This Row],[Customer First Name]]," ",Merge[[#This Row],[Customer Last Name]])</f>
        <v>Miguel Randall</v>
      </c>
      <c r="D715" t="s">
        <v>259</v>
      </c>
      <c r="E715">
        <v>1941</v>
      </c>
      <c r="F715" t="s">
        <v>42</v>
      </c>
      <c r="G715" s="1">
        <v>45477</v>
      </c>
      <c r="H715">
        <v>3</v>
      </c>
      <c r="I715" t="s">
        <v>38</v>
      </c>
      <c r="J715" t="s">
        <v>64</v>
      </c>
      <c r="K715">
        <v>0.25</v>
      </c>
      <c r="L715">
        <v>285.75</v>
      </c>
      <c r="M715">
        <v>1143</v>
      </c>
      <c r="N715">
        <v>857.25</v>
      </c>
      <c r="O715" t="s">
        <v>44</v>
      </c>
      <c r="P715">
        <v>1941</v>
      </c>
      <c r="Q715" t="s">
        <v>42</v>
      </c>
      <c r="R715" s="1">
        <v>45477</v>
      </c>
      <c r="S715">
        <v>1</v>
      </c>
      <c r="T715" t="s">
        <v>38</v>
      </c>
      <c r="U715" t="s">
        <v>64</v>
      </c>
      <c r="V715" t="s">
        <v>2671</v>
      </c>
      <c r="W715" t="s">
        <v>1400</v>
      </c>
      <c r="X715">
        <v>7310</v>
      </c>
      <c r="Y715">
        <v>300</v>
      </c>
      <c r="Z715">
        <v>300</v>
      </c>
      <c r="AA715" t="s">
        <v>2672</v>
      </c>
    </row>
    <row r="716" spans="1:27" x14ac:dyDescent="0.2">
      <c r="A716">
        <v>3710</v>
      </c>
      <c r="B716" t="s">
        <v>1003</v>
      </c>
      <c r="C716" t="str">
        <f>_xlfn.CONCAT(Merge[[#This Row],[Customer First Name]]," ",Merge[[#This Row],[Customer Last Name]])</f>
        <v>Walter Potts</v>
      </c>
      <c r="D716" t="s">
        <v>68</v>
      </c>
      <c r="E716">
        <v>1942</v>
      </c>
      <c r="F716" t="s">
        <v>76</v>
      </c>
      <c r="G716" s="1">
        <v>45466</v>
      </c>
      <c r="H716">
        <v>1</v>
      </c>
      <c r="I716" t="s">
        <v>32</v>
      </c>
      <c r="J716" t="s">
        <v>47</v>
      </c>
      <c r="K716">
        <v>0.25</v>
      </c>
      <c r="L716">
        <v>164</v>
      </c>
      <c r="M716">
        <v>656</v>
      </c>
      <c r="N716">
        <v>492</v>
      </c>
      <c r="O716" t="s">
        <v>48</v>
      </c>
      <c r="P716">
        <v>1942</v>
      </c>
      <c r="Q716" t="s">
        <v>76</v>
      </c>
      <c r="R716" s="1">
        <v>45466</v>
      </c>
      <c r="S716">
        <v>1</v>
      </c>
      <c r="T716" t="s">
        <v>32</v>
      </c>
      <c r="U716" t="s">
        <v>47</v>
      </c>
      <c r="V716" t="s">
        <v>2673</v>
      </c>
      <c r="W716" t="s">
        <v>1275</v>
      </c>
      <c r="X716">
        <v>3000</v>
      </c>
      <c r="Y716">
        <v>1200</v>
      </c>
      <c r="Z716">
        <v>1200</v>
      </c>
      <c r="AA716" t="s">
        <v>2674</v>
      </c>
    </row>
    <row r="717" spans="1:27" x14ac:dyDescent="0.2">
      <c r="A717">
        <v>3711</v>
      </c>
      <c r="B717" t="s">
        <v>1004</v>
      </c>
      <c r="C717" t="str">
        <f>_xlfn.CONCAT(Merge[[#This Row],[Customer First Name]]," ",Merge[[#This Row],[Customer Last Name]])</f>
        <v>Walter Herman</v>
      </c>
      <c r="D717" t="s">
        <v>68</v>
      </c>
      <c r="E717">
        <v>1943</v>
      </c>
      <c r="F717" t="s">
        <v>92</v>
      </c>
      <c r="G717" s="1">
        <v>45513</v>
      </c>
      <c r="H717">
        <v>1</v>
      </c>
      <c r="I717" t="s">
        <v>52</v>
      </c>
      <c r="J717" t="s">
        <v>43</v>
      </c>
      <c r="K717">
        <v>0.3</v>
      </c>
      <c r="L717">
        <v>144.6</v>
      </c>
      <c r="M717">
        <v>482</v>
      </c>
      <c r="N717">
        <v>337.4</v>
      </c>
      <c r="O717" t="s">
        <v>54</v>
      </c>
      <c r="P717">
        <v>1943</v>
      </c>
      <c r="Q717" t="s">
        <v>92</v>
      </c>
      <c r="R717" s="1">
        <v>45513</v>
      </c>
      <c r="S717">
        <v>3</v>
      </c>
      <c r="T717" t="s">
        <v>52</v>
      </c>
      <c r="U717" t="s">
        <v>43</v>
      </c>
      <c r="V717" t="s">
        <v>2675</v>
      </c>
      <c r="W717" t="s">
        <v>865</v>
      </c>
      <c r="X717">
        <v>2000</v>
      </c>
      <c r="Y717">
        <v>600</v>
      </c>
      <c r="Z717">
        <v>1800</v>
      </c>
      <c r="AA717" t="s">
        <v>2676</v>
      </c>
    </row>
    <row r="718" spans="1:27" x14ac:dyDescent="0.2">
      <c r="A718">
        <v>3712</v>
      </c>
      <c r="B718" t="s">
        <v>521</v>
      </c>
      <c r="C718" t="str">
        <f>_xlfn.CONCAT(Merge[[#This Row],[Customer First Name]]," ",Merge[[#This Row],[Customer Last Name]])</f>
        <v>Eduardo Estes</v>
      </c>
      <c r="D718" t="s">
        <v>800</v>
      </c>
      <c r="E718">
        <v>1944</v>
      </c>
      <c r="F718" t="s">
        <v>31</v>
      </c>
      <c r="G718" s="1">
        <v>45571</v>
      </c>
      <c r="H718">
        <v>1</v>
      </c>
      <c r="I718" t="s">
        <v>32</v>
      </c>
      <c r="J718" t="s">
        <v>64</v>
      </c>
      <c r="K718">
        <v>0.1</v>
      </c>
      <c r="L718">
        <v>26.700000000000003</v>
      </c>
      <c r="M718">
        <v>267</v>
      </c>
      <c r="N718">
        <v>240.3</v>
      </c>
      <c r="O718" t="s">
        <v>48</v>
      </c>
      <c r="P718">
        <v>1944</v>
      </c>
      <c r="Q718" t="s">
        <v>31</v>
      </c>
      <c r="R718" s="1">
        <v>45571</v>
      </c>
      <c r="S718">
        <v>3</v>
      </c>
      <c r="T718" t="s">
        <v>32</v>
      </c>
      <c r="U718" t="s">
        <v>64</v>
      </c>
      <c r="V718" t="s">
        <v>2677</v>
      </c>
      <c r="W718" t="s">
        <v>1262</v>
      </c>
      <c r="X718">
        <v>7250</v>
      </c>
      <c r="Y718">
        <v>250</v>
      </c>
      <c r="Z718">
        <v>750</v>
      </c>
      <c r="AA718" t="s">
        <v>2678</v>
      </c>
    </row>
    <row r="719" spans="1:27" x14ac:dyDescent="0.2">
      <c r="A719">
        <v>3713</v>
      </c>
      <c r="B719" t="s">
        <v>686</v>
      </c>
      <c r="C719" t="str">
        <f>_xlfn.CONCAT(Merge[[#This Row],[Customer First Name]]," ",Merge[[#This Row],[Customer Last Name]])</f>
        <v>Samara Daugherty</v>
      </c>
      <c r="D719" t="s">
        <v>934</v>
      </c>
      <c r="E719">
        <v>1945</v>
      </c>
      <c r="F719" t="s">
        <v>37</v>
      </c>
      <c r="G719" s="1">
        <v>45294</v>
      </c>
      <c r="H719">
        <v>1</v>
      </c>
      <c r="I719" t="s">
        <v>38</v>
      </c>
      <c r="J719" t="s">
        <v>47</v>
      </c>
      <c r="K719">
        <v>0.3</v>
      </c>
      <c r="L719">
        <v>263.09999999999997</v>
      </c>
      <c r="M719">
        <v>877</v>
      </c>
      <c r="N719">
        <v>613.90000000000009</v>
      </c>
      <c r="O719" t="s">
        <v>114</v>
      </c>
      <c r="P719">
        <v>1945</v>
      </c>
      <c r="Q719" t="s">
        <v>37</v>
      </c>
      <c r="R719" s="1">
        <v>45294</v>
      </c>
      <c r="S719">
        <v>2</v>
      </c>
      <c r="T719" t="s">
        <v>38</v>
      </c>
      <c r="U719" t="s">
        <v>47</v>
      </c>
      <c r="V719" t="s">
        <v>2679</v>
      </c>
      <c r="W719" t="s">
        <v>1247</v>
      </c>
      <c r="X719">
        <v>3350</v>
      </c>
      <c r="Y719">
        <v>800</v>
      </c>
      <c r="Z719">
        <v>1600</v>
      </c>
      <c r="AA719" t="s">
        <v>2680</v>
      </c>
    </row>
    <row r="720" spans="1:27" x14ac:dyDescent="0.2">
      <c r="A720">
        <v>3714</v>
      </c>
      <c r="B720" t="s">
        <v>1005</v>
      </c>
      <c r="C720" t="str">
        <f>_xlfn.CONCAT(Merge[[#This Row],[Customer First Name]]," ",Merge[[#This Row],[Customer Last Name]])</f>
        <v>Allison Gillespie</v>
      </c>
      <c r="D720" t="s">
        <v>1006</v>
      </c>
      <c r="E720">
        <v>1946</v>
      </c>
      <c r="F720" t="s">
        <v>42</v>
      </c>
      <c r="G720" s="1">
        <v>45575</v>
      </c>
      <c r="H720">
        <v>2</v>
      </c>
      <c r="I720" t="s">
        <v>32</v>
      </c>
      <c r="J720" t="s">
        <v>81</v>
      </c>
      <c r="K720">
        <v>0.25</v>
      </c>
      <c r="L720">
        <v>67</v>
      </c>
      <c r="M720">
        <v>268</v>
      </c>
      <c r="N720">
        <v>201</v>
      </c>
      <c r="O720" t="s">
        <v>54</v>
      </c>
      <c r="P720">
        <v>1946</v>
      </c>
      <c r="Q720" t="s">
        <v>42</v>
      </c>
      <c r="R720" s="1">
        <v>45575</v>
      </c>
      <c r="S720">
        <v>3</v>
      </c>
      <c r="T720" t="s">
        <v>32</v>
      </c>
      <c r="U720" t="s">
        <v>81</v>
      </c>
      <c r="V720" t="s">
        <v>2681</v>
      </c>
      <c r="W720" t="s">
        <v>1361</v>
      </c>
      <c r="X720">
        <v>870</v>
      </c>
      <c r="Y720">
        <v>300</v>
      </c>
      <c r="Z720">
        <v>900</v>
      </c>
      <c r="AA720" t="s">
        <v>2682</v>
      </c>
    </row>
    <row r="721" spans="1:27" x14ac:dyDescent="0.2">
      <c r="A721">
        <v>3715</v>
      </c>
      <c r="B721" t="s">
        <v>173</v>
      </c>
      <c r="C721" t="str">
        <f>_xlfn.CONCAT(Merge[[#This Row],[Customer First Name]]," ",Merge[[#This Row],[Customer Last Name]])</f>
        <v>Emersyn Harrington</v>
      </c>
      <c r="D721" t="s">
        <v>507</v>
      </c>
      <c r="E721">
        <v>1947</v>
      </c>
      <c r="F721" t="s">
        <v>37</v>
      </c>
      <c r="G721" s="1">
        <v>45483</v>
      </c>
      <c r="H721">
        <v>1</v>
      </c>
      <c r="I721" t="s">
        <v>32</v>
      </c>
      <c r="J721" t="s">
        <v>39</v>
      </c>
      <c r="K721">
        <v>0.3</v>
      </c>
      <c r="L721">
        <v>393.3</v>
      </c>
      <c r="M721">
        <v>1311</v>
      </c>
      <c r="N721">
        <v>917.7</v>
      </c>
      <c r="O721" t="s">
        <v>44</v>
      </c>
      <c r="P721">
        <v>1947</v>
      </c>
      <c r="Q721" t="s">
        <v>37</v>
      </c>
      <c r="R721" s="1">
        <v>45483</v>
      </c>
      <c r="S721">
        <v>3</v>
      </c>
      <c r="T721" t="s">
        <v>32</v>
      </c>
      <c r="U721" t="s">
        <v>39</v>
      </c>
      <c r="V721" t="s">
        <v>2683</v>
      </c>
      <c r="W721" t="s">
        <v>1241</v>
      </c>
      <c r="X721">
        <v>2600</v>
      </c>
      <c r="Y721">
        <v>800</v>
      </c>
      <c r="Z721">
        <v>2400</v>
      </c>
      <c r="AA721" t="s">
        <v>2684</v>
      </c>
    </row>
    <row r="722" spans="1:27" x14ac:dyDescent="0.2">
      <c r="A722">
        <v>3716</v>
      </c>
      <c r="B722" t="s">
        <v>1007</v>
      </c>
      <c r="C722" t="str">
        <f>_xlfn.CONCAT(Merge[[#This Row],[Customer First Name]]," ",Merge[[#This Row],[Customer Last Name]])</f>
        <v>Arya Ingram</v>
      </c>
      <c r="D722" t="s">
        <v>981</v>
      </c>
      <c r="E722">
        <v>1948</v>
      </c>
      <c r="F722" t="s">
        <v>92</v>
      </c>
      <c r="G722" s="1">
        <v>45424</v>
      </c>
      <c r="H722">
        <v>3</v>
      </c>
      <c r="I722" t="s">
        <v>32</v>
      </c>
      <c r="J722" t="s">
        <v>43</v>
      </c>
      <c r="K722">
        <v>0.3</v>
      </c>
      <c r="L722">
        <v>388.2</v>
      </c>
      <c r="M722">
        <v>1294</v>
      </c>
      <c r="N722">
        <v>905.8</v>
      </c>
      <c r="O722" t="s">
        <v>48</v>
      </c>
      <c r="P722">
        <v>1948</v>
      </c>
      <c r="Q722" t="s">
        <v>92</v>
      </c>
      <c r="R722" s="1">
        <v>45424</v>
      </c>
      <c r="S722">
        <v>1</v>
      </c>
      <c r="T722" t="s">
        <v>32</v>
      </c>
      <c r="U722" t="s">
        <v>43</v>
      </c>
      <c r="V722" t="s">
        <v>2685</v>
      </c>
      <c r="W722" t="s">
        <v>1299</v>
      </c>
      <c r="X722">
        <v>2500</v>
      </c>
      <c r="Y722">
        <v>600</v>
      </c>
      <c r="Z722">
        <v>600</v>
      </c>
      <c r="AA722" t="s">
        <v>2686</v>
      </c>
    </row>
    <row r="723" spans="1:27" x14ac:dyDescent="0.2">
      <c r="A723">
        <v>3717</v>
      </c>
      <c r="B723" t="s">
        <v>1008</v>
      </c>
      <c r="C723" t="str">
        <f>_xlfn.CONCAT(Merge[[#This Row],[Customer First Name]]," ",Merge[[#This Row],[Customer Last Name]])</f>
        <v>Aaliyah Reyes</v>
      </c>
      <c r="D723" t="s">
        <v>1009</v>
      </c>
      <c r="E723">
        <v>1949</v>
      </c>
      <c r="F723" t="s">
        <v>37</v>
      </c>
      <c r="G723" s="1">
        <v>45591</v>
      </c>
      <c r="H723">
        <v>3</v>
      </c>
      <c r="I723" t="s">
        <v>52</v>
      </c>
      <c r="J723" t="s">
        <v>43</v>
      </c>
      <c r="K723">
        <v>0.3</v>
      </c>
      <c r="L723">
        <v>523.19999999999993</v>
      </c>
      <c r="M723">
        <v>1744</v>
      </c>
      <c r="N723">
        <v>1220.8000000000002</v>
      </c>
      <c r="O723" t="s">
        <v>34</v>
      </c>
      <c r="P723">
        <v>1949</v>
      </c>
      <c r="Q723" t="s">
        <v>37</v>
      </c>
      <c r="R723" s="1">
        <v>45591</v>
      </c>
      <c r="S723">
        <v>3</v>
      </c>
      <c r="T723" t="s">
        <v>52</v>
      </c>
      <c r="U723" t="s">
        <v>43</v>
      </c>
      <c r="V723" t="s">
        <v>2687</v>
      </c>
      <c r="W723" t="s">
        <v>1244</v>
      </c>
      <c r="X723">
        <v>2300</v>
      </c>
      <c r="Y723">
        <v>800</v>
      </c>
      <c r="Z723">
        <v>2400</v>
      </c>
      <c r="AA723" t="s">
        <v>2688</v>
      </c>
    </row>
    <row r="724" spans="1:27" x14ac:dyDescent="0.2">
      <c r="A724">
        <v>3718</v>
      </c>
      <c r="B724" t="s">
        <v>985</v>
      </c>
      <c r="C724" t="str">
        <f>_xlfn.CONCAT(Merge[[#This Row],[Customer First Name]]," ",Merge[[#This Row],[Customer Last Name]])</f>
        <v>Mary George</v>
      </c>
      <c r="D724" t="s">
        <v>326</v>
      </c>
      <c r="E724">
        <v>1950</v>
      </c>
      <c r="F724" t="s">
        <v>42</v>
      </c>
      <c r="G724" s="1">
        <v>45363</v>
      </c>
      <c r="H724">
        <v>2</v>
      </c>
      <c r="I724" t="s">
        <v>32</v>
      </c>
      <c r="J724" t="s">
        <v>64</v>
      </c>
      <c r="K724">
        <v>0.25</v>
      </c>
      <c r="L724">
        <v>321.25</v>
      </c>
      <c r="M724">
        <v>1285</v>
      </c>
      <c r="N724">
        <v>963.75</v>
      </c>
      <c r="O724" t="s">
        <v>48</v>
      </c>
      <c r="P724">
        <v>1950</v>
      </c>
      <c r="Q724" t="s">
        <v>42</v>
      </c>
      <c r="R724" s="1">
        <v>45363</v>
      </c>
      <c r="S724">
        <v>3</v>
      </c>
      <c r="T724" t="s">
        <v>32</v>
      </c>
      <c r="U724" t="s">
        <v>64</v>
      </c>
      <c r="V724" t="s">
        <v>2689</v>
      </c>
      <c r="W724" t="s">
        <v>1262</v>
      </c>
      <c r="X724">
        <v>7250</v>
      </c>
      <c r="Y724">
        <v>300</v>
      </c>
      <c r="Z724">
        <v>900</v>
      </c>
      <c r="AA724" t="s">
        <v>2690</v>
      </c>
    </row>
    <row r="725" spans="1:27" x14ac:dyDescent="0.2">
      <c r="A725">
        <v>3719</v>
      </c>
      <c r="B725" t="s">
        <v>864</v>
      </c>
      <c r="C725" t="str">
        <f>_xlfn.CONCAT(Merge[[#This Row],[Customer First Name]]," ",Merge[[#This Row],[Customer Last Name]])</f>
        <v>Elian Greer</v>
      </c>
      <c r="D725" t="s">
        <v>1010</v>
      </c>
      <c r="E725">
        <v>1951</v>
      </c>
      <c r="F725" t="s">
        <v>37</v>
      </c>
      <c r="G725" s="1">
        <v>45427</v>
      </c>
      <c r="H725">
        <v>1</v>
      </c>
      <c r="I725" t="s">
        <v>32</v>
      </c>
      <c r="J725" t="s">
        <v>81</v>
      </c>
      <c r="K725">
        <v>0.3</v>
      </c>
      <c r="L725">
        <v>272.7</v>
      </c>
      <c r="M725">
        <v>909</v>
      </c>
      <c r="N725">
        <v>636.29999999999995</v>
      </c>
      <c r="O725" t="s">
        <v>48</v>
      </c>
      <c r="P725">
        <v>1951</v>
      </c>
      <c r="Q725" t="s">
        <v>37</v>
      </c>
      <c r="R725" s="1">
        <v>45427</v>
      </c>
      <c r="S725">
        <v>3</v>
      </c>
      <c r="T725" t="s">
        <v>32</v>
      </c>
      <c r="U725" t="s">
        <v>81</v>
      </c>
      <c r="V725" t="s">
        <v>2691</v>
      </c>
      <c r="W725" t="s">
        <v>1361</v>
      </c>
      <c r="X725">
        <v>870</v>
      </c>
      <c r="Y725">
        <v>800</v>
      </c>
      <c r="Z725">
        <v>2400</v>
      </c>
      <c r="AA725" t="s">
        <v>2692</v>
      </c>
    </row>
    <row r="726" spans="1:27" x14ac:dyDescent="0.2">
      <c r="A726">
        <v>3720</v>
      </c>
      <c r="B726" t="s">
        <v>1011</v>
      </c>
      <c r="C726" t="str">
        <f>_xlfn.CONCAT(Merge[[#This Row],[Customer First Name]]," ",Merge[[#This Row],[Customer Last Name]])</f>
        <v>Frederick Phillips</v>
      </c>
      <c r="D726" t="s">
        <v>811</v>
      </c>
      <c r="E726">
        <v>1952</v>
      </c>
      <c r="F726" t="s">
        <v>37</v>
      </c>
      <c r="G726" s="1">
        <v>45522</v>
      </c>
      <c r="H726">
        <v>1</v>
      </c>
      <c r="I726" t="s">
        <v>32</v>
      </c>
      <c r="J726" t="s">
        <v>39</v>
      </c>
      <c r="K726">
        <v>0.3</v>
      </c>
      <c r="L726">
        <v>33.299999999999997</v>
      </c>
      <c r="M726">
        <v>111</v>
      </c>
      <c r="N726">
        <v>77.7</v>
      </c>
      <c r="O726" t="s">
        <v>44</v>
      </c>
      <c r="P726">
        <v>1952</v>
      </c>
      <c r="Q726" t="s">
        <v>37</v>
      </c>
      <c r="R726" s="1">
        <v>45522</v>
      </c>
      <c r="S726">
        <v>1</v>
      </c>
      <c r="T726" t="s">
        <v>32</v>
      </c>
      <c r="U726" t="s">
        <v>39</v>
      </c>
      <c r="V726" t="s">
        <v>2693</v>
      </c>
      <c r="W726" t="s">
        <v>1241</v>
      </c>
      <c r="X726">
        <v>2600</v>
      </c>
      <c r="Y726">
        <v>800</v>
      </c>
      <c r="Z726">
        <v>800</v>
      </c>
      <c r="AA726" t="s">
        <v>2694</v>
      </c>
    </row>
    <row r="727" spans="1:27" x14ac:dyDescent="0.2">
      <c r="A727">
        <v>3721</v>
      </c>
      <c r="B727" t="s">
        <v>302</v>
      </c>
      <c r="C727" t="str">
        <f>_xlfn.CONCAT(Merge[[#This Row],[Customer First Name]]," ",Merge[[#This Row],[Customer Last Name]])</f>
        <v>Rhys Velazquez</v>
      </c>
      <c r="D727" t="s">
        <v>853</v>
      </c>
      <c r="E727">
        <v>1953</v>
      </c>
      <c r="F727" t="s">
        <v>51</v>
      </c>
      <c r="G727" s="1">
        <v>45414</v>
      </c>
      <c r="H727">
        <v>2</v>
      </c>
      <c r="I727" t="s">
        <v>32</v>
      </c>
      <c r="J727" t="s">
        <v>64</v>
      </c>
      <c r="K727">
        <v>0.2</v>
      </c>
      <c r="L727">
        <v>83.800000000000011</v>
      </c>
      <c r="M727">
        <v>419</v>
      </c>
      <c r="N727">
        <v>335.2</v>
      </c>
      <c r="O727" t="s">
        <v>54</v>
      </c>
      <c r="P727">
        <v>1953</v>
      </c>
      <c r="Q727" t="s">
        <v>51</v>
      </c>
      <c r="R727" s="1">
        <v>45414</v>
      </c>
      <c r="S727">
        <v>1</v>
      </c>
      <c r="T727" t="s">
        <v>32</v>
      </c>
      <c r="U727" t="s">
        <v>64</v>
      </c>
      <c r="V727" t="s">
        <v>2695</v>
      </c>
      <c r="W727" t="s">
        <v>1265</v>
      </c>
      <c r="X727">
        <v>7000</v>
      </c>
      <c r="Y727">
        <v>250</v>
      </c>
      <c r="Z727">
        <v>250</v>
      </c>
      <c r="AA727" t="s">
        <v>2696</v>
      </c>
    </row>
    <row r="728" spans="1:27" x14ac:dyDescent="0.2">
      <c r="A728">
        <v>3722</v>
      </c>
      <c r="B728" t="s">
        <v>235</v>
      </c>
      <c r="C728" t="str">
        <f>_xlfn.CONCAT(Merge[[#This Row],[Customer First Name]]," ",Merge[[#This Row],[Customer Last Name]])</f>
        <v>Michelle Cardenas</v>
      </c>
      <c r="D728" t="s">
        <v>353</v>
      </c>
      <c r="E728">
        <v>1954</v>
      </c>
      <c r="F728" t="s">
        <v>76</v>
      </c>
      <c r="G728" s="1">
        <v>45322</v>
      </c>
      <c r="H728">
        <v>3</v>
      </c>
      <c r="I728" t="s">
        <v>52</v>
      </c>
      <c r="J728" t="s">
        <v>53</v>
      </c>
      <c r="K728">
        <v>0.25</v>
      </c>
      <c r="L728">
        <v>314.5</v>
      </c>
      <c r="M728">
        <v>1258</v>
      </c>
      <c r="N728">
        <v>943.5</v>
      </c>
      <c r="O728" t="s">
        <v>48</v>
      </c>
      <c r="P728">
        <v>1954</v>
      </c>
      <c r="Q728" t="s">
        <v>76</v>
      </c>
      <c r="R728" s="1">
        <v>45322</v>
      </c>
      <c r="S728">
        <v>2</v>
      </c>
      <c r="T728" t="s">
        <v>52</v>
      </c>
      <c r="U728" t="s">
        <v>53</v>
      </c>
      <c r="V728" t="s">
        <v>2697</v>
      </c>
      <c r="W728" t="s">
        <v>1250</v>
      </c>
      <c r="X728">
        <v>4217</v>
      </c>
      <c r="Y728">
        <v>1200</v>
      </c>
      <c r="Z728">
        <v>2400</v>
      </c>
      <c r="AA728" t="s">
        <v>2698</v>
      </c>
    </row>
    <row r="729" spans="1:27" x14ac:dyDescent="0.2">
      <c r="A729">
        <v>3723</v>
      </c>
      <c r="B729" t="s">
        <v>870</v>
      </c>
      <c r="C729" t="str">
        <f>_xlfn.CONCAT(Merge[[#This Row],[Customer First Name]]," ",Merge[[#This Row],[Customer Last Name]])</f>
        <v>Autumn Vaughan</v>
      </c>
      <c r="D729" t="s">
        <v>1012</v>
      </c>
      <c r="E729">
        <v>1955</v>
      </c>
      <c r="F729" t="s">
        <v>42</v>
      </c>
      <c r="G729" s="1">
        <v>45417</v>
      </c>
      <c r="H729">
        <v>3</v>
      </c>
      <c r="I729" t="s">
        <v>71</v>
      </c>
      <c r="J729" t="s">
        <v>53</v>
      </c>
      <c r="K729">
        <v>0.25</v>
      </c>
      <c r="L729">
        <v>58</v>
      </c>
      <c r="M729">
        <v>232</v>
      </c>
      <c r="N729">
        <v>174</v>
      </c>
      <c r="O729" t="s">
        <v>48</v>
      </c>
      <c r="P729">
        <v>1955</v>
      </c>
      <c r="Q729" t="s">
        <v>42</v>
      </c>
      <c r="R729" s="1">
        <v>45417</v>
      </c>
      <c r="S729">
        <v>2</v>
      </c>
      <c r="T729" t="s">
        <v>71</v>
      </c>
      <c r="U729" t="s">
        <v>53</v>
      </c>
      <c r="V729" t="s">
        <v>2699</v>
      </c>
      <c r="W729" t="s">
        <v>1305</v>
      </c>
      <c r="X729">
        <v>4000</v>
      </c>
      <c r="Y729">
        <v>300</v>
      </c>
      <c r="Z729">
        <v>600</v>
      </c>
      <c r="AA729" t="s">
        <v>2700</v>
      </c>
    </row>
    <row r="730" spans="1:27" x14ac:dyDescent="0.2">
      <c r="A730">
        <v>3724</v>
      </c>
      <c r="B730" t="s">
        <v>268</v>
      </c>
      <c r="C730" t="str">
        <f>_xlfn.CONCAT(Merge[[#This Row],[Customer First Name]]," ",Merge[[#This Row],[Customer Last Name]])</f>
        <v>Jade Charles</v>
      </c>
      <c r="D730" t="s">
        <v>486</v>
      </c>
      <c r="E730">
        <v>1956</v>
      </c>
      <c r="F730" t="s">
        <v>42</v>
      </c>
      <c r="G730" s="1">
        <v>45615</v>
      </c>
      <c r="H730">
        <v>3</v>
      </c>
      <c r="I730" t="s">
        <v>52</v>
      </c>
      <c r="J730" t="s">
        <v>64</v>
      </c>
      <c r="K730">
        <v>0.25</v>
      </c>
      <c r="L730">
        <v>373.75</v>
      </c>
      <c r="M730">
        <v>1495</v>
      </c>
      <c r="N730">
        <v>1121.25</v>
      </c>
      <c r="O730" t="s">
        <v>54</v>
      </c>
      <c r="P730">
        <v>1956</v>
      </c>
      <c r="Q730" t="s">
        <v>42</v>
      </c>
      <c r="R730" s="1">
        <v>45615</v>
      </c>
      <c r="S730">
        <v>2</v>
      </c>
      <c r="T730" t="s">
        <v>52</v>
      </c>
      <c r="U730" t="s">
        <v>64</v>
      </c>
      <c r="V730" t="s">
        <v>2701</v>
      </c>
      <c r="W730" t="s">
        <v>1400</v>
      </c>
      <c r="X730">
        <v>7310</v>
      </c>
      <c r="Y730">
        <v>300</v>
      </c>
      <c r="Z730">
        <v>600</v>
      </c>
      <c r="AA730" t="s">
        <v>2702</v>
      </c>
    </row>
    <row r="731" spans="1:27" x14ac:dyDescent="0.2">
      <c r="A731">
        <v>3725</v>
      </c>
      <c r="B731" t="s">
        <v>933</v>
      </c>
      <c r="C731" t="str">
        <f>_xlfn.CONCAT(Merge[[#This Row],[Customer First Name]]," ",Merge[[#This Row],[Customer Last Name]])</f>
        <v>Emiliano Colón</v>
      </c>
      <c r="D731" t="s">
        <v>1013</v>
      </c>
      <c r="E731">
        <v>1957</v>
      </c>
      <c r="F731" t="s">
        <v>31</v>
      </c>
      <c r="G731" s="1">
        <v>45365</v>
      </c>
      <c r="H731">
        <v>3</v>
      </c>
      <c r="I731" t="s">
        <v>32</v>
      </c>
      <c r="J731" t="s">
        <v>43</v>
      </c>
      <c r="K731">
        <v>0.1</v>
      </c>
      <c r="L731">
        <v>66.8</v>
      </c>
      <c r="M731">
        <v>668</v>
      </c>
      <c r="N731">
        <v>601.20000000000005</v>
      </c>
      <c r="O731" t="s">
        <v>54</v>
      </c>
      <c r="P731">
        <v>1957</v>
      </c>
      <c r="Q731" t="s">
        <v>31</v>
      </c>
      <c r="R731" s="1">
        <v>45365</v>
      </c>
      <c r="S731">
        <v>1</v>
      </c>
      <c r="T731" t="s">
        <v>32</v>
      </c>
      <c r="U731" t="s">
        <v>43</v>
      </c>
      <c r="V731" t="s">
        <v>2703</v>
      </c>
      <c r="W731" t="s">
        <v>865</v>
      </c>
      <c r="X731">
        <v>2000</v>
      </c>
      <c r="Y731">
        <v>250</v>
      </c>
      <c r="Z731">
        <v>250</v>
      </c>
      <c r="AA731" t="s">
        <v>2704</v>
      </c>
    </row>
    <row r="732" spans="1:27" x14ac:dyDescent="0.2">
      <c r="A732">
        <v>3726</v>
      </c>
      <c r="B732" t="s">
        <v>224</v>
      </c>
      <c r="C732" t="str">
        <f>_xlfn.CONCAT(Merge[[#This Row],[Customer First Name]]," ",Merge[[#This Row],[Customer Last Name]])</f>
        <v>Malik Rosales</v>
      </c>
      <c r="D732" t="s">
        <v>293</v>
      </c>
      <c r="E732">
        <v>1958</v>
      </c>
      <c r="F732" t="s">
        <v>31</v>
      </c>
      <c r="G732" s="1">
        <v>45600</v>
      </c>
      <c r="H732">
        <v>3</v>
      </c>
      <c r="I732" t="s">
        <v>52</v>
      </c>
      <c r="J732" t="s">
        <v>64</v>
      </c>
      <c r="K732">
        <v>0.1</v>
      </c>
      <c r="L732">
        <v>46.800000000000004</v>
      </c>
      <c r="M732">
        <v>468</v>
      </c>
      <c r="N732">
        <v>421.2</v>
      </c>
      <c r="O732" t="s">
        <v>34</v>
      </c>
      <c r="P732">
        <v>1958</v>
      </c>
      <c r="Q732" t="s">
        <v>31</v>
      </c>
      <c r="R732" s="1">
        <v>45600</v>
      </c>
      <c r="S732">
        <v>1</v>
      </c>
      <c r="T732" t="s">
        <v>52</v>
      </c>
      <c r="U732" t="s">
        <v>64</v>
      </c>
      <c r="V732" t="s">
        <v>2705</v>
      </c>
      <c r="W732" t="s">
        <v>1400</v>
      </c>
      <c r="X732">
        <v>7310</v>
      </c>
      <c r="Y732">
        <v>250</v>
      </c>
      <c r="Z732">
        <v>250</v>
      </c>
      <c r="AA732" t="s">
        <v>2706</v>
      </c>
    </row>
    <row r="733" spans="1:27" x14ac:dyDescent="0.2">
      <c r="A733">
        <v>3727</v>
      </c>
      <c r="B733" t="s">
        <v>1003</v>
      </c>
      <c r="C733" t="str">
        <f>_xlfn.CONCAT(Merge[[#This Row],[Customer First Name]]," ",Merge[[#This Row],[Customer Last Name]])</f>
        <v>Aria Potts</v>
      </c>
      <c r="D733" t="s">
        <v>212</v>
      </c>
      <c r="E733">
        <v>1959</v>
      </c>
      <c r="F733" t="s">
        <v>37</v>
      </c>
      <c r="G733" s="1">
        <v>45476</v>
      </c>
      <c r="H733">
        <v>3</v>
      </c>
      <c r="I733" t="s">
        <v>32</v>
      </c>
      <c r="J733" t="s">
        <v>81</v>
      </c>
      <c r="K733">
        <v>0.3</v>
      </c>
      <c r="L733">
        <v>424.8</v>
      </c>
      <c r="M733">
        <v>1416</v>
      </c>
      <c r="N733">
        <v>991.2</v>
      </c>
      <c r="O733" t="s">
        <v>54</v>
      </c>
      <c r="P733">
        <v>1959</v>
      </c>
      <c r="Q733" t="s">
        <v>37</v>
      </c>
      <c r="R733" s="1">
        <v>45476</v>
      </c>
      <c r="S733">
        <v>3</v>
      </c>
      <c r="T733" t="s">
        <v>32</v>
      </c>
      <c r="U733" t="s">
        <v>81</v>
      </c>
      <c r="V733" t="s">
        <v>2707</v>
      </c>
      <c r="W733" t="s">
        <v>1361</v>
      </c>
      <c r="X733">
        <v>870</v>
      </c>
      <c r="Y733">
        <v>800</v>
      </c>
      <c r="Z733">
        <v>2400</v>
      </c>
      <c r="AA733" t="s">
        <v>2708</v>
      </c>
    </row>
    <row r="734" spans="1:27" x14ac:dyDescent="0.2">
      <c r="A734">
        <v>3728</v>
      </c>
      <c r="B734" t="s">
        <v>1014</v>
      </c>
      <c r="C734" t="str">
        <f>_xlfn.CONCAT(Merge[[#This Row],[Customer First Name]]," ",Merge[[#This Row],[Customer Last Name]])</f>
        <v>Ariah Jacobson</v>
      </c>
      <c r="D734" t="s">
        <v>1015</v>
      </c>
      <c r="E734">
        <v>1960</v>
      </c>
      <c r="F734" t="s">
        <v>31</v>
      </c>
      <c r="G734" s="1">
        <v>45506</v>
      </c>
      <c r="H734">
        <v>1</v>
      </c>
      <c r="I734" t="s">
        <v>52</v>
      </c>
      <c r="J734" t="s">
        <v>57</v>
      </c>
      <c r="K734">
        <v>0.1</v>
      </c>
      <c r="L734">
        <v>178.3</v>
      </c>
      <c r="M734">
        <v>1783</v>
      </c>
      <c r="N734">
        <v>1604.7</v>
      </c>
      <c r="O734" t="s">
        <v>34</v>
      </c>
      <c r="P734">
        <v>1960</v>
      </c>
      <c r="Q734" t="s">
        <v>31</v>
      </c>
      <c r="R734" s="1">
        <v>45506</v>
      </c>
      <c r="S734">
        <v>1</v>
      </c>
      <c r="T734" t="s">
        <v>52</v>
      </c>
      <c r="U734" t="s">
        <v>57</v>
      </c>
      <c r="V734" t="s">
        <v>2709</v>
      </c>
      <c r="W734" t="s">
        <v>1095</v>
      </c>
      <c r="X734">
        <v>5000</v>
      </c>
      <c r="Y734">
        <v>250</v>
      </c>
      <c r="Z734">
        <v>250</v>
      </c>
      <c r="AA734" t="s">
        <v>2710</v>
      </c>
    </row>
    <row r="735" spans="1:27" x14ac:dyDescent="0.2">
      <c r="A735">
        <v>3729</v>
      </c>
      <c r="B735" t="s">
        <v>1016</v>
      </c>
      <c r="C735" t="str">
        <f>_xlfn.CONCAT(Merge[[#This Row],[Customer First Name]]," ",Merge[[#This Row],[Customer Last Name]])</f>
        <v>Teagan Beasley</v>
      </c>
      <c r="D735" t="s">
        <v>649</v>
      </c>
      <c r="E735">
        <v>1961</v>
      </c>
      <c r="F735" t="s">
        <v>31</v>
      </c>
      <c r="G735" s="1">
        <v>45547</v>
      </c>
      <c r="H735">
        <v>3</v>
      </c>
      <c r="I735" t="s">
        <v>52</v>
      </c>
      <c r="J735" t="s">
        <v>47</v>
      </c>
      <c r="K735">
        <v>0.1</v>
      </c>
      <c r="L735">
        <v>123.30000000000001</v>
      </c>
      <c r="M735">
        <v>1233</v>
      </c>
      <c r="N735">
        <v>1109.7</v>
      </c>
      <c r="O735" t="s">
        <v>44</v>
      </c>
      <c r="P735">
        <v>1961</v>
      </c>
      <c r="Q735" t="s">
        <v>31</v>
      </c>
      <c r="R735" s="1">
        <v>45547</v>
      </c>
      <c r="S735">
        <v>3</v>
      </c>
      <c r="T735" t="s">
        <v>52</v>
      </c>
      <c r="U735" t="s">
        <v>47</v>
      </c>
      <c r="V735" t="s">
        <v>2711</v>
      </c>
      <c r="W735" t="s">
        <v>1247</v>
      </c>
      <c r="X735">
        <v>3350</v>
      </c>
      <c r="Y735">
        <v>250</v>
      </c>
      <c r="Z735">
        <v>750</v>
      </c>
      <c r="AA735" t="s">
        <v>2712</v>
      </c>
    </row>
    <row r="736" spans="1:27" x14ac:dyDescent="0.2">
      <c r="A736">
        <v>3730</v>
      </c>
      <c r="B736" t="s">
        <v>269</v>
      </c>
      <c r="C736" t="str">
        <f>_xlfn.CONCAT(Merge[[#This Row],[Customer First Name]]," ",Merge[[#This Row],[Customer Last Name]])</f>
        <v>Sebastian Pollard</v>
      </c>
      <c r="D736" t="s">
        <v>883</v>
      </c>
      <c r="E736">
        <v>1962</v>
      </c>
      <c r="F736" t="s">
        <v>92</v>
      </c>
      <c r="G736" s="1">
        <v>45395</v>
      </c>
      <c r="H736">
        <v>1</v>
      </c>
      <c r="I736" t="s">
        <v>71</v>
      </c>
      <c r="J736" t="s">
        <v>47</v>
      </c>
      <c r="K736">
        <v>0.3</v>
      </c>
      <c r="L736">
        <v>375</v>
      </c>
      <c r="M736">
        <v>1250</v>
      </c>
      <c r="N736">
        <v>875</v>
      </c>
      <c r="O736" t="s">
        <v>34</v>
      </c>
      <c r="P736">
        <v>1962</v>
      </c>
      <c r="Q736" t="s">
        <v>92</v>
      </c>
      <c r="R736" s="1">
        <v>45395</v>
      </c>
      <c r="S736">
        <v>3</v>
      </c>
      <c r="T736" t="s">
        <v>71</v>
      </c>
      <c r="U736" t="s">
        <v>47</v>
      </c>
      <c r="V736" t="s">
        <v>2713</v>
      </c>
      <c r="W736" t="s">
        <v>1275</v>
      </c>
      <c r="X736">
        <v>3000</v>
      </c>
      <c r="Y736">
        <v>600</v>
      </c>
      <c r="Z736">
        <v>1800</v>
      </c>
      <c r="AA736" t="s">
        <v>2714</v>
      </c>
    </row>
    <row r="737" spans="1:27" x14ac:dyDescent="0.2">
      <c r="A737">
        <v>3731</v>
      </c>
      <c r="B737" t="s">
        <v>692</v>
      </c>
      <c r="C737" t="str">
        <f>_xlfn.CONCAT(Merge[[#This Row],[Customer First Name]]," ",Merge[[#This Row],[Customer Last Name]])</f>
        <v>Malia Stanley</v>
      </c>
      <c r="D737" t="s">
        <v>1017</v>
      </c>
      <c r="E737">
        <v>1963</v>
      </c>
      <c r="F737" t="s">
        <v>51</v>
      </c>
      <c r="G737" s="1">
        <v>45454</v>
      </c>
      <c r="H737">
        <v>2</v>
      </c>
      <c r="I737" t="s">
        <v>38</v>
      </c>
      <c r="J737" t="s">
        <v>53</v>
      </c>
      <c r="K737">
        <v>0.2</v>
      </c>
      <c r="L737">
        <v>68.2</v>
      </c>
      <c r="M737">
        <v>341</v>
      </c>
      <c r="N737">
        <v>272.8</v>
      </c>
      <c r="O737" t="s">
        <v>44</v>
      </c>
      <c r="P737">
        <v>1963</v>
      </c>
      <c r="Q737" t="s">
        <v>51</v>
      </c>
      <c r="R737" s="1">
        <v>45454</v>
      </c>
      <c r="S737">
        <v>2</v>
      </c>
      <c r="T737" t="s">
        <v>38</v>
      </c>
      <c r="U737" t="s">
        <v>53</v>
      </c>
      <c r="V737" t="s">
        <v>2715</v>
      </c>
      <c r="W737" t="s">
        <v>1305</v>
      </c>
      <c r="X737">
        <v>4000</v>
      </c>
      <c r="Y737">
        <v>250</v>
      </c>
      <c r="Z737">
        <v>500</v>
      </c>
      <c r="AA737" t="s">
        <v>2716</v>
      </c>
    </row>
    <row r="738" spans="1:27" x14ac:dyDescent="0.2">
      <c r="A738">
        <v>3732</v>
      </c>
      <c r="B738" t="s">
        <v>1018</v>
      </c>
      <c r="C738" t="str">
        <f>_xlfn.CONCAT(Merge[[#This Row],[Customer First Name]]," ",Merge[[#This Row],[Customer Last Name]])</f>
        <v>Baylor Aguirre</v>
      </c>
      <c r="D738" t="s">
        <v>1019</v>
      </c>
      <c r="E738">
        <v>1964</v>
      </c>
      <c r="F738" t="s">
        <v>31</v>
      </c>
      <c r="G738" s="1">
        <v>45355</v>
      </c>
      <c r="H738">
        <v>1</v>
      </c>
      <c r="I738" t="s">
        <v>52</v>
      </c>
      <c r="J738" t="s">
        <v>43</v>
      </c>
      <c r="K738">
        <v>0.1</v>
      </c>
      <c r="L738">
        <v>70.400000000000006</v>
      </c>
      <c r="M738">
        <v>704</v>
      </c>
      <c r="N738">
        <v>633.6</v>
      </c>
      <c r="O738" t="s">
        <v>54</v>
      </c>
      <c r="P738">
        <v>1964</v>
      </c>
      <c r="Q738" t="s">
        <v>31</v>
      </c>
      <c r="R738" s="1">
        <v>45355</v>
      </c>
      <c r="S738">
        <v>1</v>
      </c>
      <c r="T738" t="s">
        <v>52</v>
      </c>
      <c r="U738" t="s">
        <v>43</v>
      </c>
      <c r="V738" t="s">
        <v>2717</v>
      </c>
      <c r="W738" t="s">
        <v>865</v>
      </c>
      <c r="X738">
        <v>2000</v>
      </c>
      <c r="Y738">
        <v>250</v>
      </c>
      <c r="Z738">
        <v>250</v>
      </c>
      <c r="AA738" t="s">
        <v>2718</v>
      </c>
    </row>
    <row r="739" spans="1:27" x14ac:dyDescent="0.2">
      <c r="A739">
        <v>3733</v>
      </c>
      <c r="B739" t="s">
        <v>103</v>
      </c>
      <c r="C739" t="str">
        <f>_xlfn.CONCAT(Merge[[#This Row],[Customer First Name]]," ",Merge[[#This Row],[Customer Last Name]])</f>
        <v>Kayden Thompson</v>
      </c>
      <c r="D739" t="s">
        <v>176</v>
      </c>
      <c r="E739">
        <v>1965</v>
      </c>
      <c r="F739" t="s">
        <v>76</v>
      </c>
      <c r="G739" s="1">
        <v>45514</v>
      </c>
      <c r="H739">
        <v>3</v>
      </c>
      <c r="I739" t="s">
        <v>32</v>
      </c>
      <c r="J739" t="s">
        <v>43</v>
      </c>
      <c r="K739">
        <v>0.25</v>
      </c>
      <c r="L739">
        <v>331.75</v>
      </c>
      <c r="M739">
        <v>1327</v>
      </c>
      <c r="N739">
        <v>995.25</v>
      </c>
      <c r="O739" t="s">
        <v>48</v>
      </c>
      <c r="P739">
        <v>1965</v>
      </c>
      <c r="Q739" t="s">
        <v>76</v>
      </c>
      <c r="R739" s="1">
        <v>45514</v>
      </c>
      <c r="S739">
        <v>2</v>
      </c>
      <c r="T739" t="s">
        <v>32</v>
      </c>
      <c r="U739" t="s">
        <v>43</v>
      </c>
      <c r="V739" t="s">
        <v>2719</v>
      </c>
      <c r="W739" t="s">
        <v>865</v>
      </c>
      <c r="X739">
        <v>2000</v>
      </c>
      <c r="Y739">
        <v>1200</v>
      </c>
      <c r="Z739">
        <v>2400</v>
      </c>
      <c r="AA739" t="s">
        <v>2720</v>
      </c>
    </row>
    <row r="740" spans="1:27" x14ac:dyDescent="0.2">
      <c r="A740">
        <v>3734</v>
      </c>
      <c r="B740" t="s">
        <v>369</v>
      </c>
      <c r="C740" t="str">
        <f>_xlfn.CONCAT(Merge[[#This Row],[Customer First Name]]," ",Merge[[#This Row],[Customer Last Name]])</f>
        <v>Rose Boone</v>
      </c>
      <c r="D740" t="s">
        <v>315</v>
      </c>
      <c r="E740">
        <v>1966</v>
      </c>
      <c r="F740" t="s">
        <v>51</v>
      </c>
      <c r="G740" s="1">
        <v>45505</v>
      </c>
      <c r="H740">
        <v>1</v>
      </c>
      <c r="I740" t="s">
        <v>52</v>
      </c>
      <c r="J740" t="s">
        <v>39</v>
      </c>
      <c r="K740">
        <v>0.2</v>
      </c>
      <c r="L740">
        <v>318.60000000000002</v>
      </c>
      <c r="M740">
        <v>1593</v>
      </c>
      <c r="N740">
        <v>1274.4000000000001</v>
      </c>
      <c r="O740" t="s">
        <v>34</v>
      </c>
      <c r="P740">
        <v>1966</v>
      </c>
      <c r="Q740" t="s">
        <v>51</v>
      </c>
      <c r="R740" s="1">
        <v>45505</v>
      </c>
      <c r="S740">
        <v>2</v>
      </c>
      <c r="T740" t="s">
        <v>52</v>
      </c>
      <c r="U740" t="s">
        <v>39</v>
      </c>
      <c r="V740" t="s">
        <v>2721</v>
      </c>
      <c r="W740" t="s">
        <v>1241</v>
      </c>
      <c r="X740">
        <v>2600</v>
      </c>
      <c r="Y740">
        <v>250</v>
      </c>
      <c r="Z740">
        <v>500</v>
      </c>
      <c r="AA740" t="s">
        <v>2722</v>
      </c>
    </row>
    <row r="741" spans="1:27" x14ac:dyDescent="0.2">
      <c r="A741">
        <v>3735</v>
      </c>
      <c r="B741" t="s">
        <v>351</v>
      </c>
      <c r="C741" t="str">
        <f>_xlfn.CONCAT(Merge[[#This Row],[Customer First Name]]," ",Merge[[#This Row],[Customer Last Name]])</f>
        <v>Christian Barrera</v>
      </c>
      <c r="D741" t="s">
        <v>354</v>
      </c>
      <c r="E741">
        <v>1967</v>
      </c>
      <c r="F741" t="s">
        <v>92</v>
      </c>
      <c r="G741" s="1">
        <v>45359</v>
      </c>
      <c r="H741">
        <v>1</v>
      </c>
      <c r="I741" t="s">
        <v>32</v>
      </c>
      <c r="J741" t="s">
        <v>43</v>
      </c>
      <c r="K741">
        <v>0.3</v>
      </c>
      <c r="L741">
        <v>378</v>
      </c>
      <c r="M741">
        <v>1260</v>
      </c>
      <c r="N741">
        <v>882</v>
      </c>
      <c r="O741" t="s">
        <v>54</v>
      </c>
      <c r="P741">
        <v>1967</v>
      </c>
      <c r="Q741" t="s">
        <v>92</v>
      </c>
      <c r="R741" s="1">
        <v>45359</v>
      </c>
      <c r="S741">
        <v>3</v>
      </c>
      <c r="T741" t="s">
        <v>32</v>
      </c>
      <c r="U741" t="s">
        <v>43</v>
      </c>
      <c r="V741" t="s">
        <v>2723</v>
      </c>
      <c r="W741" t="s">
        <v>865</v>
      </c>
      <c r="X741">
        <v>2000</v>
      </c>
      <c r="Y741">
        <v>600</v>
      </c>
      <c r="Z741">
        <v>1800</v>
      </c>
      <c r="AA741" t="s">
        <v>2724</v>
      </c>
    </row>
    <row r="742" spans="1:27" x14ac:dyDescent="0.2">
      <c r="A742">
        <v>3736</v>
      </c>
      <c r="B742" t="s">
        <v>362</v>
      </c>
      <c r="C742" t="str">
        <f>_xlfn.CONCAT(Merge[[#This Row],[Customer First Name]]," ",Merge[[#This Row],[Customer Last Name]])</f>
        <v>Nicolas Hoffman</v>
      </c>
      <c r="D742" t="s">
        <v>1020</v>
      </c>
      <c r="E742">
        <v>1968</v>
      </c>
      <c r="F742" t="s">
        <v>31</v>
      </c>
      <c r="G742" s="1">
        <v>45625</v>
      </c>
      <c r="H742">
        <v>3</v>
      </c>
      <c r="I742" t="s">
        <v>71</v>
      </c>
      <c r="J742" t="s">
        <v>81</v>
      </c>
      <c r="K742">
        <v>0.1</v>
      </c>
      <c r="L742">
        <v>132.9</v>
      </c>
      <c r="M742">
        <v>1329</v>
      </c>
      <c r="N742">
        <v>1196.0999999999999</v>
      </c>
      <c r="O742" t="s">
        <v>54</v>
      </c>
      <c r="P742">
        <v>1968</v>
      </c>
      <c r="Q742" t="s">
        <v>31</v>
      </c>
      <c r="R742" s="1">
        <v>45625</v>
      </c>
      <c r="S742">
        <v>2</v>
      </c>
      <c r="T742" t="s">
        <v>71</v>
      </c>
      <c r="U742" t="s">
        <v>81</v>
      </c>
      <c r="V742" t="s">
        <v>2725</v>
      </c>
      <c r="W742" t="s">
        <v>1280</v>
      </c>
      <c r="X742">
        <v>800</v>
      </c>
      <c r="Y742">
        <v>250</v>
      </c>
      <c r="Z742">
        <v>500</v>
      </c>
      <c r="AA742" t="s">
        <v>2726</v>
      </c>
    </row>
    <row r="743" spans="1:27" x14ac:dyDescent="0.2">
      <c r="A743">
        <v>3737</v>
      </c>
      <c r="B743" t="s">
        <v>1021</v>
      </c>
      <c r="C743" t="str">
        <f>_xlfn.CONCAT(Merge[[#This Row],[Customer First Name]]," ",Merge[[#This Row],[Customer Last Name]])</f>
        <v>Caiden Morrison</v>
      </c>
      <c r="D743" t="s">
        <v>1022</v>
      </c>
      <c r="E743">
        <v>1969</v>
      </c>
      <c r="F743" t="s">
        <v>42</v>
      </c>
      <c r="G743" s="1">
        <v>45374</v>
      </c>
      <c r="H743">
        <v>2</v>
      </c>
      <c r="I743" t="s">
        <v>32</v>
      </c>
      <c r="J743" t="s">
        <v>33</v>
      </c>
      <c r="K743">
        <v>0.25</v>
      </c>
      <c r="L743">
        <v>189</v>
      </c>
      <c r="M743">
        <v>756</v>
      </c>
      <c r="N743">
        <v>567</v>
      </c>
      <c r="O743" t="s">
        <v>44</v>
      </c>
      <c r="P743">
        <v>1969</v>
      </c>
      <c r="Q743" t="s">
        <v>42</v>
      </c>
      <c r="R743" s="1">
        <v>45374</v>
      </c>
      <c r="S743">
        <v>2</v>
      </c>
      <c r="T743" t="s">
        <v>32</v>
      </c>
      <c r="U743" t="s">
        <v>33</v>
      </c>
      <c r="V743" t="s">
        <v>2727</v>
      </c>
      <c r="W743" t="s">
        <v>1259</v>
      </c>
      <c r="X743">
        <v>6160</v>
      </c>
      <c r="Y743">
        <v>300</v>
      </c>
      <c r="Z743">
        <v>600</v>
      </c>
      <c r="AA743" t="s">
        <v>2728</v>
      </c>
    </row>
    <row r="744" spans="1:27" x14ac:dyDescent="0.2">
      <c r="A744">
        <v>3738</v>
      </c>
      <c r="B744" t="s">
        <v>229</v>
      </c>
      <c r="C744" t="str">
        <f>_xlfn.CONCAT(Merge[[#This Row],[Customer First Name]]," ",Merge[[#This Row],[Customer Last Name]])</f>
        <v>Dallas Crawford</v>
      </c>
      <c r="D744" t="s">
        <v>1023</v>
      </c>
      <c r="E744">
        <v>1970</v>
      </c>
      <c r="F744" t="s">
        <v>92</v>
      </c>
      <c r="G744" s="1">
        <v>45483</v>
      </c>
      <c r="H744">
        <v>2</v>
      </c>
      <c r="I744" t="s">
        <v>52</v>
      </c>
      <c r="J744" t="s">
        <v>57</v>
      </c>
      <c r="K744">
        <v>0.3</v>
      </c>
      <c r="L744">
        <v>325.5</v>
      </c>
      <c r="M744">
        <v>1085</v>
      </c>
      <c r="N744">
        <v>759.5</v>
      </c>
      <c r="O744" t="s">
        <v>48</v>
      </c>
      <c r="P744">
        <v>1970</v>
      </c>
      <c r="Q744" t="s">
        <v>92</v>
      </c>
      <c r="R744" s="1">
        <v>45483</v>
      </c>
      <c r="S744">
        <v>3</v>
      </c>
      <c r="T744" t="s">
        <v>52</v>
      </c>
      <c r="U744" t="s">
        <v>57</v>
      </c>
      <c r="V744" t="s">
        <v>2729</v>
      </c>
      <c r="W744" t="s">
        <v>1350</v>
      </c>
      <c r="X744">
        <v>5600</v>
      </c>
      <c r="Y744">
        <v>600</v>
      </c>
      <c r="Z744">
        <v>1800</v>
      </c>
      <c r="AA744" t="s">
        <v>2730</v>
      </c>
    </row>
    <row r="745" spans="1:27" x14ac:dyDescent="0.2">
      <c r="A745">
        <v>3739</v>
      </c>
      <c r="B745" t="s">
        <v>35</v>
      </c>
      <c r="C745" t="str">
        <f>_xlfn.CONCAT(Merge[[#This Row],[Customer First Name]]," ",Merge[[#This Row],[Customer Last Name]])</f>
        <v>Sawyer Gomez</v>
      </c>
      <c r="D745" t="s">
        <v>107</v>
      </c>
      <c r="E745">
        <v>1971</v>
      </c>
      <c r="F745" t="s">
        <v>76</v>
      </c>
      <c r="G745" s="1">
        <v>45358</v>
      </c>
      <c r="H745">
        <v>1</v>
      </c>
      <c r="I745" t="s">
        <v>32</v>
      </c>
      <c r="J745" t="s">
        <v>39</v>
      </c>
      <c r="K745">
        <v>0.25</v>
      </c>
      <c r="L745">
        <v>365.25</v>
      </c>
      <c r="M745">
        <v>1461</v>
      </c>
      <c r="N745">
        <v>1095.75</v>
      </c>
      <c r="O745" t="s">
        <v>114</v>
      </c>
      <c r="P745">
        <v>1971</v>
      </c>
      <c r="Q745" t="s">
        <v>76</v>
      </c>
      <c r="R745" s="1">
        <v>45358</v>
      </c>
      <c r="S745">
        <v>2</v>
      </c>
      <c r="T745" t="s">
        <v>32</v>
      </c>
      <c r="U745" t="s">
        <v>39</v>
      </c>
      <c r="V745" t="s">
        <v>2731</v>
      </c>
      <c r="W745" t="s">
        <v>1241</v>
      </c>
      <c r="X745">
        <v>2600</v>
      </c>
      <c r="Y745">
        <v>1200</v>
      </c>
      <c r="Z745">
        <v>2400</v>
      </c>
      <c r="AA745" t="s">
        <v>2732</v>
      </c>
    </row>
    <row r="746" spans="1:27" x14ac:dyDescent="0.2">
      <c r="A746">
        <v>3740</v>
      </c>
      <c r="B746" t="s">
        <v>811</v>
      </c>
      <c r="C746" t="str">
        <f>_xlfn.CONCAT(Merge[[#This Row],[Customer First Name]]," ",Merge[[#This Row],[Customer Last Name]])</f>
        <v>Oakley Frederick</v>
      </c>
      <c r="D746" t="s">
        <v>617</v>
      </c>
      <c r="E746">
        <v>1972</v>
      </c>
      <c r="F746" t="s">
        <v>42</v>
      </c>
      <c r="G746" s="1">
        <v>45303</v>
      </c>
      <c r="H746">
        <v>2</v>
      </c>
      <c r="I746" t="s">
        <v>32</v>
      </c>
      <c r="J746" t="s">
        <v>64</v>
      </c>
      <c r="K746">
        <v>0.25</v>
      </c>
      <c r="L746">
        <v>48.75</v>
      </c>
      <c r="M746">
        <v>195</v>
      </c>
      <c r="N746">
        <v>146.25</v>
      </c>
      <c r="O746" t="s">
        <v>114</v>
      </c>
      <c r="P746">
        <v>1972</v>
      </c>
      <c r="Q746" t="s">
        <v>42</v>
      </c>
      <c r="R746" s="1">
        <v>45303</v>
      </c>
      <c r="S746">
        <v>2</v>
      </c>
      <c r="T746" t="s">
        <v>32</v>
      </c>
      <c r="U746" t="s">
        <v>64</v>
      </c>
      <c r="V746" t="s">
        <v>2733</v>
      </c>
      <c r="W746" t="s">
        <v>1265</v>
      </c>
      <c r="X746">
        <v>7000</v>
      </c>
      <c r="Y746">
        <v>300</v>
      </c>
      <c r="Z746">
        <v>600</v>
      </c>
      <c r="AA746" t="s">
        <v>2734</v>
      </c>
    </row>
    <row r="747" spans="1:27" x14ac:dyDescent="0.2">
      <c r="A747">
        <v>3741</v>
      </c>
      <c r="B747" t="s">
        <v>182</v>
      </c>
      <c r="C747" t="str">
        <f>_xlfn.CONCAT(Merge[[#This Row],[Customer First Name]]," ",Merge[[#This Row],[Customer Last Name]])</f>
        <v>Kaiden Correa</v>
      </c>
      <c r="D747" t="s">
        <v>113</v>
      </c>
      <c r="E747">
        <v>1973</v>
      </c>
      <c r="F747" t="s">
        <v>76</v>
      </c>
      <c r="G747" s="1">
        <v>45574</v>
      </c>
      <c r="H747">
        <v>3</v>
      </c>
      <c r="I747" t="s">
        <v>52</v>
      </c>
      <c r="J747" t="s">
        <v>39</v>
      </c>
      <c r="K747">
        <v>0.25</v>
      </c>
      <c r="L747">
        <v>30.5</v>
      </c>
      <c r="M747">
        <v>122</v>
      </c>
      <c r="N747">
        <v>91.5</v>
      </c>
      <c r="O747" t="s">
        <v>44</v>
      </c>
      <c r="P747">
        <v>1973</v>
      </c>
      <c r="Q747" t="s">
        <v>76</v>
      </c>
      <c r="R747" s="1">
        <v>45574</v>
      </c>
      <c r="S747">
        <v>2</v>
      </c>
      <c r="T747" t="s">
        <v>52</v>
      </c>
      <c r="U747" t="s">
        <v>39</v>
      </c>
      <c r="V747" t="s">
        <v>2735</v>
      </c>
      <c r="W747" t="s">
        <v>1241</v>
      </c>
      <c r="X747">
        <v>2600</v>
      </c>
      <c r="Y747">
        <v>1200</v>
      </c>
      <c r="Z747">
        <v>2400</v>
      </c>
      <c r="AA747" t="s">
        <v>2736</v>
      </c>
    </row>
    <row r="748" spans="1:27" x14ac:dyDescent="0.2">
      <c r="A748">
        <v>3742</v>
      </c>
      <c r="B748" t="s">
        <v>408</v>
      </c>
      <c r="C748" t="str">
        <f>_xlfn.CONCAT(Merge[[#This Row],[Customer First Name]]," ",Merge[[#This Row],[Customer Last Name]])</f>
        <v>Declan Raymond</v>
      </c>
      <c r="D748" t="s">
        <v>382</v>
      </c>
      <c r="E748">
        <v>1974</v>
      </c>
      <c r="F748" t="s">
        <v>76</v>
      </c>
      <c r="G748" s="1">
        <v>45376</v>
      </c>
      <c r="H748">
        <v>1</v>
      </c>
      <c r="I748" t="s">
        <v>32</v>
      </c>
      <c r="J748" t="s">
        <v>81</v>
      </c>
      <c r="K748">
        <v>0.25</v>
      </c>
      <c r="L748">
        <v>301.75</v>
      </c>
      <c r="M748">
        <v>1207</v>
      </c>
      <c r="N748">
        <v>905.25</v>
      </c>
      <c r="O748" t="s">
        <v>34</v>
      </c>
      <c r="P748">
        <v>1974</v>
      </c>
      <c r="Q748" t="s">
        <v>76</v>
      </c>
      <c r="R748" s="1">
        <v>45376</v>
      </c>
      <c r="S748">
        <v>3</v>
      </c>
      <c r="T748" t="s">
        <v>32</v>
      </c>
      <c r="U748" t="s">
        <v>81</v>
      </c>
      <c r="V748" t="s">
        <v>2737</v>
      </c>
      <c r="W748" t="s">
        <v>1361</v>
      </c>
      <c r="X748">
        <v>870</v>
      </c>
      <c r="Y748">
        <v>1200</v>
      </c>
      <c r="Z748">
        <v>3600</v>
      </c>
      <c r="AA748" t="s">
        <v>2738</v>
      </c>
    </row>
    <row r="749" spans="1:27" x14ac:dyDescent="0.2">
      <c r="A749">
        <v>3743</v>
      </c>
      <c r="B749" t="s">
        <v>637</v>
      </c>
      <c r="C749" t="str">
        <f>_xlfn.CONCAT(Merge[[#This Row],[Customer First Name]]," ",Merge[[#This Row],[Customer Last Name]])</f>
        <v>Reed Portillo</v>
      </c>
      <c r="D749" t="s">
        <v>345</v>
      </c>
      <c r="E749">
        <v>1975</v>
      </c>
      <c r="F749" t="s">
        <v>76</v>
      </c>
      <c r="G749" s="1">
        <v>45640</v>
      </c>
      <c r="H749">
        <v>3</v>
      </c>
      <c r="I749" t="s">
        <v>52</v>
      </c>
      <c r="J749" t="s">
        <v>43</v>
      </c>
      <c r="K749">
        <v>0.25</v>
      </c>
      <c r="L749">
        <v>397.5</v>
      </c>
      <c r="M749">
        <v>1590</v>
      </c>
      <c r="N749">
        <v>1192.5</v>
      </c>
      <c r="O749" t="s">
        <v>44</v>
      </c>
      <c r="P749">
        <v>1975</v>
      </c>
      <c r="Q749" t="s">
        <v>76</v>
      </c>
      <c r="R749" s="1">
        <v>45640</v>
      </c>
      <c r="S749">
        <v>3</v>
      </c>
      <c r="T749" t="s">
        <v>52</v>
      </c>
      <c r="U749" t="s">
        <v>43</v>
      </c>
      <c r="V749" t="s">
        <v>2739</v>
      </c>
      <c r="W749" t="s">
        <v>865</v>
      </c>
      <c r="X749">
        <v>2000</v>
      </c>
      <c r="Y749">
        <v>1200</v>
      </c>
      <c r="Z749">
        <v>3600</v>
      </c>
      <c r="AA749" t="s">
        <v>2740</v>
      </c>
    </row>
    <row r="750" spans="1:27" x14ac:dyDescent="0.2">
      <c r="A750">
        <v>3744</v>
      </c>
      <c r="B750" t="s">
        <v>1024</v>
      </c>
      <c r="C750" t="str">
        <f>_xlfn.CONCAT(Merge[[#This Row],[Customer First Name]]," ",Merge[[#This Row],[Customer Last Name]])</f>
        <v>Carolina Swanson</v>
      </c>
      <c r="D750" t="s">
        <v>1025</v>
      </c>
      <c r="E750">
        <v>1976</v>
      </c>
      <c r="F750" t="s">
        <v>76</v>
      </c>
      <c r="G750" s="1">
        <v>45363</v>
      </c>
      <c r="H750">
        <v>2</v>
      </c>
      <c r="I750" t="s">
        <v>71</v>
      </c>
      <c r="J750" t="s">
        <v>57</v>
      </c>
      <c r="K750">
        <v>0.25</v>
      </c>
      <c r="L750">
        <v>208</v>
      </c>
      <c r="M750">
        <v>832</v>
      </c>
      <c r="N750">
        <v>624</v>
      </c>
      <c r="O750" t="s">
        <v>44</v>
      </c>
      <c r="P750">
        <v>1976</v>
      </c>
      <c r="Q750" t="s">
        <v>76</v>
      </c>
      <c r="R750" s="1">
        <v>45363</v>
      </c>
      <c r="S750">
        <v>2</v>
      </c>
      <c r="T750" t="s">
        <v>71</v>
      </c>
      <c r="U750" t="s">
        <v>57</v>
      </c>
      <c r="V750" t="s">
        <v>2741</v>
      </c>
      <c r="W750" t="s">
        <v>1253</v>
      </c>
      <c r="X750">
        <v>5290</v>
      </c>
      <c r="Y750">
        <v>1200</v>
      </c>
      <c r="Z750">
        <v>2400</v>
      </c>
      <c r="AA750" t="s">
        <v>2742</v>
      </c>
    </row>
    <row r="751" spans="1:27" x14ac:dyDescent="0.2">
      <c r="A751">
        <v>3745</v>
      </c>
      <c r="B751" t="s">
        <v>898</v>
      </c>
      <c r="C751" t="str">
        <f>_xlfn.CONCAT(Merge[[#This Row],[Customer First Name]]," ",Merge[[#This Row],[Customer Last Name]])</f>
        <v>Ayden Craig</v>
      </c>
      <c r="D751" t="s">
        <v>1026</v>
      </c>
      <c r="E751">
        <v>1977</v>
      </c>
      <c r="F751" t="s">
        <v>31</v>
      </c>
      <c r="G751" s="1">
        <v>45537</v>
      </c>
      <c r="H751">
        <v>1</v>
      </c>
      <c r="I751" t="s">
        <v>52</v>
      </c>
      <c r="J751" t="s">
        <v>39</v>
      </c>
      <c r="K751">
        <v>0.1</v>
      </c>
      <c r="L751">
        <v>55.5</v>
      </c>
      <c r="M751">
        <v>555</v>
      </c>
      <c r="N751">
        <v>499.5</v>
      </c>
      <c r="O751" t="s">
        <v>54</v>
      </c>
      <c r="P751">
        <v>1977</v>
      </c>
      <c r="Q751" t="s">
        <v>31</v>
      </c>
      <c r="R751" s="1">
        <v>45537</v>
      </c>
      <c r="S751">
        <v>2</v>
      </c>
      <c r="T751" t="s">
        <v>52</v>
      </c>
      <c r="U751" t="s">
        <v>39</v>
      </c>
      <c r="V751" t="s">
        <v>2743</v>
      </c>
      <c r="W751" t="s">
        <v>1241</v>
      </c>
      <c r="X751">
        <v>2600</v>
      </c>
      <c r="Y751">
        <v>250</v>
      </c>
      <c r="Z751">
        <v>500</v>
      </c>
      <c r="AA751" t="s">
        <v>2744</v>
      </c>
    </row>
    <row r="752" spans="1:27" x14ac:dyDescent="0.2">
      <c r="A752">
        <v>3746</v>
      </c>
      <c r="B752" t="s">
        <v>526</v>
      </c>
      <c r="C752" t="str">
        <f>_xlfn.CONCAT(Merge[[#This Row],[Customer First Name]]," ",Merge[[#This Row],[Customer Last Name]])</f>
        <v>Skylar Nolan</v>
      </c>
      <c r="D752" t="s">
        <v>1027</v>
      </c>
      <c r="E752">
        <v>1978</v>
      </c>
      <c r="F752" t="s">
        <v>51</v>
      </c>
      <c r="G752" s="1">
        <v>45574</v>
      </c>
      <c r="H752">
        <v>3</v>
      </c>
      <c r="I752" t="s">
        <v>71</v>
      </c>
      <c r="J752" t="s">
        <v>81</v>
      </c>
      <c r="K752">
        <v>0.2</v>
      </c>
      <c r="L752">
        <v>45.400000000000006</v>
      </c>
      <c r="M752">
        <v>227</v>
      </c>
      <c r="N752">
        <v>181.6</v>
      </c>
      <c r="O752" t="s">
        <v>44</v>
      </c>
      <c r="P752">
        <v>1978</v>
      </c>
      <c r="Q752" t="s">
        <v>51</v>
      </c>
      <c r="R752" s="1">
        <v>45574</v>
      </c>
      <c r="S752">
        <v>2</v>
      </c>
      <c r="T752" t="s">
        <v>71</v>
      </c>
      <c r="U752" t="s">
        <v>81</v>
      </c>
      <c r="V752" t="s">
        <v>2745</v>
      </c>
      <c r="W752" t="s">
        <v>1361</v>
      </c>
      <c r="X752">
        <v>870</v>
      </c>
      <c r="Y752">
        <v>250</v>
      </c>
      <c r="Z752">
        <v>500</v>
      </c>
      <c r="AA752" t="s">
        <v>2746</v>
      </c>
    </row>
    <row r="753" spans="1:27" x14ac:dyDescent="0.2">
      <c r="A753">
        <v>3747</v>
      </c>
      <c r="B753" t="s">
        <v>1028</v>
      </c>
      <c r="C753" t="str">
        <f>_xlfn.CONCAT(Merge[[#This Row],[Customer First Name]]," ",Merge[[#This Row],[Customer Last Name]])</f>
        <v>Josephine Noble</v>
      </c>
      <c r="D753" t="s">
        <v>663</v>
      </c>
      <c r="E753">
        <v>1979</v>
      </c>
      <c r="F753" t="s">
        <v>31</v>
      </c>
      <c r="G753" s="1">
        <v>45529</v>
      </c>
      <c r="H753">
        <v>2</v>
      </c>
      <c r="I753" t="s">
        <v>71</v>
      </c>
      <c r="J753" t="s">
        <v>33</v>
      </c>
      <c r="K753">
        <v>0.1</v>
      </c>
      <c r="L753">
        <v>165.3</v>
      </c>
      <c r="M753">
        <v>1653</v>
      </c>
      <c r="N753">
        <v>1487.7</v>
      </c>
      <c r="O753" t="s">
        <v>114</v>
      </c>
      <c r="P753">
        <v>1979</v>
      </c>
      <c r="Q753" t="s">
        <v>31</v>
      </c>
      <c r="R753" s="1">
        <v>45529</v>
      </c>
      <c r="S753">
        <v>3</v>
      </c>
      <c r="T753" t="s">
        <v>71</v>
      </c>
      <c r="U753" t="s">
        <v>33</v>
      </c>
      <c r="V753" t="s">
        <v>2747</v>
      </c>
      <c r="W753" t="s">
        <v>1302</v>
      </c>
      <c r="X753">
        <v>6000</v>
      </c>
      <c r="Y753">
        <v>250</v>
      </c>
      <c r="Z753">
        <v>750</v>
      </c>
      <c r="AA753" t="s">
        <v>2748</v>
      </c>
    </row>
    <row r="754" spans="1:27" x14ac:dyDescent="0.2">
      <c r="A754">
        <v>3748</v>
      </c>
      <c r="B754" t="s">
        <v>718</v>
      </c>
      <c r="C754" t="str">
        <f>_xlfn.CONCAT(Merge[[#This Row],[Customer First Name]]," ",Merge[[#This Row],[Customer Last Name]])</f>
        <v>Sage Dawson</v>
      </c>
      <c r="D754" t="s">
        <v>792</v>
      </c>
      <c r="E754">
        <v>1980</v>
      </c>
      <c r="F754" t="s">
        <v>76</v>
      </c>
      <c r="G754" s="1">
        <v>45455</v>
      </c>
      <c r="H754">
        <v>3</v>
      </c>
      <c r="I754" t="s">
        <v>32</v>
      </c>
      <c r="J754" t="s">
        <v>53</v>
      </c>
      <c r="K754">
        <v>0.25</v>
      </c>
      <c r="L754">
        <v>411.75</v>
      </c>
      <c r="M754">
        <v>1647</v>
      </c>
      <c r="N754">
        <v>1235.25</v>
      </c>
      <c r="O754" t="s">
        <v>54</v>
      </c>
      <c r="P754">
        <v>1980</v>
      </c>
      <c r="Q754" t="s">
        <v>76</v>
      </c>
      <c r="R754" s="1">
        <v>45455</v>
      </c>
      <c r="S754">
        <v>3</v>
      </c>
      <c r="T754" t="s">
        <v>32</v>
      </c>
      <c r="U754" t="s">
        <v>53</v>
      </c>
      <c r="V754" t="s">
        <v>2749</v>
      </c>
      <c r="W754" t="s">
        <v>1268</v>
      </c>
      <c r="X754">
        <v>4870</v>
      </c>
      <c r="Y754">
        <v>1200</v>
      </c>
      <c r="Z754">
        <v>3600</v>
      </c>
      <c r="AA754" t="s">
        <v>2750</v>
      </c>
    </row>
    <row r="755" spans="1:27" x14ac:dyDescent="0.2">
      <c r="A755">
        <v>3749</v>
      </c>
      <c r="B755" t="s">
        <v>1029</v>
      </c>
      <c r="C755" t="str">
        <f>_xlfn.CONCAT(Merge[[#This Row],[Customer First Name]]," ",Merge[[#This Row],[Customer Last Name]])</f>
        <v>Bryce Hunt</v>
      </c>
      <c r="D755" t="s">
        <v>282</v>
      </c>
      <c r="E755">
        <v>1981</v>
      </c>
      <c r="F755" t="s">
        <v>76</v>
      </c>
      <c r="G755" s="1">
        <v>45633</v>
      </c>
      <c r="H755">
        <v>3</v>
      </c>
      <c r="I755" t="s">
        <v>52</v>
      </c>
      <c r="J755" t="s">
        <v>81</v>
      </c>
      <c r="K755">
        <v>0.25</v>
      </c>
      <c r="L755">
        <v>116.25</v>
      </c>
      <c r="M755">
        <v>465</v>
      </c>
      <c r="N755">
        <v>348.75</v>
      </c>
      <c r="O755" t="s">
        <v>114</v>
      </c>
      <c r="P755">
        <v>1981</v>
      </c>
      <c r="Q755" t="s">
        <v>76</v>
      </c>
      <c r="R755" s="1">
        <v>45633</v>
      </c>
      <c r="S755">
        <v>1</v>
      </c>
      <c r="T755" t="s">
        <v>52</v>
      </c>
      <c r="U755" t="s">
        <v>81</v>
      </c>
      <c r="V755" t="s">
        <v>2751</v>
      </c>
      <c r="W755" t="s">
        <v>1361</v>
      </c>
      <c r="X755">
        <v>870</v>
      </c>
      <c r="Y755">
        <v>1200</v>
      </c>
      <c r="Z755">
        <v>1200</v>
      </c>
      <c r="AA755" t="s">
        <v>2752</v>
      </c>
    </row>
    <row r="756" spans="1:27" x14ac:dyDescent="0.2">
      <c r="A756">
        <v>3750</v>
      </c>
      <c r="B756" t="s">
        <v>364</v>
      </c>
      <c r="C756" t="str">
        <f>_xlfn.CONCAT(Merge[[#This Row],[Customer First Name]]," ",Merge[[#This Row],[Customer Last Name]])</f>
        <v>Ivy Horn</v>
      </c>
      <c r="D756" t="s">
        <v>1030</v>
      </c>
      <c r="E756">
        <v>1982</v>
      </c>
      <c r="F756" t="s">
        <v>42</v>
      </c>
      <c r="G756" s="1">
        <v>45615</v>
      </c>
      <c r="H756">
        <v>2</v>
      </c>
      <c r="I756" t="s">
        <v>32</v>
      </c>
      <c r="J756" t="s">
        <v>81</v>
      </c>
      <c r="K756">
        <v>0.25</v>
      </c>
      <c r="L756">
        <v>77.25</v>
      </c>
      <c r="M756">
        <v>309</v>
      </c>
      <c r="N756">
        <v>231.75</v>
      </c>
      <c r="O756" t="s">
        <v>34</v>
      </c>
      <c r="P756">
        <v>1982</v>
      </c>
      <c r="Q756" t="s">
        <v>42</v>
      </c>
      <c r="R756" s="1">
        <v>45615</v>
      </c>
      <c r="S756">
        <v>2</v>
      </c>
      <c r="T756" t="s">
        <v>32</v>
      </c>
      <c r="U756" t="s">
        <v>81</v>
      </c>
      <c r="V756" t="s">
        <v>2753</v>
      </c>
      <c r="W756" t="s">
        <v>1361</v>
      </c>
      <c r="X756">
        <v>870</v>
      </c>
      <c r="Y756">
        <v>300</v>
      </c>
      <c r="Z756">
        <v>600</v>
      </c>
      <c r="AA756" t="s">
        <v>2754</v>
      </c>
    </row>
    <row r="757" spans="1:27" x14ac:dyDescent="0.2">
      <c r="A757">
        <v>3751</v>
      </c>
      <c r="B757" t="s">
        <v>34</v>
      </c>
      <c r="C757" t="str">
        <f>_xlfn.CONCAT(Merge[[#This Row],[Customer First Name]]," ",Merge[[#This Row],[Customer Last Name]])</f>
        <v>Kayson Kelly</v>
      </c>
      <c r="D757" t="s">
        <v>1031</v>
      </c>
      <c r="E757">
        <v>1983</v>
      </c>
      <c r="F757" t="s">
        <v>37</v>
      </c>
      <c r="G757" s="1">
        <v>45359</v>
      </c>
      <c r="H757">
        <v>1</v>
      </c>
      <c r="I757" t="s">
        <v>38</v>
      </c>
      <c r="J757" t="s">
        <v>47</v>
      </c>
      <c r="K757">
        <v>0.3</v>
      </c>
      <c r="L757">
        <v>311.7</v>
      </c>
      <c r="M757">
        <v>1039</v>
      </c>
      <c r="N757">
        <v>727.3</v>
      </c>
      <c r="O757" t="s">
        <v>48</v>
      </c>
      <c r="P757">
        <v>1983</v>
      </c>
      <c r="Q757" t="s">
        <v>37</v>
      </c>
      <c r="R757" s="1">
        <v>45359</v>
      </c>
      <c r="S757">
        <v>3</v>
      </c>
      <c r="T757" t="s">
        <v>38</v>
      </c>
      <c r="U757" t="s">
        <v>47</v>
      </c>
      <c r="V757" t="s">
        <v>2755</v>
      </c>
      <c r="W757" t="s">
        <v>1247</v>
      </c>
      <c r="X757">
        <v>3350</v>
      </c>
      <c r="Y757">
        <v>800</v>
      </c>
      <c r="Z757">
        <v>2400</v>
      </c>
      <c r="AA757" t="s">
        <v>2756</v>
      </c>
    </row>
    <row r="758" spans="1:27" x14ac:dyDescent="0.2">
      <c r="A758">
        <v>3752</v>
      </c>
      <c r="B758" t="s">
        <v>1032</v>
      </c>
      <c r="C758" t="str">
        <f>_xlfn.CONCAT(Merge[[#This Row],[Customer First Name]]," ",Merge[[#This Row],[Customer Last Name]])</f>
        <v>Savannah Washington</v>
      </c>
      <c r="D758" t="s">
        <v>1033</v>
      </c>
      <c r="E758">
        <v>1984</v>
      </c>
      <c r="F758" t="s">
        <v>76</v>
      </c>
      <c r="G758" s="1">
        <v>45599</v>
      </c>
      <c r="H758">
        <v>1</v>
      </c>
      <c r="I758" t="s">
        <v>38</v>
      </c>
      <c r="J758" t="s">
        <v>57</v>
      </c>
      <c r="K758">
        <v>0.25</v>
      </c>
      <c r="L758">
        <v>88.25</v>
      </c>
      <c r="M758">
        <v>353</v>
      </c>
      <c r="N758">
        <v>264.75</v>
      </c>
      <c r="O758" t="s">
        <v>114</v>
      </c>
      <c r="P758">
        <v>1984</v>
      </c>
      <c r="Q758" t="s">
        <v>76</v>
      </c>
      <c r="R758" s="1">
        <v>45599</v>
      </c>
      <c r="S758">
        <v>2</v>
      </c>
      <c r="T758" t="s">
        <v>38</v>
      </c>
      <c r="U758" t="s">
        <v>57</v>
      </c>
      <c r="V758" t="s">
        <v>2757</v>
      </c>
      <c r="W758" t="s">
        <v>1253</v>
      </c>
      <c r="X758">
        <v>5290</v>
      </c>
      <c r="Y758">
        <v>1200</v>
      </c>
      <c r="Z758">
        <v>2400</v>
      </c>
      <c r="AA758" t="s">
        <v>2758</v>
      </c>
    </row>
    <row r="759" spans="1:27" x14ac:dyDescent="0.2">
      <c r="A759">
        <v>3753</v>
      </c>
      <c r="B759" t="s">
        <v>562</v>
      </c>
      <c r="C759" t="str">
        <f>_xlfn.CONCAT(Merge[[#This Row],[Customer First Name]]," ",Merge[[#This Row],[Customer Last Name]])</f>
        <v>Georgia Kennedy</v>
      </c>
      <c r="D759" t="s">
        <v>962</v>
      </c>
      <c r="E759">
        <v>1985</v>
      </c>
      <c r="F759" t="s">
        <v>51</v>
      </c>
      <c r="G759" s="1">
        <v>45313</v>
      </c>
      <c r="H759">
        <v>2</v>
      </c>
      <c r="I759" t="s">
        <v>32</v>
      </c>
      <c r="J759" t="s">
        <v>33</v>
      </c>
      <c r="K759">
        <v>0.2</v>
      </c>
      <c r="L759">
        <v>319.20000000000005</v>
      </c>
      <c r="M759">
        <v>1596</v>
      </c>
      <c r="N759">
        <v>1276.8</v>
      </c>
      <c r="O759" t="s">
        <v>54</v>
      </c>
      <c r="P759">
        <v>1985</v>
      </c>
      <c r="Q759" t="s">
        <v>51</v>
      </c>
      <c r="R759" s="1">
        <v>45313</v>
      </c>
      <c r="S759">
        <v>3</v>
      </c>
      <c r="T759" t="s">
        <v>32</v>
      </c>
      <c r="U759" t="s">
        <v>33</v>
      </c>
      <c r="V759" t="s">
        <v>2759</v>
      </c>
      <c r="W759" t="s">
        <v>1302</v>
      </c>
      <c r="X759">
        <v>6000</v>
      </c>
      <c r="Y759">
        <v>250</v>
      </c>
      <c r="Z759">
        <v>750</v>
      </c>
      <c r="AA759" t="s">
        <v>2760</v>
      </c>
    </row>
    <row r="760" spans="1:27" x14ac:dyDescent="0.2">
      <c r="A760">
        <v>3754</v>
      </c>
      <c r="B760" t="s">
        <v>1034</v>
      </c>
      <c r="C760" t="str">
        <f>_xlfn.CONCAT(Merge[[#This Row],[Customer First Name]]," ",Merge[[#This Row],[Customer Last Name]])</f>
        <v>Alan Avalos</v>
      </c>
      <c r="D760" t="s">
        <v>1035</v>
      </c>
      <c r="E760">
        <v>1986</v>
      </c>
      <c r="F760" t="s">
        <v>37</v>
      </c>
      <c r="G760" s="1">
        <v>45510</v>
      </c>
      <c r="H760">
        <v>1</v>
      </c>
      <c r="I760" t="s">
        <v>52</v>
      </c>
      <c r="J760" t="s">
        <v>43</v>
      </c>
      <c r="K760">
        <v>0.3</v>
      </c>
      <c r="L760">
        <v>277.5</v>
      </c>
      <c r="M760">
        <v>925</v>
      </c>
      <c r="N760">
        <v>647.5</v>
      </c>
      <c r="O760" t="s">
        <v>34</v>
      </c>
      <c r="P760">
        <v>1986</v>
      </c>
      <c r="Q760" t="s">
        <v>37</v>
      </c>
      <c r="R760" s="1">
        <v>45510</v>
      </c>
      <c r="S760">
        <v>2</v>
      </c>
      <c r="T760" t="s">
        <v>52</v>
      </c>
      <c r="U760" t="s">
        <v>43</v>
      </c>
      <c r="V760" t="s">
        <v>2761</v>
      </c>
      <c r="W760" t="s">
        <v>1244</v>
      </c>
      <c r="X760">
        <v>2300</v>
      </c>
      <c r="Y760">
        <v>800</v>
      </c>
      <c r="Z760">
        <v>1600</v>
      </c>
      <c r="AA760" t="s">
        <v>2762</v>
      </c>
    </row>
    <row r="761" spans="1:27" x14ac:dyDescent="0.2">
      <c r="A761">
        <v>3755</v>
      </c>
      <c r="B761" t="s">
        <v>1036</v>
      </c>
      <c r="C761" t="str">
        <f>_xlfn.CONCAT(Merge[[#This Row],[Customer First Name]]," ",Merge[[#This Row],[Customer Last Name]])</f>
        <v>Valerie Adams</v>
      </c>
      <c r="D761" t="s">
        <v>1037</v>
      </c>
      <c r="E761">
        <v>1987</v>
      </c>
      <c r="F761" t="s">
        <v>37</v>
      </c>
      <c r="G761" s="1">
        <v>45585</v>
      </c>
      <c r="H761">
        <v>2</v>
      </c>
      <c r="I761" t="s">
        <v>32</v>
      </c>
      <c r="J761" t="s">
        <v>39</v>
      </c>
      <c r="K761">
        <v>0.3</v>
      </c>
      <c r="L761">
        <v>114.89999999999999</v>
      </c>
      <c r="M761">
        <v>383</v>
      </c>
      <c r="N761">
        <v>268.10000000000002</v>
      </c>
      <c r="O761" t="s">
        <v>114</v>
      </c>
      <c r="P761">
        <v>1987</v>
      </c>
      <c r="Q761" t="s">
        <v>37</v>
      </c>
      <c r="R761" s="1">
        <v>45585</v>
      </c>
      <c r="S761">
        <v>3</v>
      </c>
      <c r="T761" t="s">
        <v>32</v>
      </c>
      <c r="U761" t="s">
        <v>39</v>
      </c>
      <c r="V761" t="s">
        <v>2763</v>
      </c>
      <c r="W761" t="s">
        <v>1241</v>
      </c>
      <c r="X761">
        <v>2600</v>
      </c>
      <c r="Y761">
        <v>800</v>
      </c>
      <c r="Z761">
        <v>2400</v>
      </c>
      <c r="AA761" t="s">
        <v>2764</v>
      </c>
    </row>
    <row r="762" spans="1:27" x14ac:dyDescent="0.2">
      <c r="A762">
        <v>3756</v>
      </c>
      <c r="B762" t="s">
        <v>1038</v>
      </c>
      <c r="C762" t="str">
        <f>_xlfn.CONCAT(Merge[[#This Row],[Customer First Name]]," ",Merge[[#This Row],[Customer Last Name]])</f>
        <v>Helen Brock</v>
      </c>
      <c r="D762" t="s">
        <v>134</v>
      </c>
      <c r="E762">
        <v>1988</v>
      </c>
      <c r="F762" t="s">
        <v>92</v>
      </c>
      <c r="G762" s="1">
        <v>45654</v>
      </c>
      <c r="H762">
        <v>3</v>
      </c>
      <c r="I762" t="s">
        <v>52</v>
      </c>
      <c r="J762" t="s">
        <v>81</v>
      </c>
      <c r="K762">
        <v>0.3</v>
      </c>
      <c r="L762">
        <v>210.6</v>
      </c>
      <c r="M762">
        <v>702</v>
      </c>
      <c r="N762">
        <v>491.4</v>
      </c>
      <c r="O762" t="s">
        <v>54</v>
      </c>
      <c r="P762">
        <v>1988</v>
      </c>
      <c r="Q762" t="s">
        <v>92</v>
      </c>
      <c r="R762" s="1">
        <v>45654</v>
      </c>
      <c r="S762">
        <v>2</v>
      </c>
      <c r="T762" t="s">
        <v>52</v>
      </c>
      <c r="U762" t="s">
        <v>81</v>
      </c>
      <c r="V762" t="s">
        <v>2765</v>
      </c>
      <c r="W762" t="s">
        <v>1361</v>
      </c>
      <c r="X762">
        <v>870</v>
      </c>
      <c r="Y762">
        <v>600</v>
      </c>
      <c r="Z762">
        <v>1200</v>
      </c>
      <c r="AA762" t="s">
        <v>2766</v>
      </c>
    </row>
    <row r="763" spans="1:27" x14ac:dyDescent="0.2">
      <c r="A763">
        <v>3757</v>
      </c>
      <c r="B763" t="s">
        <v>412</v>
      </c>
      <c r="C763" t="str">
        <f>_xlfn.CONCAT(Merge[[#This Row],[Customer First Name]]," ",Merge[[#This Row],[Customer Last Name]])</f>
        <v>Alan Allen</v>
      </c>
      <c r="D763" t="s">
        <v>1035</v>
      </c>
      <c r="E763">
        <v>1989</v>
      </c>
      <c r="F763" t="s">
        <v>92</v>
      </c>
      <c r="G763" s="1">
        <v>45647</v>
      </c>
      <c r="H763">
        <v>2</v>
      </c>
      <c r="I763" t="s">
        <v>52</v>
      </c>
      <c r="J763" t="s">
        <v>43</v>
      </c>
      <c r="K763">
        <v>0.3</v>
      </c>
      <c r="L763">
        <v>182.7</v>
      </c>
      <c r="M763">
        <v>609</v>
      </c>
      <c r="N763">
        <v>426.3</v>
      </c>
      <c r="O763" t="s">
        <v>34</v>
      </c>
      <c r="P763">
        <v>1989</v>
      </c>
      <c r="Q763" t="s">
        <v>92</v>
      </c>
      <c r="R763" s="1">
        <v>45647</v>
      </c>
      <c r="S763">
        <v>3</v>
      </c>
      <c r="T763" t="s">
        <v>52</v>
      </c>
      <c r="U763" t="s">
        <v>43</v>
      </c>
      <c r="V763" t="s">
        <v>2767</v>
      </c>
      <c r="W763" t="s">
        <v>1299</v>
      </c>
      <c r="X763">
        <v>2500</v>
      </c>
      <c r="Y763">
        <v>600</v>
      </c>
      <c r="Z763">
        <v>1800</v>
      </c>
      <c r="AA763" t="s">
        <v>2768</v>
      </c>
    </row>
    <row r="764" spans="1:27" x14ac:dyDescent="0.2">
      <c r="A764">
        <v>3758</v>
      </c>
      <c r="B764" t="s">
        <v>677</v>
      </c>
      <c r="C764" t="str">
        <f>_xlfn.CONCAT(Merge[[#This Row],[Customer First Name]]," ",Merge[[#This Row],[Customer Last Name]])</f>
        <v>Itzel Rodriguez</v>
      </c>
      <c r="D764" t="s">
        <v>1039</v>
      </c>
      <c r="E764">
        <v>1990</v>
      </c>
      <c r="F764" t="s">
        <v>76</v>
      </c>
      <c r="G764" s="1">
        <v>45356</v>
      </c>
      <c r="H764">
        <v>1</v>
      </c>
      <c r="I764" t="s">
        <v>32</v>
      </c>
      <c r="J764" t="s">
        <v>33</v>
      </c>
      <c r="K764">
        <v>0.25</v>
      </c>
      <c r="L764">
        <v>66.75</v>
      </c>
      <c r="M764">
        <v>267</v>
      </c>
      <c r="N764">
        <v>200.25</v>
      </c>
      <c r="O764" t="s">
        <v>48</v>
      </c>
      <c r="P764">
        <v>1990</v>
      </c>
      <c r="Q764" t="s">
        <v>76</v>
      </c>
      <c r="R764" s="1">
        <v>45356</v>
      </c>
      <c r="S764">
        <v>2</v>
      </c>
      <c r="T764" t="s">
        <v>32</v>
      </c>
      <c r="U764" t="s">
        <v>33</v>
      </c>
      <c r="V764" t="s">
        <v>2769</v>
      </c>
      <c r="W764" t="s">
        <v>1259</v>
      </c>
      <c r="X764">
        <v>6160</v>
      </c>
      <c r="Y764">
        <v>1200</v>
      </c>
      <c r="Z764">
        <v>2400</v>
      </c>
      <c r="AA764" t="s">
        <v>2770</v>
      </c>
    </row>
    <row r="765" spans="1:27" x14ac:dyDescent="0.2">
      <c r="A765">
        <v>3759</v>
      </c>
      <c r="B765" t="s">
        <v>72</v>
      </c>
      <c r="C765" t="str">
        <f>_xlfn.CONCAT(Merge[[#This Row],[Customer First Name]]," ",Merge[[#This Row],[Customer Last Name]])</f>
        <v>Jimena Holt</v>
      </c>
      <c r="D765" t="s">
        <v>1040</v>
      </c>
      <c r="E765">
        <v>1991</v>
      </c>
      <c r="F765" t="s">
        <v>42</v>
      </c>
      <c r="G765" s="1">
        <v>45419</v>
      </c>
      <c r="H765">
        <v>2</v>
      </c>
      <c r="I765" t="s">
        <v>32</v>
      </c>
      <c r="J765" t="s">
        <v>81</v>
      </c>
      <c r="K765">
        <v>0.25</v>
      </c>
      <c r="L765">
        <v>67.75</v>
      </c>
      <c r="M765">
        <v>271</v>
      </c>
      <c r="N765">
        <v>203.25</v>
      </c>
      <c r="O765" t="s">
        <v>54</v>
      </c>
      <c r="P765">
        <v>1991</v>
      </c>
      <c r="Q765" t="s">
        <v>42</v>
      </c>
      <c r="R765" s="1">
        <v>45419</v>
      </c>
      <c r="S765">
        <v>2</v>
      </c>
      <c r="T765" t="s">
        <v>32</v>
      </c>
      <c r="U765" t="s">
        <v>81</v>
      </c>
      <c r="V765" t="s">
        <v>2771</v>
      </c>
      <c r="W765" t="s">
        <v>1361</v>
      </c>
      <c r="X765">
        <v>870</v>
      </c>
      <c r="Y765">
        <v>300</v>
      </c>
      <c r="Z765">
        <v>600</v>
      </c>
      <c r="AA765" t="s">
        <v>2772</v>
      </c>
    </row>
    <row r="766" spans="1:27" x14ac:dyDescent="0.2">
      <c r="A766">
        <v>3760</v>
      </c>
      <c r="B766" t="s">
        <v>547</v>
      </c>
      <c r="C766" t="str">
        <f>_xlfn.CONCAT(Merge[[#This Row],[Customer First Name]]," ",Merge[[#This Row],[Customer Last Name]])</f>
        <v>Alyssa Nash</v>
      </c>
      <c r="D766" t="s">
        <v>1041</v>
      </c>
      <c r="E766">
        <v>1992</v>
      </c>
      <c r="F766" t="s">
        <v>51</v>
      </c>
      <c r="G766" s="1">
        <v>45525</v>
      </c>
      <c r="H766">
        <v>3</v>
      </c>
      <c r="I766" t="s">
        <v>38</v>
      </c>
      <c r="J766" t="s">
        <v>53</v>
      </c>
      <c r="K766">
        <v>0.2</v>
      </c>
      <c r="L766">
        <v>50.6</v>
      </c>
      <c r="M766">
        <v>253</v>
      </c>
      <c r="N766">
        <v>202.4</v>
      </c>
      <c r="O766" t="s">
        <v>48</v>
      </c>
      <c r="P766">
        <v>1992</v>
      </c>
      <c r="Q766" t="s">
        <v>51</v>
      </c>
      <c r="R766" s="1">
        <v>45525</v>
      </c>
      <c r="S766">
        <v>1</v>
      </c>
      <c r="T766" t="s">
        <v>38</v>
      </c>
      <c r="U766" t="s">
        <v>53</v>
      </c>
      <c r="V766" t="s">
        <v>2773</v>
      </c>
      <c r="W766" t="s">
        <v>1250</v>
      </c>
      <c r="X766">
        <v>4217</v>
      </c>
      <c r="Y766">
        <v>250</v>
      </c>
      <c r="Z766">
        <v>250</v>
      </c>
      <c r="AA766" t="s">
        <v>2774</v>
      </c>
    </row>
    <row r="767" spans="1:27" x14ac:dyDescent="0.2">
      <c r="A767">
        <v>3761</v>
      </c>
      <c r="B767" t="s">
        <v>439</v>
      </c>
      <c r="C767" t="str">
        <f>_xlfn.CONCAT(Merge[[#This Row],[Customer First Name]]," ",Merge[[#This Row],[Customer Last Name]])</f>
        <v>Declan Miles</v>
      </c>
      <c r="D767" t="s">
        <v>382</v>
      </c>
      <c r="E767">
        <v>1993</v>
      </c>
      <c r="F767" t="s">
        <v>31</v>
      </c>
      <c r="G767" s="1">
        <v>45523</v>
      </c>
      <c r="H767">
        <v>3</v>
      </c>
      <c r="I767" t="s">
        <v>52</v>
      </c>
      <c r="J767" t="s">
        <v>53</v>
      </c>
      <c r="K767">
        <v>0.1</v>
      </c>
      <c r="L767">
        <v>80.900000000000006</v>
      </c>
      <c r="M767">
        <v>809</v>
      </c>
      <c r="N767">
        <v>728.1</v>
      </c>
      <c r="O767" t="s">
        <v>114</v>
      </c>
      <c r="P767">
        <v>1993</v>
      </c>
      <c r="Q767" t="s">
        <v>31</v>
      </c>
      <c r="R767" s="1">
        <v>45523</v>
      </c>
      <c r="S767">
        <v>1</v>
      </c>
      <c r="T767" t="s">
        <v>52</v>
      </c>
      <c r="U767" t="s">
        <v>53</v>
      </c>
      <c r="V767" t="s">
        <v>2775</v>
      </c>
      <c r="W767" t="s">
        <v>1250</v>
      </c>
      <c r="X767">
        <v>4217</v>
      </c>
      <c r="Y767">
        <v>250</v>
      </c>
      <c r="Z767">
        <v>250</v>
      </c>
      <c r="AA767" t="s">
        <v>2776</v>
      </c>
    </row>
    <row r="768" spans="1:27" x14ac:dyDescent="0.2">
      <c r="A768">
        <v>3762</v>
      </c>
      <c r="B768" t="s">
        <v>812</v>
      </c>
      <c r="C768" t="str">
        <f>_xlfn.CONCAT(Merge[[#This Row],[Customer First Name]]," ",Merge[[#This Row],[Customer Last Name]])</f>
        <v>Gideon Skinner</v>
      </c>
      <c r="D768" t="s">
        <v>492</v>
      </c>
      <c r="E768">
        <v>1994</v>
      </c>
      <c r="F768" t="s">
        <v>76</v>
      </c>
      <c r="G768" s="1">
        <v>45641</v>
      </c>
      <c r="H768">
        <v>1</v>
      </c>
      <c r="I768" t="s">
        <v>32</v>
      </c>
      <c r="J768" t="s">
        <v>64</v>
      </c>
      <c r="K768">
        <v>0.25</v>
      </c>
      <c r="L768">
        <v>166.25</v>
      </c>
      <c r="M768">
        <v>665</v>
      </c>
      <c r="N768">
        <v>498.75</v>
      </c>
      <c r="O768" t="s">
        <v>114</v>
      </c>
      <c r="P768">
        <v>1994</v>
      </c>
      <c r="Q768" t="s">
        <v>76</v>
      </c>
      <c r="R768" s="1">
        <v>45641</v>
      </c>
      <c r="S768">
        <v>2</v>
      </c>
      <c r="T768" t="s">
        <v>32</v>
      </c>
      <c r="U768" t="s">
        <v>64</v>
      </c>
      <c r="V768" t="s">
        <v>2777</v>
      </c>
      <c r="W768" t="s">
        <v>1265</v>
      </c>
      <c r="X768">
        <v>7000</v>
      </c>
      <c r="Y768">
        <v>1200</v>
      </c>
      <c r="Z768">
        <v>2400</v>
      </c>
      <c r="AA768" t="s">
        <v>2778</v>
      </c>
    </row>
    <row r="769" spans="1:27" x14ac:dyDescent="0.2">
      <c r="A769">
        <v>3763</v>
      </c>
      <c r="B769" t="s">
        <v>1042</v>
      </c>
      <c r="C769" t="str">
        <f>_xlfn.CONCAT(Merge[[#This Row],[Customer First Name]]," ",Merge[[#This Row],[Customer Last Name]])</f>
        <v>Celine Zamora</v>
      </c>
      <c r="D769" t="s">
        <v>464</v>
      </c>
      <c r="E769">
        <v>1995</v>
      </c>
      <c r="F769" t="s">
        <v>31</v>
      </c>
      <c r="G769" s="1">
        <v>45452</v>
      </c>
      <c r="H769">
        <v>2</v>
      </c>
      <c r="I769" t="s">
        <v>32</v>
      </c>
      <c r="J769" t="s">
        <v>33</v>
      </c>
      <c r="K769">
        <v>0.1</v>
      </c>
      <c r="L769">
        <v>107.10000000000001</v>
      </c>
      <c r="M769">
        <v>1071</v>
      </c>
      <c r="N769">
        <v>963.9</v>
      </c>
      <c r="O769" t="s">
        <v>48</v>
      </c>
      <c r="P769">
        <v>1995</v>
      </c>
      <c r="Q769" t="s">
        <v>31</v>
      </c>
      <c r="R769" s="1">
        <v>45452</v>
      </c>
      <c r="S769">
        <v>3</v>
      </c>
      <c r="T769" t="s">
        <v>32</v>
      </c>
      <c r="U769" t="s">
        <v>33</v>
      </c>
      <c r="V769" t="s">
        <v>2779</v>
      </c>
      <c r="W769" t="s">
        <v>1259</v>
      </c>
      <c r="X769">
        <v>6160</v>
      </c>
      <c r="Y769">
        <v>250</v>
      </c>
      <c r="Z769">
        <v>750</v>
      </c>
      <c r="AA769" t="s">
        <v>2780</v>
      </c>
    </row>
    <row r="770" spans="1:27" x14ac:dyDescent="0.2">
      <c r="A770">
        <v>3764</v>
      </c>
      <c r="B770" t="s">
        <v>1043</v>
      </c>
      <c r="C770" t="str">
        <f>_xlfn.CONCAT(Merge[[#This Row],[Customer First Name]]," ",Merge[[#This Row],[Customer Last Name]])</f>
        <v>Jimena Drake</v>
      </c>
      <c r="D770" t="s">
        <v>1040</v>
      </c>
      <c r="E770">
        <v>1996</v>
      </c>
      <c r="F770" t="s">
        <v>51</v>
      </c>
      <c r="G770" s="1">
        <v>45591</v>
      </c>
      <c r="H770">
        <v>2</v>
      </c>
      <c r="I770" t="s">
        <v>52</v>
      </c>
      <c r="J770" t="s">
        <v>53</v>
      </c>
      <c r="K770">
        <v>0.2</v>
      </c>
      <c r="L770">
        <v>149</v>
      </c>
      <c r="M770">
        <v>745</v>
      </c>
      <c r="N770">
        <v>596</v>
      </c>
      <c r="O770" t="s">
        <v>54</v>
      </c>
      <c r="P770">
        <v>1996</v>
      </c>
      <c r="Q770" t="s">
        <v>51</v>
      </c>
      <c r="R770" s="1">
        <v>45591</v>
      </c>
      <c r="S770">
        <v>3</v>
      </c>
      <c r="T770" t="s">
        <v>52</v>
      </c>
      <c r="U770" t="s">
        <v>53</v>
      </c>
      <c r="V770" t="s">
        <v>2781</v>
      </c>
      <c r="W770" t="s">
        <v>1268</v>
      </c>
      <c r="X770">
        <v>4870</v>
      </c>
      <c r="Y770">
        <v>250</v>
      </c>
      <c r="Z770">
        <v>750</v>
      </c>
      <c r="AA770" t="s">
        <v>2782</v>
      </c>
    </row>
    <row r="771" spans="1:27" x14ac:dyDescent="0.2">
      <c r="A771">
        <v>3765</v>
      </c>
      <c r="B771" t="s">
        <v>813</v>
      </c>
      <c r="C771" t="str">
        <f>_xlfn.CONCAT(Merge[[#This Row],[Customer First Name]]," ",Merge[[#This Row],[Customer Last Name]])</f>
        <v>Emma Bennett</v>
      </c>
      <c r="D771" t="s">
        <v>1044</v>
      </c>
      <c r="E771">
        <v>1997</v>
      </c>
      <c r="F771" t="s">
        <v>31</v>
      </c>
      <c r="G771" s="1">
        <v>45364</v>
      </c>
      <c r="H771">
        <v>1</v>
      </c>
      <c r="I771" t="s">
        <v>52</v>
      </c>
      <c r="J771" t="s">
        <v>64</v>
      </c>
      <c r="K771">
        <v>0.1</v>
      </c>
      <c r="L771">
        <v>117.60000000000001</v>
      </c>
      <c r="M771">
        <v>1176</v>
      </c>
      <c r="N771">
        <v>1058.4000000000001</v>
      </c>
      <c r="O771" t="s">
        <v>114</v>
      </c>
      <c r="P771">
        <v>1997</v>
      </c>
      <c r="Q771" t="s">
        <v>31</v>
      </c>
      <c r="R771" s="1">
        <v>45364</v>
      </c>
      <c r="S771">
        <v>1</v>
      </c>
      <c r="T771" t="s">
        <v>52</v>
      </c>
      <c r="U771" t="s">
        <v>64</v>
      </c>
      <c r="V771" t="s">
        <v>2783</v>
      </c>
      <c r="W771" t="s">
        <v>1262</v>
      </c>
      <c r="X771">
        <v>7250</v>
      </c>
      <c r="Y771">
        <v>250</v>
      </c>
      <c r="Z771">
        <v>250</v>
      </c>
      <c r="AA771" t="s">
        <v>2784</v>
      </c>
    </row>
    <row r="772" spans="1:27" x14ac:dyDescent="0.2">
      <c r="A772">
        <v>3766</v>
      </c>
      <c r="B772" t="s">
        <v>104</v>
      </c>
      <c r="C772" t="str">
        <f>_xlfn.CONCAT(Merge[[#This Row],[Customer First Name]]," ",Merge[[#This Row],[Customer Last Name]])</f>
        <v>Fatima Kane</v>
      </c>
      <c r="D772" t="s">
        <v>1045</v>
      </c>
      <c r="E772">
        <v>1998</v>
      </c>
      <c r="F772" t="s">
        <v>76</v>
      </c>
      <c r="G772" s="1">
        <v>45355</v>
      </c>
      <c r="H772">
        <v>2</v>
      </c>
      <c r="I772" t="s">
        <v>71</v>
      </c>
      <c r="J772" t="s">
        <v>81</v>
      </c>
      <c r="K772">
        <v>0.25</v>
      </c>
      <c r="L772">
        <v>261.25</v>
      </c>
      <c r="M772">
        <v>1045</v>
      </c>
      <c r="N772">
        <v>783.75</v>
      </c>
      <c r="O772" t="s">
        <v>54</v>
      </c>
      <c r="P772">
        <v>1998</v>
      </c>
      <c r="Q772" t="s">
        <v>76</v>
      </c>
      <c r="R772" s="1">
        <v>45355</v>
      </c>
      <c r="S772">
        <v>3</v>
      </c>
      <c r="T772" t="s">
        <v>71</v>
      </c>
      <c r="U772" t="s">
        <v>81</v>
      </c>
      <c r="V772" t="s">
        <v>2785</v>
      </c>
      <c r="W772" t="s">
        <v>1280</v>
      </c>
      <c r="X772">
        <v>800</v>
      </c>
      <c r="Y772">
        <v>1200</v>
      </c>
      <c r="Z772">
        <v>3600</v>
      </c>
      <c r="AA772" t="s">
        <v>2786</v>
      </c>
    </row>
    <row r="773" spans="1:27" x14ac:dyDescent="0.2">
      <c r="A773">
        <v>3767</v>
      </c>
      <c r="B773" t="s">
        <v>718</v>
      </c>
      <c r="C773" t="str">
        <f>_xlfn.CONCAT(Merge[[#This Row],[Customer First Name]]," ",Merge[[#This Row],[Customer Last Name]])</f>
        <v>Alyssa Dawson</v>
      </c>
      <c r="D773" t="s">
        <v>1041</v>
      </c>
      <c r="E773">
        <v>1999</v>
      </c>
      <c r="F773" t="s">
        <v>51</v>
      </c>
      <c r="G773" s="1">
        <v>45511</v>
      </c>
      <c r="H773">
        <v>3</v>
      </c>
      <c r="I773" t="s">
        <v>32</v>
      </c>
      <c r="J773" t="s">
        <v>33</v>
      </c>
      <c r="K773">
        <v>0.2</v>
      </c>
      <c r="L773">
        <v>11.4</v>
      </c>
      <c r="M773">
        <v>57</v>
      </c>
      <c r="N773">
        <v>45.6</v>
      </c>
      <c r="O773" t="s">
        <v>48</v>
      </c>
      <c r="P773">
        <v>1999</v>
      </c>
      <c r="Q773" t="s">
        <v>51</v>
      </c>
      <c r="R773" s="1">
        <v>45511</v>
      </c>
      <c r="S773">
        <v>3</v>
      </c>
      <c r="T773" t="s">
        <v>32</v>
      </c>
      <c r="U773" t="s">
        <v>33</v>
      </c>
      <c r="V773" t="s">
        <v>2787</v>
      </c>
      <c r="W773" t="s">
        <v>1259</v>
      </c>
      <c r="X773">
        <v>6160</v>
      </c>
      <c r="Y773">
        <v>250</v>
      </c>
      <c r="Z773">
        <v>750</v>
      </c>
      <c r="AA773" t="s">
        <v>2788</v>
      </c>
    </row>
    <row r="774" spans="1:27" x14ac:dyDescent="0.2">
      <c r="A774">
        <v>3768</v>
      </c>
      <c r="B774" t="s">
        <v>1046</v>
      </c>
      <c r="C774" t="str">
        <f>_xlfn.CONCAT(Merge[[#This Row],[Customer First Name]]," ",Merge[[#This Row],[Customer Last Name]])</f>
        <v>Melanie Bonilla</v>
      </c>
      <c r="D774" t="s">
        <v>410</v>
      </c>
      <c r="E774">
        <v>2000</v>
      </c>
      <c r="F774" t="s">
        <v>76</v>
      </c>
      <c r="G774" s="1">
        <v>45653</v>
      </c>
      <c r="H774">
        <v>2</v>
      </c>
      <c r="I774" t="s">
        <v>52</v>
      </c>
      <c r="J774" t="s">
        <v>33</v>
      </c>
      <c r="K774">
        <v>0.25</v>
      </c>
      <c r="L774">
        <v>151.75</v>
      </c>
      <c r="M774">
        <v>607</v>
      </c>
      <c r="N774">
        <v>455.25</v>
      </c>
      <c r="O774" t="s">
        <v>34</v>
      </c>
      <c r="P774">
        <v>2000</v>
      </c>
      <c r="Q774" t="s">
        <v>76</v>
      </c>
      <c r="R774" s="1">
        <v>45653</v>
      </c>
      <c r="S774">
        <v>3</v>
      </c>
      <c r="T774" t="s">
        <v>52</v>
      </c>
      <c r="U774" t="s">
        <v>33</v>
      </c>
      <c r="V774" t="s">
        <v>2789</v>
      </c>
      <c r="W774" t="s">
        <v>1302</v>
      </c>
      <c r="X774">
        <v>6000</v>
      </c>
      <c r="Y774">
        <v>1200</v>
      </c>
      <c r="Z774">
        <v>3600</v>
      </c>
      <c r="AA774" t="s">
        <v>2790</v>
      </c>
    </row>
    <row r="775" spans="1:27" x14ac:dyDescent="0.2">
      <c r="A775">
        <v>3769</v>
      </c>
      <c r="B775" t="s">
        <v>137</v>
      </c>
      <c r="C775" t="str">
        <f>_xlfn.CONCAT(Merge[[#This Row],[Customer First Name]]," ",Merge[[#This Row],[Customer Last Name]])</f>
        <v>Holden Winters</v>
      </c>
      <c r="D775" t="s">
        <v>625</v>
      </c>
      <c r="E775">
        <v>2001</v>
      </c>
      <c r="F775" t="s">
        <v>76</v>
      </c>
      <c r="G775" s="1">
        <v>45369</v>
      </c>
      <c r="H775">
        <v>1</v>
      </c>
      <c r="I775" t="s">
        <v>32</v>
      </c>
      <c r="J775" t="s">
        <v>43</v>
      </c>
      <c r="K775">
        <v>0.25</v>
      </c>
      <c r="L775">
        <v>66.75</v>
      </c>
      <c r="M775">
        <v>267</v>
      </c>
      <c r="N775">
        <v>200.25</v>
      </c>
      <c r="O775" t="s">
        <v>54</v>
      </c>
      <c r="P775">
        <v>2001</v>
      </c>
      <c r="Q775" t="s">
        <v>76</v>
      </c>
      <c r="R775" s="1">
        <v>45369</v>
      </c>
      <c r="S775">
        <v>3</v>
      </c>
      <c r="T775" t="s">
        <v>32</v>
      </c>
      <c r="U775" t="s">
        <v>43</v>
      </c>
      <c r="V775" t="s">
        <v>2791</v>
      </c>
      <c r="W775" t="s">
        <v>1299</v>
      </c>
      <c r="X775">
        <v>2500</v>
      </c>
      <c r="Y775">
        <v>1200</v>
      </c>
      <c r="Z775">
        <v>3600</v>
      </c>
      <c r="AA775" t="s">
        <v>2792</v>
      </c>
    </row>
    <row r="776" spans="1:27" x14ac:dyDescent="0.2">
      <c r="A776">
        <v>3770</v>
      </c>
      <c r="B776" t="s">
        <v>396</v>
      </c>
      <c r="C776" t="str">
        <f>_xlfn.CONCAT(Merge[[#This Row],[Customer First Name]]," ",Merge[[#This Row],[Customer Last Name]])</f>
        <v>Haven Jensen</v>
      </c>
      <c r="D776" t="s">
        <v>778</v>
      </c>
      <c r="E776">
        <v>2002</v>
      </c>
      <c r="F776" t="s">
        <v>76</v>
      </c>
      <c r="G776" s="1">
        <v>45552</v>
      </c>
      <c r="H776">
        <v>2</v>
      </c>
      <c r="I776" t="s">
        <v>52</v>
      </c>
      <c r="J776" t="s">
        <v>47</v>
      </c>
      <c r="K776">
        <v>0.25</v>
      </c>
      <c r="L776">
        <v>14</v>
      </c>
      <c r="M776">
        <v>56</v>
      </c>
      <c r="N776">
        <v>42</v>
      </c>
      <c r="O776" t="s">
        <v>114</v>
      </c>
      <c r="P776">
        <v>2002</v>
      </c>
      <c r="Q776" t="s">
        <v>76</v>
      </c>
      <c r="R776" s="1">
        <v>45552</v>
      </c>
      <c r="S776">
        <v>2</v>
      </c>
      <c r="T776" t="s">
        <v>52</v>
      </c>
      <c r="U776" t="s">
        <v>47</v>
      </c>
      <c r="V776" t="s">
        <v>2793</v>
      </c>
      <c r="W776" t="s">
        <v>1247</v>
      </c>
      <c r="X776">
        <v>3350</v>
      </c>
      <c r="Y776">
        <v>1200</v>
      </c>
      <c r="Z776">
        <v>2400</v>
      </c>
      <c r="AA776" t="s">
        <v>2794</v>
      </c>
    </row>
    <row r="777" spans="1:27" x14ac:dyDescent="0.2">
      <c r="A777">
        <v>3771</v>
      </c>
      <c r="B777" t="s">
        <v>269</v>
      </c>
      <c r="C777" t="str">
        <f>_xlfn.CONCAT(Merge[[#This Row],[Customer First Name]]," ",Merge[[#This Row],[Customer Last Name]])</f>
        <v>Zander Pollard</v>
      </c>
      <c r="D777" t="s">
        <v>1047</v>
      </c>
      <c r="E777">
        <v>2003</v>
      </c>
      <c r="F777" t="s">
        <v>37</v>
      </c>
      <c r="G777" s="1">
        <v>45651</v>
      </c>
      <c r="H777">
        <v>2</v>
      </c>
      <c r="I777" t="s">
        <v>52</v>
      </c>
      <c r="J777" t="s">
        <v>43</v>
      </c>
      <c r="K777">
        <v>0.3</v>
      </c>
      <c r="L777">
        <v>276.3</v>
      </c>
      <c r="M777">
        <v>921</v>
      </c>
      <c r="N777">
        <v>644.70000000000005</v>
      </c>
      <c r="O777" t="s">
        <v>44</v>
      </c>
      <c r="P777">
        <v>2003</v>
      </c>
      <c r="Q777" t="s">
        <v>37</v>
      </c>
      <c r="R777" s="1">
        <v>45651</v>
      </c>
      <c r="S777">
        <v>2</v>
      </c>
      <c r="T777" t="s">
        <v>52</v>
      </c>
      <c r="U777" t="s">
        <v>43</v>
      </c>
      <c r="V777" t="s">
        <v>2795</v>
      </c>
      <c r="W777" t="s">
        <v>1299</v>
      </c>
      <c r="X777">
        <v>2500</v>
      </c>
      <c r="Y777">
        <v>800</v>
      </c>
      <c r="Z777">
        <v>1600</v>
      </c>
      <c r="AA777" t="s">
        <v>2796</v>
      </c>
    </row>
    <row r="778" spans="1:27" x14ac:dyDescent="0.2">
      <c r="A778">
        <v>3772</v>
      </c>
      <c r="B778" t="s">
        <v>660</v>
      </c>
      <c r="C778" t="str">
        <f>_xlfn.CONCAT(Merge[[#This Row],[Customer First Name]]," ",Merge[[#This Row],[Customer Last Name]])</f>
        <v>Aisha Krueger</v>
      </c>
      <c r="D778" t="s">
        <v>973</v>
      </c>
      <c r="E778">
        <v>2004</v>
      </c>
      <c r="F778" t="s">
        <v>31</v>
      </c>
      <c r="G778" s="1">
        <v>45622</v>
      </c>
      <c r="H778">
        <v>3</v>
      </c>
      <c r="I778" t="s">
        <v>52</v>
      </c>
      <c r="J778" t="s">
        <v>43</v>
      </c>
      <c r="K778">
        <v>0.1</v>
      </c>
      <c r="L778">
        <v>143.20000000000002</v>
      </c>
      <c r="M778">
        <v>1432</v>
      </c>
      <c r="N778">
        <v>1288.8</v>
      </c>
      <c r="O778" t="s">
        <v>44</v>
      </c>
      <c r="P778">
        <v>2004</v>
      </c>
      <c r="Q778" t="s">
        <v>31</v>
      </c>
      <c r="R778" s="1">
        <v>45622</v>
      </c>
      <c r="S778">
        <v>1</v>
      </c>
      <c r="T778" t="s">
        <v>52</v>
      </c>
      <c r="U778" t="s">
        <v>43</v>
      </c>
      <c r="V778" t="s">
        <v>2797</v>
      </c>
      <c r="W778" t="s">
        <v>1299</v>
      </c>
      <c r="X778">
        <v>2500</v>
      </c>
      <c r="Y778">
        <v>250</v>
      </c>
      <c r="Z778">
        <v>250</v>
      </c>
      <c r="AA778" t="s">
        <v>2798</v>
      </c>
    </row>
    <row r="779" spans="1:27" x14ac:dyDescent="0.2">
      <c r="A779">
        <v>3773</v>
      </c>
      <c r="B779" t="s">
        <v>349</v>
      </c>
      <c r="C779" t="str">
        <f>_xlfn.CONCAT(Merge[[#This Row],[Customer First Name]]," ",Merge[[#This Row],[Customer Last Name]])</f>
        <v>Maddox Stokes</v>
      </c>
      <c r="D779" t="s">
        <v>1048</v>
      </c>
      <c r="E779">
        <v>2005</v>
      </c>
      <c r="F779" t="s">
        <v>92</v>
      </c>
      <c r="G779" s="1">
        <v>45327</v>
      </c>
      <c r="H779">
        <v>2</v>
      </c>
      <c r="I779" t="s">
        <v>32</v>
      </c>
      <c r="J779" t="s">
        <v>57</v>
      </c>
      <c r="K779">
        <v>0.3</v>
      </c>
      <c r="L779">
        <v>152.1</v>
      </c>
      <c r="M779">
        <v>507</v>
      </c>
      <c r="N779">
        <v>354.9</v>
      </c>
      <c r="O779" t="s">
        <v>34</v>
      </c>
      <c r="P779">
        <v>2005</v>
      </c>
      <c r="Q779" t="s">
        <v>92</v>
      </c>
      <c r="R779" s="1">
        <v>45327</v>
      </c>
      <c r="S779">
        <v>2</v>
      </c>
      <c r="T779" t="s">
        <v>32</v>
      </c>
      <c r="U779" t="s">
        <v>57</v>
      </c>
      <c r="V779" t="s">
        <v>2799</v>
      </c>
      <c r="W779" t="s">
        <v>1253</v>
      </c>
      <c r="X779">
        <v>5290</v>
      </c>
      <c r="Y779">
        <v>600</v>
      </c>
      <c r="Z779">
        <v>1200</v>
      </c>
      <c r="AA779" t="s">
        <v>2800</v>
      </c>
    </row>
    <row r="780" spans="1:27" x14ac:dyDescent="0.2">
      <c r="A780">
        <v>3774</v>
      </c>
      <c r="B780" t="s">
        <v>848</v>
      </c>
      <c r="C780" t="str">
        <f>_xlfn.CONCAT(Merge[[#This Row],[Customer First Name]]," ",Merge[[#This Row],[Customer Last Name]])</f>
        <v>Cooper Sims</v>
      </c>
      <c r="D780" t="s">
        <v>203</v>
      </c>
      <c r="E780">
        <v>2006</v>
      </c>
      <c r="F780" t="s">
        <v>51</v>
      </c>
      <c r="G780" s="1">
        <v>45591</v>
      </c>
      <c r="H780">
        <v>3</v>
      </c>
      <c r="I780" t="s">
        <v>52</v>
      </c>
      <c r="J780" t="s">
        <v>43</v>
      </c>
      <c r="K780">
        <v>0.2</v>
      </c>
      <c r="L780">
        <v>93.600000000000009</v>
      </c>
      <c r="M780">
        <v>468</v>
      </c>
      <c r="N780">
        <v>374.4</v>
      </c>
      <c r="O780" t="s">
        <v>44</v>
      </c>
      <c r="P780">
        <v>2006</v>
      </c>
      <c r="Q780" t="s">
        <v>51</v>
      </c>
      <c r="R780" s="1">
        <v>45591</v>
      </c>
      <c r="S780">
        <v>1</v>
      </c>
      <c r="T780" t="s">
        <v>52</v>
      </c>
      <c r="U780" t="s">
        <v>43</v>
      </c>
      <c r="V780" t="s">
        <v>2801</v>
      </c>
      <c r="W780" t="s">
        <v>1299</v>
      </c>
      <c r="X780">
        <v>2500</v>
      </c>
      <c r="Y780">
        <v>250</v>
      </c>
      <c r="Z780">
        <v>250</v>
      </c>
      <c r="AA780" t="s">
        <v>2802</v>
      </c>
    </row>
    <row r="781" spans="1:27" x14ac:dyDescent="0.2">
      <c r="A781">
        <v>3775</v>
      </c>
      <c r="B781" t="s">
        <v>396</v>
      </c>
      <c r="C781" t="str">
        <f>_xlfn.CONCAT(Merge[[#This Row],[Customer First Name]]," ",Merge[[#This Row],[Customer Last Name]])</f>
        <v>Trinity Jensen</v>
      </c>
      <c r="D781" t="s">
        <v>920</v>
      </c>
      <c r="E781">
        <v>2007</v>
      </c>
      <c r="F781" t="s">
        <v>51</v>
      </c>
      <c r="G781" s="1">
        <v>45361</v>
      </c>
      <c r="H781">
        <v>1</v>
      </c>
      <c r="I781" t="s">
        <v>52</v>
      </c>
      <c r="J781" t="s">
        <v>43</v>
      </c>
      <c r="K781">
        <v>0.2</v>
      </c>
      <c r="L781">
        <v>141</v>
      </c>
      <c r="M781">
        <v>705</v>
      </c>
      <c r="N781">
        <v>564</v>
      </c>
      <c r="O781" t="s">
        <v>54</v>
      </c>
      <c r="P781">
        <v>2007</v>
      </c>
      <c r="Q781" t="s">
        <v>51</v>
      </c>
      <c r="R781" s="1">
        <v>45361</v>
      </c>
      <c r="S781">
        <v>3</v>
      </c>
      <c r="T781" t="s">
        <v>52</v>
      </c>
      <c r="U781" t="s">
        <v>43</v>
      </c>
      <c r="V781" t="s">
        <v>2803</v>
      </c>
      <c r="W781" t="s">
        <v>1244</v>
      </c>
      <c r="X781">
        <v>2300</v>
      </c>
      <c r="Y781">
        <v>250</v>
      </c>
      <c r="Z781">
        <v>750</v>
      </c>
      <c r="AA781" t="s">
        <v>2804</v>
      </c>
    </row>
    <row r="782" spans="1:27" x14ac:dyDescent="0.2">
      <c r="A782">
        <v>3776</v>
      </c>
      <c r="B782" t="s">
        <v>566</v>
      </c>
      <c r="C782" t="str">
        <f>_xlfn.CONCAT(Merge[[#This Row],[Customer First Name]]," ",Merge[[#This Row],[Customer Last Name]])</f>
        <v>Rosalie Castillo</v>
      </c>
      <c r="D782" t="s">
        <v>63</v>
      </c>
      <c r="E782">
        <v>2008</v>
      </c>
      <c r="F782" t="s">
        <v>37</v>
      </c>
      <c r="G782" s="1">
        <v>45617</v>
      </c>
      <c r="H782">
        <v>2</v>
      </c>
      <c r="I782" t="s">
        <v>52</v>
      </c>
      <c r="J782" t="s">
        <v>33</v>
      </c>
      <c r="K782">
        <v>0.3</v>
      </c>
      <c r="L782">
        <v>187.5</v>
      </c>
      <c r="M782">
        <v>625</v>
      </c>
      <c r="N782">
        <v>437.5</v>
      </c>
      <c r="O782" t="s">
        <v>114</v>
      </c>
      <c r="P782">
        <v>2008</v>
      </c>
      <c r="Q782" t="s">
        <v>37</v>
      </c>
      <c r="R782" s="1">
        <v>45617</v>
      </c>
      <c r="S782">
        <v>1</v>
      </c>
      <c r="T782" t="s">
        <v>52</v>
      </c>
      <c r="U782" t="s">
        <v>33</v>
      </c>
      <c r="V782" t="s">
        <v>2805</v>
      </c>
      <c r="W782" t="s">
        <v>1238</v>
      </c>
      <c r="X782">
        <v>6725</v>
      </c>
      <c r="Y782">
        <v>800</v>
      </c>
      <c r="Z782">
        <v>800</v>
      </c>
      <c r="AA782" t="s">
        <v>2806</v>
      </c>
    </row>
    <row r="783" spans="1:27" x14ac:dyDescent="0.2">
      <c r="A783">
        <v>3777</v>
      </c>
      <c r="B783" t="s">
        <v>30</v>
      </c>
      <c r="C783" t="str">
        <f>_xlfn.CONCAT(Merge[[#This Row],[Customer First Name]]," ",Merge[[#This Row],[Customer Last Name]])</f>
        <v>Frank Lewis</v>
      </c>
      <c r="D783" t="s">
        <v>96</v>
      </c>
      <c r="E783">
        <v>2009</v>
      </c>
      <c r="F783" t="s">
        <v>92</v>
      </c>
      <c r="G783" s="1">
        <v>45293</v>
      </c>
      <c r="H783">
        <v>2</v>
      </c>
      <c r="I783" t="s">
        <v>38</v>
      </c>
      <c r="J783" t="s">
        <v>57</v>
      </c>
      <c r="K783">
        <v>0.3</v>
      </c>
      <c r="L783">
        <v>429.59999999999997</v>
      </c>
      <c r="M783">
        <v>1432</v>
      </c>
      <c r="N783">
        <v>1002.4000000000001</v>
      </c>
      <c r="O783" t="s">
        <v>34</v>
      </c>
      <c r="P783">
        <v>2009</v>
      </c>
      <c r="Q783" t="s">
        <v>92</v>
      </c>
      <c r="R783" s="1">
        <v>45293</v>
      </c>
      <c r="S783">
        <v>3</v>
      </c>
      <c r="T783" t="s">
        <v>38</v>
      </c>
      <c r="U783" t="s">
        <v>57</v>
      </c>
      <c r="V783" t="s">
        <v>2807</v>
      </c>
      <c r="W783" t="s">
        <v>1253</v>
      </c>
      <c r="X783">
        <v>5290</v>
      </c>
      <c r="Y783">
        <v>600</v>
      </c>
      <c r="Z783">
        <v>1800</v>
      </c>
      <c r="AA783" t="s">
        <v>2808</v>
      </c>
    </row>
    <row r="784" spans="1:27" x14ac:dyDescent="0.2">
      <c r="A784">
        <v>3778</v>
      </c>
      <c r="B784" t="s">
        <v>1049</v>
      </c>
      <c r="C784" t="str">
        <f>_xlfn.CONCAT(Merge[[#This Row],[Customer First Name]]," ",Merge[[#This Row],[Customer Last Name]])</f>
        <v>Messiah Doyle</v>
      </c>
      <c r="D784" t="s">
        <v>1050</v>
      </c>
      <c r="E784">
        <v>2010</v>
      </c>
      <c r="F784" t="s">
        <v>31</v>
      </c>
      <c r="G784" s="1">
        <v>45323</v>
      </c>
      <c r="H784">
        <v>1</v>
      </c>
      <c r="I784" t="s">
        <v>52</v>
      </c>
      <c r="J784" t="s">
        <v>64</v>
      </c>
      <c r="K784">
        <v>0.1</v>
      </c>
      <c r="L784">
        <v>34.4</v>
      </c>
      <c r="M784">
        <v>344</v>
      </c>
      <c r="N784">
        <v>309.60000000000002</v>
      </c>
      <c r="O784" t="s">
        <v>48</v>
      </c>
      <c r="P784">
        <v>2010</v>
      </c>
      <c r="Q784" t="s">
        <v>31</v>
      </c>
      <c r="R784" s="1">
        <v>45323</v>
      </c>
      <c r="S784">
        <v>2</v>
      </c>
      <c r="T784" t="s">
        <v>52</v>
      </c>
      <c r="U784" t="s">
        <v>64</v>
      </c>
      <c r="V784" t="s">
        <v>2809</v>
      </c>
      <c r="W784" t="s">
        <v>1265</v>
      </c>
      <c r="X784">
        <v>7000</v>
      </c>
      <c r="Y784">
        <v>250</v>
      </c>
      <c r="Z784">
        <v>500</v>
      </c>
      <c r="AA784" t="s">
        <v>2810</v>
      </c>
    </row>
    <row r="785" spans="1:27" x14ac:dyDescent="0.2">
      <c r="A785">
        <v>3779</v>
      </c>
      <c r="B785" t="s">
        <v>992</v>
      </c>
      <c r="C785" t="str">
        <f>_xlfn.CONCAT(Merge[[#This Row],[Customer First Name]]," ",Merge[[#This Row],[Customer Last Name]])</f>
        <v>Owen Becker</v>
      </c>
      <c r="D785" t="s">
        <v>1051</v>
      </c>
      <c r="E785">
        <v>2011</v>
      </c>
      <c r="F785" t="s">
        <v>92</v>
      </c>
      <c r="G785" s="1">
        <v>45557</v>
      </c>
      <c r="H785">
        <v>1</v>
      </c>
      <c r="I785" t="s">
        <v>32</v>
      </c>
      <c r="J785" t="s">
        <v>47</v>
      </c>
      <c r="K785">
        <v>0.3</v>
      </c>
      <c r="L785">
        <v>354.59999999999997</v>
      </c>
      <c r="M785">
        <v>1182</v>
      </c>
      <c r="N785">
        <v>827.40000000000009</v>
      </c>
      <c r="O785" t="s">
        <v>34</v>
      </c>
      <c r="P785">
        <v>2011</v>
      </c>
      <c r="Q785" t="s">
        <v>92</v>
      </c>
      <c r="R785" s="1">
        <v>45557</v>
      </c>
      <c r="S785">
        <v>3</v>
      </c>
      <c r="T785" t="s">
        <v>32</v>
      </c>
      <c r="U785" t="s">
        <v>47</v>
      </c>
      <c r="V785" t="s">
        <v>2811</v>
      </c>
      <c r="W785" t="s">
        <v>1275</v>
      </c>
      <c r="X785">
        <v>3000</v>
      </c>
      <c r="Y785">
        <v>600</v>
      </c>
      <c r="Z785">
        <v>1800</v>
      </c>
      <c r="AA785" t="s">
        <v>2812</v>
      </c>
    </row>
    <row r="786" spans="1:27" x14ac:dyDescent="0.2">
      <c r="A786">
        <v>3780</v>
      </c>
      <c r="B786" t="s">
        <v>1036</v>
      </c>
      <c r="C786" t="str">
        <f>_xlfn.CONCAT(Merge[[#This Row],[Customer First Name]]," ",Merge[[#This Row],[Customer Last Name]])</f>
        <v>Luke Adams</v>
      </c>
      <c r="D786" t="s">
        <v>246</v>
      </c>
      <c r="E786">
        <v>2012</v>
      </c>
      <c r="F786" t="s">
        <v>51</v>
      </c>
      <c r="G786" s="1">
        <v>45450</v>
      </c>
      <c r="H786">
        <v>2</v>
      </c>
      <c r="I786" t="s">
        <v>32</v>
      </c>
      <c r="J786" t="s">
        <v>81</v>
      </c>
      <c r="K786">
        <v>0.2</v>
      </c>
      <c r="L786">
        <v>304.2</v>
      </c>
      <c r="M786">
        <v>1521</v>
      </c>
      <c r="N786">
        <v>1216.8</v>
      </c>
      <c r="O786" t="s">
        <v>114</v>
      </c>
      <c r="P786">
        <v>2012</v>
      </c>
      <c r="Q786" t="s">
        <v>51</v>
      </c>
      <c r="R786" s="1">
        <v>45450</v>
      </c>
      <c r="S786">
        <v>1</v>
      </c>
      <c r="T786" t="s">
        <v>32</v>
      </c>
      <c r="U786" t="s">
        <v>81</v>
      </c>
      <c r="V786" t="s">
        <v>2813</v>
      </c>
      <c r="W786" t="s">
        <v>1280</v>
      </c>
      <c r="X786">
        <v>800</v>
      </c>
      <c r="Y786">
        <v>250</v>
      </c>
      <c r="Z786">
        <v>250</v>
      </c>
      <c r="AA786" t="s">
        <v>2814</v>
      </c>
    </row>
    <row r="787" spans="1:27" x14ac:dyDescent="0.2">
      <c r="A787">
        <v>3781</v>
      </c>
      <c r="B787" t="s">
        <v>696</v>
      </c>
      <c r="C787" t="str">
        <f>_xlfn.CONCAT(Merge[[#This Row],[Customer First Name]]," ",Merge[[#This Row],[Customer Last Name]])</f>
        <v>Kendrick Fletcher</v>
      </c>
      <c r="D787" t="s">
        <v>1052</v>
      </c>
      <c r="E787">
        <v>2013</v>
      </c>
      <c r="F787" t="s">
        <v>76</v>
      </c>
      <c r="G787" s="1">
        <v>45585</v>
      </c>
      <c r="H787">
        <v>3</v>
      </c>
      <c r="I787" t="s">
        <v>32</v>
      </c>
      <c r="J787" t="s">
        <v>47</v>
      </c>
      <c r="K787">
        <v>0.25</v>
      </c>
      <c r="L787">
        <v>63.25</v>
      </c>
      <c r="M787">
        <v>253</v>
      </c>
      <c r="N787">
        <v>189.75</v>
      </c>
      <c r="O787" t="s">
        <v>34</v>
      </c>
      <c r="P787">
        <v>2013</v>
      </c>
      <c r="Q787" t="s">
        <v>76</v>
      </c>
      <c r="R787" s="1">
        <v>45585</v>
      </c>
      <c r="S787">
        <v>1</v>
      </c>
      <c r="T787" t="s">
        <v>32</v>
      </c>
      <c r="U787" t="s">
        <v>47</v>
      </c>
      <c r="V787" t="s">
        <v>2815</v>
      </c>
      <c r="W787" t="s">
        <v>1256</v>
      </c>
      <c r="X787">
        <v>3220</v>
      </c>
      <c r="Y787">
        <v>1200</v>
      </c>
      <c r="Z787">
        <v>1200</v>
      </c>
      <c r="AA787" t="s">
        <v>2816</v>
      </c>
    </row>
    <row r="788" spans="1:27" x14ac:dyDescent="0.2">
      <c r="A788">
        <v>3782</v>
      </c>
      <c r="B788" t="s">
        <v>1053</v>
      </c>
      <c r="C788" t="str">
        <f>_xlfn.CONCAT(Merge[[#This Row],[Customer First Name]]," ",Merge[[#This Row],[Customer Last Name]])</f>
        <v>Amari Stephenson</v>
      </c>
      <c r="D788" t="s">
        <v>711</v>
      </c>
      <c r="E788">
        <v>2014</v>
      </c>
      <c r="F788" t="s">
        <v>92</v>
      </c>
      <c r="G788" s="1">
        <v>45333</v>
      </c>
      <c r="H788">
        <v>3</v>
      </c>
      <c r="I788" t="s">
        <v>32</v>
      </c>
      <c r="J788" t="s">
        <v>33</v>
      </c>
      <c r="K788">
        <v>0.3</v>
      </c>
      <c r="L788">
        <v>384.9</v>
      </c>
      <c r="M788">
        <v>1283</v>
      </c>
      <c r="N788">
        <v>898.1</v>
      </c>
      <c r="O788" t="s">
        <v>44</v>
      </c>
      <c r="P788">
        <v>2014</v>
      </c>
      <c r="Q788" t="s">
        <v>92</v>
      </c>
      <c r="R788" s="1">
        <v>45333</v>
      </c>
      <c r="S788">
        <v>2</v>
      </c>
      <c r="T788" t="s">
        <v>32</v>
      </c>
      <c r="U788" t="s">
        <v>33</v>
      </c>
      <c r="V788" t="s">
        <v>2817</v>
      </c>
      <c r="W788" t="s">
        <v>1238</v>
      </c>
      <c r="X788">
        <v>6725</v>
      </c>
      <c r="Y788">
        <v>600</v>
      </c>
      <c r="Z788">
        <v>1200</v>
      </c>
      <c r="AA788" t="s">
        <v>2818</v>
      </c>
    </row>
    <row r="789" spans="1:27" x14ac:dyDescent="0.2">
      <c r="A789">
        <v>3783</v>
      </c>
      <c r="B789" t="s">
        <v>1054</v>
      </c>
      <c r="C789" t="str">
        <f>_xlfn.CONCAT(Merge[[#This Row],[Customer First Name]]," ",Merge[[#This Row],[Customer Last Name]])</f>
        <v>Cade Hodges</v>
      </c>
      <c r="D789" t="s">
        <v>126</v>
      </c>
      <c r="E789">
        <v>2015</v>
      </c>
      <c r="F789" t="s">
        <v>42</v>
      </c>
      <c r="G789" s="1">
        <v>45456</v>
      </c>
      <c r="H789">
        <v>1</v>
      </c>
      <c r="I789" t="s">
        <v>32</v>
      </c>
      <c r="J789" t="s">
        <v>47</v>
      </c>
      <c r="K789">
        <v>0.25</v>
      </c>
      <c r="L789">
        <v>287.5</v>
      </c>
      <c r="M789">
        <v>1150</v>
      </c>
      <c r="N789">
        <v>862.5</v>
      </c>
      <c r="O789" t="s">
        <v>54</v>
      </c>
      <c r="P789">
        <v>2015</v>
      </c>
      <c r="Q789" t="s">
        <v>42</v>
      </c>
      <c r="R789" s="1">
        <v>45456</v>
      </c>
      <c r="S789">
        <v>3</v>
      </c>
      <c r="T789" t="s">
        <v>32</v>
      </c>
      <c r="U789" t="s">
        <v>47</v>
      </c>
      <c r="V789" t="s">
        <v>2819</v>
      </c>
      <c r="W789" t="s">
        <v>1275</v>
      </c>
      <c r="X789">
        <v>3000</v>
      </c>
      <c r="Y789">
        <v>300</v>
      </c>
      <c r="Z789">
        <v>900</v>
      </c>
      <c r="AA789" t="s">
        <v>2820</v>
      </c>
    </row>
    <row r="790" spans="1:27" x14ac:dyDescent="0.2">
      <c r="A790">
        <v>3784</v>
      </c>
      <c r="B790" t="s">
        <v>1055</v>
      </c>
      <c r="C790" t="str">
        <f>_xlfn.CONCAT(Merge[[#This Row],[Customer First Name]]," ",Merge[[#This Row],[Customer Last Name]])</f>
        <v>Serenity Hopkins</v>
      </c>
      <c r="D790" t="s">
        <v>1056</v>
      </c>
      <c r="E790">
        <v>2016</v>
      </c>
      <c r="F790" t="s">
        <v>76</v>
      </c>
      <c r="G790" s="1">
        <v>45426</v>
      </c>
      <c r="H790">
        <v>2</v>
      </c>
      <c r="I790" t="s">
        <v>32</v>
      </c>
      <c r="J790" t="s">
        <v>33</v>
      </c>
      <c r="K790">
        <v>0.25</v>
      </c>
      <c r="L790">
        <v>312</v>
      </c>
      <c r="M790">
        <v>1248</v>
      </c>
      <c r="N790">
        <v>936</v>
      </c>
      <c r="O790" t="s">
        <v>48</v>
      </c>
      <c r="P790">
        <v>2016</v>
      </c>
      <c r="Q790" t="s">
        <v>76</v>
      </c>
      <c r="R790" s="1">
        <v>45426</v>
      </c>
      <c r="S790">
        <v>3</v>
      </c>
      <c r="T790" t="s">
        <v>32</v>
      </c>
      <c r="U790" t="s">
        <v>33</v>
      </c>
      <c r="V790" t="s">
        <v>2821</v>
      </c>
      <c r="W790" t="s">
        <v>1259</v>
      </c>
      <c r="X790">
        <v>6160</v>
      </c>
      <c r="Y790">
        <v>1200</v>
      </c>
      <c r="Z790">
        <v>3600</v>
      </c>
      <c r="AA790" t="s">
        <v>2822</v>
      </c>
    </row>
    <row r="791" spans="1:27" x14ac:dyDescent="0.2">
      <c r="A791">
        <v>3785</v>
      </c>
      <c r="B791" t="s">
        <v>1057</v>
      </c>
      <c r="C791" t="str">
        <f>_xlfn.CONCAT(Merge[[#This Row],[Customer First Name]]," ",Merge[[#This Row],[Customer Last Name]])</f>
        <v>Leonardo Parks</v>
      </c>
      <c r="D791" t="s">
        <v>1058</v>
      </c>
      <c r="E791">
        <v>2017</v>
      </c>
      <c r="F791" t="s">
        <v>92</v>
      </c>
      <c r="G791" s="1">
        <v>45642</v>
      </c>
      <c r="H791">
        <v>3</v>
      </c>
      <c r="I791" t="s">
        <v>32</v>
      </c>
      <c r="J791" t="s">
        <v>47</v>
      </c>
      <c r="K791">
        <v>0.3</v>
      </c>
      <c r="L791">
        <v>434.09999999999997</v>
      </c>
      <c r="M791">
        <v>1447</v>
      </c>
      <c r="N791">
        <v>1012.9000000000001</v>
      </c>
      <c r="O791" t="s">
        <v>114</v>
      </c>
      <c r="P791">
        <v>2017</v>
      </c>
      <c r="Q791" t="s">
        <v>92</v>
      </c>
      <c r="R791" s="1">
        <v>45642</v>
      </c>
      <c r="S791">
        <v>2</v>
      </c>
      <c r="T791" t="s">
        <v>32</v>
      </c>
      <c r="U791" t="s">
        <v>47</v>
      </c>
      <c r="V791" t="s">
        <v>2823</v>
      </c>
      <c r="W791" t="s">
        <v>1275</v>
      </c>
      <c r="X791">
        <v>3000</v>
      </c>
      <c r="Y791">
        <v>600</v>
      </c>
      <c r="Z791">
        <v>1200</v>
      </c>
      <c r="AA791" t="s">
        <v>2824</v>
      </c>
    </row>
    <row r="792" spans="1:27" x14ac:dyDescent="0.2">
      <c r="A792">
        <v>3786</v>
      </c>
      <c r="B792" t="s">
        <v>562</v>
      </c>
      <c r="C792" t="str">
        <f>_xlfn.CONCAT(Merge[[#This Row],[Customer First Name]]," ",Merge[[#This Row],[Customer Last Name]])</f>
        <v>Serenity Kennedy</v>
      </c>
      <c r="D792" t="s">
        <v>1056</v>
      </c>
      <c r="E792">
        <v>2018</v>
      </c>
      <c r="F792" t="s">
        <v>51</v>
      </c>
      <c r="G792" s="1">
        <v>45470</v>
      </c>
      <c r="H792">
        <v>3</v>
      </c>
      <c r="I792" t="s">
        <v>32</v>
      </c>
      <c r="J792" t="s">
        <v>53</v>
      </c>
      <c r="K792">
        <v>0.2</v>
      </c>
      <c r="L792">
        <v>106</v>
      </c>
      <c r="M792">
        <v>530</v>
      </c>
      <c r="N792">
        <v>424</v>
      </c>
      <c r="O792" t="s">
        <v>44</v>
      </c>
      <c r="P792">
        <v>2018</v>
      </c>
      <c r="Q792" t="s">
        <v>51</v>
      </c>
      <c r="R792" s="1">
        <v>45470</v>
      </c>
      <c r="S792">
        <v>2</v>
      </c>
      <c r="T792" t="s">
        <v>32</v>
      </c>
      <c r="U792" t="s">
        <v>53</v>
      </c>
      <c r="V792" t="s">
        <v>2825</v>
      </c>
      <c r="W792" t="s">
        <v>1250</v>
      </c>
      <c r="X792">
        <v>4217</v>
      </c>
      <c r="Y792">
        <v>250</v>
      </c>
      <c r="Z792">
        <v>500</v>
      </c>
      <c r="AA792" t="s">
        <v>2826</v>
      </c>
    </row>
    <row r="793" spans="1:27" x14ac:dyDescent="0.2">
      <c r="A793">
        <v>3787</v>
      </c>
      <c r="B793" t="s">
        <v>573</v>
      </c>
      <c r="C793" t="str">
        <f>_xlfn.CONCAT(Merge[[#This Row],[Customer First Name]]," ",Merge[[#This Row],[Customer Last Name]])</f>
        <v>Payton Russo</v>
      </c>
      <c r="D793" t="s">
        <v>891</v>
      </c>
      <c r="E793">
        <v>2019</v>
      </c>
      <c r="F793" t="s">
        <v>76</v>
      </c>
      <c r="G793" s="1">
        <v>45548</v>
      </c>
      <c r="H793">
        <v>1</v>
      </c>
      <c r="I793" t="s">
        <v>32</v>
      </c>
      <c r="J793" t="s">
        <v>43</v>
      </c>
      <c r="K793">
        <v>0.25</v>
      </c>
      <c r="L793">
        <v>205.75</v>
      </c>
      <c r="M793">
        <v>823</v>
      </c>
      <c r="N793">
        <v>617.25</v>
      </c>
      <c r="O793" t="s">
        <v>44</v>
      </c>
      <c r="P793">
        <v>2019</v>
      </c>
      <c r="Q793" t="s">
        <v>76</v>
      </c>
      <c r="R793" s="1">
        <v>45548</v>
      </c>
      <c r="S793">
        <v>2</v>
      </c>
      <c r="T793" t="s">
        <v>32</v>
      </c>
      <c r="U793" t="s">
        <v>43</v>
      </c>
      <c r="V793" t="s">
        <v>2827</v>
      </c>
      <c r="W793" t="s">
        <v>1244</v>
      </c>
      <c r="X793">
        <v>2300</v>
      </c>
      <c r="Y793">
        <v>1200</v>
      </c>
      <c r="Z793">
        <v>2400</v>
      </c>
      <c r="AA793" t="s">
        <v>2828</v>
      </c>
    </row>
    <row r="794" spans="1:27" x14ac:dyDescent="0.2">
      <c r="A794">
        <v>3788</v>
      </c>
      <c r="B794" t="s">
        <v>564</v>
      </c>
      <c r="C794" t="str">
        <f>_xlfn.CONCAT(Merge[[#This Row],[Customer First Name]]," ",Merge[[#This Row],[Customer Last Name]])</f>
        <v>Atticus Case</v>
      </c>
      <c r="D794" t="s">
        <v>841</v>
      </c>
      <c r="E794">
        <v>2020</v>
      </c>
      <c r="F794" t="s">
        <v>31</v>
      </c>
      <c r="G794" s="1">
        <v>45511</v>
      </c>
      <c r="H794">
        <v>1</v>
      </c>
      <c r="I794" t="s">
        <v>52</v>
      </c>
      <c r="J794" t="s">
        <v>57</v>
      </c>
      <c r="K794">
        <v>0.1</v>
      </c>
      <c r="L794">
        <v>122.7</v>
      </c>
      <c r="M794">
        <v>1227</v>
      </c>
      <c r="N794">
        <v>1104.3</v>
      </c>
      <c r="O794" t="s">
        <v>44</v>
      </c>
      <c r="P794">
        <v>2020</v>
      </c>
      <c r="Q794" t="s">
        <v>31</v>
      </c>
      <c r="R794" s="1">
        <v>45511</v>
      </c>
      <c r="S794">
        <v>1</v>
      </c>
      <c r="T794" t="s">
        <v>52</v>
      </c>
      <c r="U794" t="s">
        <v>57</v>
      </c>
      <c r="V794" t="s">
        <v>2829</v>
      </c>
      <c r="W794" t="s">
        <v>1253</v>
      </c>
      <c r="X794">
        <v>5290</v>
      </c>
      <c r="Y794">
        <v>250</v>
      </c>
      <c r="Z794">
        <v>250</v>
      </c>
      <c r="AA794" t="s">
        <v>2830</v>
      </c>
    </row>
    <row r="795" spans="1:27" x14ac:dyDescent="0.2">
      <c r="A795">
        <v>3789</v>
      </c>
      <c r="B795" t="s">
        <v>1059</v>
      </c>
      <c r="C795" t="str">
        <f>_xlfn.CONCAT(Merge[[#This Row],[Customer First Name]]," ",Merge[[#This Row],[Customer Last Name]])</f>
        <v>Zyaire Graham</v>
      </c>
      <c r="D795" t="s">
        <v>798</v>
      </c>
      <c r="E795">
        <v>2021</v>
      </c>
      <c r="F795" t="s">
        <v>42</v>
      </c>
      <c r="G795" s="1">
        <v>45594</v>
      </c>
      <c r="H795">
        <v>1</v>
      </c>
      <c r="I795" t="s">
        <v>38</v>
      </c>
      <c r="J795" t="s">
        <v>53</v>
      </c>
      <c r="K795">
        <v>0.25</v>
      </c>
      <c r="L795">
        <v>262.25</v>
      </c>
      <c r="M795">
        <v>1049</v>
      </c>
      <c r="N795">
        <v>786.75</v>
      </c>
      <c r="O795" t="s">
        <v>44</v>
      </c>
      <c r="P795">
        <v>2021</v>
      </c>
      <c r="Q795" t="s">
        <v>42</v>
      </c>
      <c r="R795" s="1">
        <v>45594</v>
      </c>
      <c r="S795">
        <v>1</v>
      </c>
      <c r="T795" t="s">
        <v>38</v>
      </c>
      <c r="U795" t="s">
        <v>53</v>
      </c>
      <c r="V795" t="s">
        <v>2831</v>
      </c>
      <c r="W795" t="s">
        <v>1268</v>
      </c>
      <c r="X795">
        <v>4870</v>
      </c>
      <c r="Y795">
        <v>300</v>
      </c>
      <c r="Z795">
        <v>300</v>
      </c>
      <c r="AA795" t="s">
        <v>2832</v>
      </c>
    </row>
    <row r="796" spans="1:27" x14ac:dyDescent="0.2">
      <c r="A796">
        <v>3790</v>
      </c>
      <c r="B796" t="s">
        <v>1060</v>
      </c>
      <c r="C796" t="str">
        <f>_xlfn.CONCAT(Merge[[#This Row],[Customer First Name]]," ",Merge[[#This Row],[Customer Last Name]])</f>
        <v>Myles Ball</v>
      </c>
      <c r="D796" t="s">
        <v>236</v>
      </c>
      <c r="E796">
        <v>2022</v>
      </c>
      <c r="F796" t="s">
        <v>37</v>
      </c>
      <c r="G796" s="1">
        <v>45556</v>
      </c>
      <c r="H796">
        <v>3</v>
      </c>
      <c r="I796" t="s">
        <v>52</v>
      </c>
      <c r="J796" t="s">
        <v>39</v>
      </c>
      <c r="K796">
        <v>0.3</v>
      </c>
      <c r="L796">
        <v>195.9</v>
      </c>
      <c r="M796">
        <v>653</v>
      </c>
      <c r="N796">
        <v>457.1</v>
      </c>
      <c r="O796" t="s">
        <v>114</v>
      </c>
      <c r="P796">
        <v>2022</v>
      </c>
      <c r="Q796" t="s">
        <v>37</v>
      </c>
      <c r="R796" s="1">
        <v>45556</v>
      </c>
      <c r="S796">
        <v>1</v>
      </c>
      <c r="T796" t="s">
        <v>52</v>
      </c>
      <c r="U796" t="s">
        <v>39</v>
      </c>
      <c r="V796" t="s">
        <v>2833</v>
      </c>
      <c r="W796" t="s">
        <v>1241</v>
      </c>
      <c r="X796">
        <v>2600</v>
      </c>
      <c r="Y796">
        <v>800</v>
      </c>
      <c r="Z796">
        <v>800</v>
      </c>
      <c r="AA796" t="s">
        <v>2834</v>
      </c>
    </row>
    <row r="797" spans="1:27" x14ac:dyDescent="0.2">
      <c r="A797">
        <v>3791</v>
      </c>
      <c r="B797" t="s">
        <v>1061</v>
      </c>
      <c r="C797" t="str">
        <f>_xlfn.CONCAT(Merge[[#This Row],[Customer First Name]]," ",Merge[[#This Row],[Customer Last Name]])</f>
        <v>Liliana Moore</v>
      </c>
      <c r="D797" t="s">
        <v>1062</v>
      </c>
      <c r="E797">
        <v>2023</v>
      </c>
      <c r="F797" t="s">
        <v>92</v>
      </c>
      <c r="G797" s="1">
        <v>45528</v>
      </c>
      <c r="H797">
        <v>3</v>
      </c>
      <c r="I797" t="s">
        <v>52</v>
      </c>
      <c r="J797" t="s">
        <v>64</v>
      </c>
      <c r="K797">
        <v>0.3</v>
      </c>
      <c r="L797">
        <v>382.8</v>
      </c>
      <c r="M797">
        <v>1276</v>
      </c>
      <c r="N797">
        <v>893.2</v>
      </c>
      <c r="O797" t="s">
        <v>48</v>
      </c>
      <c r="P797">
        <v>2023</v>
      </c>
      <c r="Q797" t="s">
        <v>92</v>
      </c>
      <c r="R797" s="1">
        <v>45528</v>
      </c>
      <c r="S797">
        <v>3</v>
      </c>
      <c r="T797" t="s">
        <v>52</v>
      </c>
      <c r="U797" t="s">
        <v>64</v>
      </c>
      <c r="V797" t="s">
        <v>2835</v>
      </c>
      <c r="W797" t="s">
        <v>1262</v>
      </c>
      <c r="X797">
        <v>7250</v>
      </c>
      <c r="Y797">
        <v>600</v>
      </c>
      <c r="Z797">
        <v>1800</v>
      </c>
      <c r="AA797" t="s">
        <v>2836</v>
      </c>
    </row>
    <row r="798" spans="1:27" x14ac:dyDescent="0.2">
      <c r="A798">
        <v>3792</v>
      </c>
      <c r="B798" t="s">
        <v>905</v>
      </c>
      <c r="C798" t="str">
        <f>_xlfn.CONCAT(Merge[[#This Row],[Customer First Name]]," ",Merge[[#This Row],[Customer Last Name]])</f>
        <v>Gianna Schroeder</v>
      </c>
      <c r="D798" t="s">
        <v>835</v>
      </c>
      <c r="E798">
        <v>2024</v>
      </c>
      <c r="F798" t="s">
        <v>76</v>
      </c>
      <c r="G798" s="1">
        <v>45475</v>
      </c>
      <c r="H798">
        <v>2</v>
      </c>
      <c r="I798" t="s">
        <v>71</v>
      </c>
      <c r="J798" t="s">
        <v>64</v>
      </c>
      <c r="K798">
        <v>0.25</v>
      </c>
      <c r="L798">
        <v>245.25</v>
      </c>
      <c r="M798">
        <v>981</v>
      </c>
      <c r="N798">
        <v>735.75</v>
      </c>
      <c r="O798" t="s">
        <v>48</v>
      </c>
      <c r="P798">
        <v>2024</v>
      </c>
      <c r="Q798" t="s">
        <v>76</v>
      </c>
      <c r="R798" s="1">
        <v>45475</v>
      </c>
      <c r="S798">
        <v>1</v>
      </c>
      <c r="T798" t="s">
        <v>71</v>
      </c>
      <c r="U798" t="s">
        <v>64</v>
      </c>
      <c r="V798" t="s">
        <v>2837</v>
      </c>
      <c r="W798" t="s">
        <v>1262</v>
      </c>
      <c r="X798">
        <v>7250</v>
      </c>
      <c r="Y798">
        <v>1200</v>
      </c>
      <c r="Z798">
        <v>1200</v>
      </c>
      <c r="AA798" t="s">
        <v>2838</v>
      </c>
    </row>
    <row r="799" spans="1:27" x14ac:dyDescent="0.2">
      <c r="A799">
        <v>3793</v>
      </c>
      <c r="B799" t="s">
        <v>1063</v>
      </c>
      <c r="C799" t="str">
        <f>_xlfn.CONCAT(Merge[[#This Row],[Customer First Name]]," ",Merge[[#This Row],[Customer Last Name]])</f>
        <v>Robert Browning</v>
      </c>
      <c r="D799" t="s">
        <v>602</v>
      </c>
      <c r="E799">
        <v>2025</v>
      </c>
      <c r="F799" t="s">
        <v>76</v>
      </c>
      <c r="G799" s="1">
        <v>45612</v>
      </c>
      <c r="H799">
        <v>1</v>
      </c>
      <c r="I799" t="s">
        <v>32</v>
      </c>
      <c r="J799" t="s">
        <v>47</v>
      </c>
      <c r="K799">
        <v>0.25</v>
      </c>
      <c r="L799">
        <v>27.75</v>
      </c>
      <c r="M799">
        <v>111</v>
      </c>
      <c r="N799">
        <v>83.25</v>
      </c>
      <c r="O799" t="s">
        <v>54</v>
      </c>
      <c r="P799">
        <v>2025</v>
      </c>
      <c r="Q799" t="s">
        <v>76</v>
      </c>
      <c r="R799" s="1">
        <v>45612</v>
      </c>
      <c r="S799">
        <v>3</v>
      </c>
      <c r="T799" t="s">
        <v>32</v>
      </c>
      <c r="U799" t="s">
        <v>47</v>
      </c>
      <c r="V799" t="s">
        <v>2839</v>
      </c>
      <c r="W799" t="s">
        <v>1247</v>
      </c>
      <c r="X799">
        <v>3350</v>
      </c>
      <c r="Y799">
        <v>1200</v>
      </c>
      <c r="Z799">
        <v>3600</v>
      </c>
      <c r="AA799" t="s">
        <v>2840</v>
      </c>
    </row>
    <row r="800" spans="1:27" x14ac:dyDescent="0.2">
      <c r="A800">
        <v>3794</v>
      </c>
      <c r="B800" t="s">
        <v>674</v>
      </c>
      <c r="C800" t="str">
        <f>_xlfn.CONCAT(Merge[[#This Row],[Customer First Name]]," ",Merge[[#This Row],[Customer Last Name]])</f>
        <v>Nadia Hahn</v>
      </c>
      <c r="D800" t="s">
        <v>863</v>
      </c>
      <c r="E800">
        <v>2026</v>
      </c>
      <c r="F800" t="s">
        <v>92</v>
      </c>
      <c r="G800" s="1">
        <v>45478</v>
      </c>
      <c r="H800">
        <v>3</v>
      </c>
      <c r="I800" t="s">
        <v>32</v>
      </c>
      <c r="J800" t="s">
        <v>53</v>
      </c>
      <c r="K800">
        <v>0.3</v>
      </c>
      <c r="L800">
        <v>206.7</v>
      </c>
      <c r="M800">
        <v>689</v>
      </c>
      <c r="N800">
        <v>482.3</v>
      </c>
      <c r="O800" t="s">
        <v>48</v>
      </c>
      <c r="P800">
        <v>2026</v>
      </c>
      <c r="Q800" t="s">
        <v>92</v>
      </c>
      <c r="R800" s="1">
        <v>45478</v>
      </c>
      <c r="S800">
        <v>3</v>
      </c>
      <c r="T800" t="s">
        <v>32</v>
      </c>
      <c r="U800" t="s">
        <v>53</v>
      </c>
      <c r="V800" t="s">
        <v>2841</v>
      </c>
      <c r="W800" t="s">
        <v>1268</v>
      </c>
      <c r="X800">
        <v>4870</v>
      </c>
      <c r="Y800">
        <v>600</v>
      </c>
      <c r="Z800">
        <v>1800</v>
      </c>
      <c r="AA800" t="s">
        <v>2842</v>
      </c>
    </row>
    <row r="801" spans="1:27" x14ac:dyDescent="0.2">
      <c r="A801">
        <v>3795</v>
      </c>
      <c r="B801" t="s">
        <v>1064</v>
      </c>
      <c r="C801" t="str">
        <f>_xlfn.CONCAT(Merge[[#This Row],[Customer First Name]]," ",Merge[[#This Row],[Customer Last Name]])</f>
        <v>Claire Curtis</v>
      </c>
      <c r="D801" t="s">
        <v>1065</v>
      </c>
      <c r="E801">
        <v>2027</v>
      </c>
      <c r="F801" t="s">
        <v>76</v>
      </c>
      <c r="G801" s="1">
        <v>45623</v>
      </c>
      <c r="H801">
        <v>1</v>
      </c>
      <c r="I801" t="s">
        <v>32</v>
      </c>
      <c r="J801" t="s">
        <v>81</v>
      </c>
      <c r="K801">
        <v>0.25</v>
      </c>
      <c r="L801">
        <v>301.75</v>
      </c>
      <c r="M801">
        <v>1207</v>
      </c>
      <c r="N801">
        <v>905.25</v>
      </c>
      <c r="O801" t="s">
        <v>48</v>
      </c>
      <c r="P801">
        <v>2027</v>
      </c>
      <c r="Q801" t="s">
        <v>76</v>
      </c>
      <c r="R801" s="1">
        <v>45623</v>
      </c>
      <c r="S801">
        <v>3</v>
      </c>
      <c r="T801" t="s">
        <v>32</v>
      </c>
      <c r="U801" t="s">
        <v>81</v>
      </c>
      <c r="V801" t="s">
        <v>2843</v>
      </c>
      <c r="W801" t="s">
        <v>1361</v>
      </c>
      <c r="X801">
        <v>870</v>
      </c>
      <c r="Y801">
        <v>1200</v>
      </c>
      <c r="Z801">
        <v>3600</v>
      </c>
      <c r="AA801" t="s">
        <v>2844</v>
      </c>
    </row>
    <row r="802" spans="1:27" x14ac:dyDescent="0.2">
      <c r="A802">
        <v>3796</v>
      </c>
      <c r="B802" t="s">
        <v>1066</v>
      </c>
      <c r="C802" t="str">
        <f>_xlfn.CONCAT(Merge[[#This Row],[Customer First Name]]," ",Merge[[#This Row],[Customer Last Name]])</f>
        <v>Alison Brennan</v>
      </c>
      <c r="D802" t="s">
        <v>715</v>
      </c>
      <c r="E802">
        <v>2028</v>
      </c>
      <c r="F802" t="s">
        <v>31</v>
      </c>
      <c r="G802" s="1">
        <v>45370</v>
      </c>
      <c r="H802">
        <v>1</v>
      </c>
      <c r="I802" t="s">
        <v>32</v>
      </c>
      <c r="J802" t="s">
        <v>81</v>
      </c>
      <c r="K802">
        <v>0.1</v>
      </c>
      <c r="L802">
        <v>134.1</v>
      </c>
      <c r="M802">
        <v>1341</v>
      </c>
      <c r="N802">
        <v>1206.9000000000001</v>
      </c>
      <c r="O802" t="s">
        <v>114</v>
      </c>
      <c r="P802">
        <v>2028</v>
      </c>
      <c r="Q802" t="s">
        <v>31</v>
      </c>
      <c r="R802" s="1">
        <v>45370</v>
      </c>
      <c r="S802">
        <v>3</v>
      </c>
      <c r="T802" t="s">
        <v>32</v>
      </c>
      <c r="U802" t="s">
        <v>81</v>
      </c>
      <c r="V802" t="s">
        <v>2845</v>
      </c>
      <c r="W802" t="s">
        <v>1361</v>
      </c>
      <c r="X802">
        <v>870</v>
      </c>
      <c r="Y802">
        <v>250</v>
      </c>
      <c r="Z802">
        <v>750</v>
      </c>
      <c r="AA802" t="s">
        <v>2846</v>
      </c>
    </row>
    <row r="803" spans="1:27" x14ac:dyDescent="0.2">
      <c r="A803">
        <v>3797</v>
      </c>
      <c r="B803" t="s">
        <v>1067</v>
      </c>
      <c r="C803" t="str">
        <f>_xlfn.CONCAT(Merge[[#This Row],[Customer First Name]]," ",Merge[[#This Row],[Customer Last Name]])</f>
        <v>Salem Osborne</v>
      </c>
      <c r="D803" t="s">
        <v>1068</v>
      </c>
      <c r="E803">
        <v>2029</v>
      </c>
      <c r="F803" t="s">
        <v>31</v>
      </c>
      <c r="G803" s="1">
        <v>45539</v>
      </c>
      <c r="H803">
        <v>2</v>
      </c>
      <c r="I803" t="s">
        <v>52</v>
      </c>
      <c r="J803" t="s">
        <v>33</v>
      </c>
      <c r="K803">
        <v>0.1</v>
      </c>
      <c r="L803">
        <v>40.5</v>
      </c>
      <c r="M803">
        <v>405</v>
      </c>
      <c r="N803">
        <v>364.5</v>
      </c>
      <c r="O803" t="s">
        <v>44</v>
      </c>
      <c r="P803">
        <v>2029</v>
      </c>
      <c r="Q803" t="s">
        <v>31</v>
      </c>
      <c r="R803" s="1">
        <v>45539</v>
      </c>
      <c r="S803">
        <v>3</v>
      </c>
      <c r="T803" t="s">
        <v>52</v>
      </c>
      <c r="U803" t="s">
        <v>33</v>
      </c>
      <c r="V803" t="s">
        <v>2847</v>
      </c>
      <c r="W803" t="s">
        <v>1259</v>
      </c>
      <c r="X803">
        <v>6160</v>
      </c>
      <c r="Y803">
        <v>250</v>
      </c>
      <c r="Z803">
        <v>750</v>
      </c>
      <c r="AA803" t="s">
        <v>2848</v>
      </c>
    </row>
    <row r="804" spans="1:27" x14ac:dyDescent="0.2">
      <c r="A804">
        <v>3798</v>
      </c>
      <c r="B804" t="s">
        <v>708</v>
      </c>
      <c r="C804" t="str">
        <f>_xlfn.CONCAT(Merge[[#This Row],[Customer First Name]]," ",Merge[[#This Row],[Customer Last Name]])</f>
        <v>Brooklynn Sandoval</v>
      </c>
      <c r="D804" t="s">
        <v>725</v>
      </c>
      <c r="E804">
        <v>2030</v>
      </c>
      <c r="F804" t="s">
        <v>76</v>
      </c>
      <c r="G804" s="1">
        <v>45546</v>
      </c>
      <c r="H804">
        <v>1</v>
      </c>
      <c r="I804" t="s">
        <v>52</v>
      </c>
      <c r="J804" t="s">
        <v>47</v>
      </c>
      <c r="K804">
        <v>0.25</v>
      </c>
      <c r="L804">
        <v>300.75</v>
      </c>
      <c r="M804">
        <v>1203</v>
      </c>
      <c r="N804">
        <v>902.25</v>
      </c>
      <c r="O804" t="s">
        <v>114</v>
      </c>
      <c r="P804">
        <v>2030</v>
      </c>
      <c r="Q804" t="s">
        <v>76</v>
      </c>
      <c r="R804" s="1">
        <v>45546</v>
      </c>
      <c r="S804">
        <v>2</v>
      </c>
      <c r="T804" t="s">
        <v>52</v>
      </c>
      <c r="U804" t="s">
        <v>47</v>
      </c>
      <c r="V804" t="s">
        <v>2849</v>
      </c>
      <c r="W804" t="s">
        <v>1275</v>
      </c>
      <c r="X804">
        <v>3000</v>
      </c>
      <c r="Y804">
        <v>1200</v>
      </c>
      <c r="Z804">
        <v>2400</v>
      </c>
      <c r="AA804" t="s">
        <v>2850</v>
      </c>
    </row>
    <row r="805" spans="1:27" x14ac:dyDescent="0.2">
      <c r="A805">
        <v>3799</v>
      </c>
      <c r="B805" t="s">
        <v>675</v>
      </c>
      <c r="C805" t="str">
        <f>_xlfn.CONCAT(Merge[[#This Row],[Customer First Name]]," ",Merge[[#This Row],[Customer Last Name]])</f>
        <v>Charlee Gibson</v>
      </c>
      <c r="D805" t="s">
        <v>1069</v>
      </c>
      <c r="E805">
        <v>2031</v>
      </c>
      <c r="F805" t="s">
        <v>31</v>
      </c>
      <c r="G805" s="1">
        <v>45492</v>
      </c>
      <c r="H805">
        <v>2</v>
      </c>
      <c r="I805" t="s">
        <v>32</v>
      </c>
      <c r="J805" t="s">
        <v>47</v>
      </c>
      <c r="K805">
        <v>0.1</v>
      </c>
      <c r="L805">
        <v>61.6</v>
      </c>
      <c r="M805">
        <v>616</v>
      </c>
      <c r="N805">
        <v>554.4</v>
      </c>
      <c r="O805" t="s">
        <v>44</v>
      </c>
      <c r="P805">
        <v>2031</v>
      </c>
      <c r="Q805" t="s">
        <v>31</v>
      </c>
      <c r="R805" s="1">
        <v>45492</v>
      </c>
      <c r="S805">
        <v>1</v>
      </c>
      <c r="T805" t="s">
        <v>32</v>
      </c>
      <c r="U805" t="s">
        <v>47</v>
      </c>
      <c r="V805" t="s">
        <v>2851</v>
      </c>
      <c r="W805" t="s">
        <v>1256</v>
      </c>
      <c r="X805">
        <v>3220</v>
      </c>
      <c r="Y805">
        <v>250</v>
      </c>
      <c r="Z805">
        <v>250</v>
      </c>
      <c r="AA805" t="s">
        <v>2852</v>
      </c>
    </row>
    <row r="806" spans="1:27" x14ac:dyDescent="0.2">
      <c r="A806">
        <v>3800</v>
      </c>
      <c r="B806" t="s">
        <v>842</v>
      </c>
      <c r="C806" t="str">
        <f>_xlfn.CONCAT(Merge[[#This Row],[Customer First Name]]," ",Merge[[#This Row],[Customer Last Name]])</f>
        <v>Sophia Rowland</v>
      </c>
      <c r="D806" t="s">
        <v>983</v>
      </c>
      <c r="E806">
        <v>2032</v>
      </c>
      <c r="F806" t="s">
        <v>42</v>
      </c>
      <c r="G806" s="1">
        <v>45389</v>
      </c>
      <c r="H806">
        <v>3</v>
      </c>
      <c r="I806" t="s">
        <v>32</v>
      </c>
      <c r="J806" t="s">
        <v>39</v>
      </c>
      <c r="K806">
        <v>0.25</v>
      </c>
      <c r="L806">
        <v>155.5</v>
      </c>
      <c r="M806">
        <v>622</v>
      </c>
      <c r="N806">
        <v>466.5</v>
      </c>
      <c r="O806" t="s">
        <v>54</v>
      </c>
      <c r="P806">
        <v>2032</v>
      </c>
      <c r="Q806" t="s">
        <v>42</v>
      </c>
      <c r="R806" s="1">
        <v>45389</v>
      </c>
      <c r="S806">
        <v>3</v>
      </c>
      <c r="T806" t="s">
        <v>32</v>
      </c>
      <c r="U806" t="s">
        <v>39</v>
      </c>
      <c r="V806" t="s">
        <v>2853</v>
      </c>
      <c r="W806" t="s">
        <v>1241</v>
      </c>
      <c r="X806">
        <v>2600</v>
      </c>
      <c r="Y806">
        <v>300</v>
      </c>
      <c r="Z806">
        <v>900</v>
      </c>
      <c r="AA806" t="s">
        <v>2854</v>
      </c>
    </row>
    <row r="807" spans="1:27" x14ac:dyDescent="0.2">
      <c r="A807">
        <v>3801</v>
      </c>
      <c r="B807" t="s">
        <v>1046</v>
      </c>
      <c r="C807" t="str">
        <f>_xlfn.CONCAT(Merge[[#This Row],[Customer First Name]]," ",Merge[[#This Row],[Customer Last Name]])</f>
        <v>Sullivan Bonilla</v>
      </c>
      <c r="D807" t="s">
        <v>845</v>
      </c>
      <c r="E807">
        <v>2033</v>
      </c>
      <c r="F807" t="s">
        <v>42</v>
      </c>
      <c r="G807" s="1">
        <v>45618</v>
      </c>
      <c r="H807">
        <v>1</v>
      </c>
      <c r="I807" t="s">
        <v>52</v>
      </c>
      <c r="J807" t="s">
        <v>47</v>
      </c>
      <c r="K807">
        <v>0.25</v>
      </c>
      <c r="L807">
        <v>120</v>
      </c>
      <c r="M807">
        <v>480</v>
      </c>
      <c r="N807">
        <v>360</v>
      </c>
      <c r="O807" t="s">
        <v>48</v>
      </c>
      <c r="P807">
        <v>2033</v>
      </c>
      <c r="Q807" t="s">
        <v>42</v>
      </c>
      <c r="R807" s="1">
        <v>45618</v>
      </c>
      <c r="S807">
        <v>2</v>
      </c>
      <c r="T807" t="s">
        <v>52</v>
      </c>
      <c r="U807" t="s">
        <v>47</v>
      </c>
      <c r="V807" t="s">
        <v>2855</v>
      </c>
      <c r="W807" t="s">
        <v>1275</v>
      </c>
      <c r="X807">
        <v>3000</v>
      </c>
      <c r="Y807">
        <v>300</v>
      </c>
      <c r="Z807">
        <v>600</v>
      </c>
      <c r="AA807" t="s">
        <v>2856</v>
      </c>
    </row>
    <row r="808" spans="1:27" x14ac:dyDescent="0.2">
      <c r="A808">
        <v>3802</v>
      </c>
      <c r="B808" t="s">
        <v>899</v>
      </c>
      <c r="C808" t="str">
        <f>_xlfn.CONCAT(Merge[[#This Row],[Customer First Name]]," ",Merge[[#This Row],[Customer Last Name]])</f>
        <v>Callie Gonzalez</v>
      </c>
      <c r="D808" t="s">
        <v>319</v>
      </c>
      <c r="E808">
        <v>2034</v>
      </c>
      <c r="F808" t="s">
        <v>37</v>
      </c>
      <c r="G808" s="1">
        <v>45622</v>
      </c>
      <c r="H808">
        <v>3</v>
      </c>
      <c r="I808" t="s">
        <v>52</v>
      </c>
      <c r="J808" t="s">
        <v>33</v>
      </c>
      <c r="K808">
        <v>0.3</v>
      </c>
      <c r="L808">
        <v>6.8999999999999995</v>
      </c>
      <c r="M808">
        <v>23</v>
      </c>
      <c r="N808">
        <v>16.100000000000001</v>
      </c>
      <c r="O808" t="s">
        <v>34</v>
      </c>
      <c r="P808">
        <v>2034</v>
      </c>
      <c r="Q808" t="s">
        <v>37</v>
      </c>
      <c r="R808" s="1">
        <v>45622</v>
      </c>
      <c r="S808">
        <v>2</v>
      </c>
      <c r="T808" t="s">
        <v>52</v>
      </c>
      <c r="U808" t="s">
        <v>33</v>
      </c>
      <c r="V808" t="s">
        <v>2857</v>
      </c>
      <c r="W808" t="s">
        <v>1302</v>
      </c>
      <c r="X808">
        <v>6000</v>
      </c>
      <c r="Y808">
        <v>800</v>
      </c>
      <c r="Z808">
        <v>1600</v>
      </c>
      <c r="AA808" t="s">
        <v>2858</v>
      </c>
    </row>
    <row r="809" spans="1:27" x14ac:dyDescent="0.2">
      <c r="A809">
        <v>3803</v>
      </c>
      <c r="B809" t="s">
        <v>623</v>
      </c>
      <c r="C809" t="str">
        <f>_xlfn.CONCAT(Merge[[#This Row],[Customer First Name]]," ",Merge[[#This Row],[Customer Last Name]])</f>
        <v>Sullivan Piñeda</v>
      </c>
      <c r="D809" t="s">
        <v>845</v>
      </c>
      <c r="E809">
        <v>2035</v>
      </c>
      <c r="F809" t="s">
        <v>76</v>
      </c>
      <c r="G809" s="1">
        <v>45614</v>
      </c>
      <c r="H809">
        <v>1</v>
      </c>
      <c r="I809" t="s">
        <v>32</v>
      </c>
      <c r="J809" t="s">
        <v>33</v>
      </c>
      <c r="K809">
        <v>0.25</v>
      </c>
      <c r="L809">
        <v>172</v>
      </c>
      <c r="M809">
        <v>688</v>
      </c>
      <c r="N809">
        <v>516</v>
      </c>
      <c r="O809" t="s">
        <v>48</v>
      </c>
      <c r="P809">
        <v>2035</v>
      </c>
      <c r="Q809" t="s">
        <v>76</v>
      </c>
      <c r="R809" s="1">
        <v>45614</v>
      </c>
      <c r="S809">
        <v>2</v>
      </c>
      <c r="T809" t="s">
        <v>32</v>
      </c>
      <c r="U809" t="s">
        <v>33</v>
      </c>
      <c r="V809" t="s">
        <v>2859</v>
      </c>
      <c r="W809" t="s">
        <v>1259</v>
      </c>
      <c r="X809">
        <v>6160</v>
      </c>
      <c r="Y809">
        <v>1200</v>
      </c>
      <c r="Z809">
        <v>2400</v>
      </c>
      <c r="AA809" t="s">
        <v>2860</v>
      </c>
    </row>
    <row r="810" spans="1:27" x14ac:dyDescent="0.2">
      <c r="A810">
        <v>3804</v>
      </c>
      <c r="B810" t="s">
        <v>1070</v>
      </c>
      <c r="C810" t="str">
        <f>_xlfn.CONCAT(Merge[[#This Row],[Customer First Name]]," ",Merge[[#This Row],[Customer Last Name]])</f>
        <v>Hannah Duffy</v>
      </c>
      <c r="D810" t="s">
        <v>1071</v>
      </c>
      <c r="E810">
        <v>2036</v>
      </c>
      <c r="F810" t="s">
        <v>76</v>
      </c>
      <c r="G810" s="1">
        <v>45479</v>
      </c>
      <c r="H810">
        <v>3</v>
      </c>
      <c r="I810" t="s">
        <v>52</v>
      </c>
      <c r="J810" t="s">
        <v>39</v>
      </c>
      <c r="K810">
        <v>0.25</v>
      </c>
      <c r="L810">
        <v>375</v>
      </c>
      <c r="M810">
        <v>1500</v>
      </c>
      <c r="N810">
        <v>1125</v>
      </c>
      <c r="O810" t="s">
        <v>34</v>
      </c>
      <c r="P810">
        <v>2036</v>
      </c>
      <c r="Q810" t="s">
        <v>76</v>
      </c>
      <c r="R810" s="1">
        <v>45479</v>
      </c>
      <c r="S810">
        <v>1</v>
      </c>
      <c r="T810" t="s">
        <v>52</v>
      </c>
      <c r="U810" t="s">
        <v>39</v>
      </c>
      <c r="V810" t="s">
        <v>2861</v>
      </c>
      <c r="W810" t="s">
        <v>1241</v>
      </c>
      <c r="X810">
        <v>2600</v>
      </c>
      <c r="Y810">
        <v>1200</v>
      </c>
      <c r="Z810">
        <v>1200</v>
      </c>
      <c r="AA810" t="s">
        <v>2862</v>
      </c>
    </row>
    <row r="811" spans="1:27" x14ac:dyDescent="0.2">
      <c r="A811">
        <v>3805</v>
      </c>
      <c r="B811" t="s">
        <v>1072</v>
      </c>
      <c r="C811" t="str">
        <f>_xlfn.CONCAT(Merge[[#This Row],[Customer First Name]]," ",Merge[[#This Row],[Customer Last Name]])</f>
        <v>Gracelynn Lang</v>
      </c>
      <c r="D811" t="s">
        <v>1073</v>
      </c>
      <c r="E811">
        <v>2037</v>
      </c>
      <c r="F811" t="s">
        <v>42</v>
      </c>
      <c r="G811" s="1">
        <v>45404</v>
      </c>
      <c r="H811">
        <v>3</v>
      </c>
      <c r="I811" t="s">
        <v>52</v>
      </c>
      <c r="J811" t="s">
        <v>64</v>
      </c>
      <c r="K811">
        <v>0.25</v>
      </c>
      <c r="L811">
        <v>107</v>
      </c>
      <c r="M811">
        <v>428</v>
      </c>
      <c r="N811">
        <v>321</v>
      </c>
      <c r="O811" t="s">
        <v>48</v>
      </c>
      <c r="P811">
        <v>2037</v>
      </c>
      <c r="Q811" t="s">
        <v>42</v>
      </c>
      <c r="R811" s="1">
        <v>45404</v>
      </c>
      <c r="S811">
        <v>3</v>
      </c>
      <c r="T811" t="s">
        <v>52</v>
      </c>
      <c r="U811" t="s">
        <v>64</v>
      </c>
      <c r="V811" t="s">
        <v>2863</v>
      </c>
      <c r="W811" t="s">
        <v>1265</v>
      </c>
      <c r="X811">
        <v>7000</v>
      </c>
      <c r="Y811">
        <v>300</v>
      </c>
      <c r="Z811">
        <v>900</v>
      </c>
      <c r="AA811" t="s">
        <v>2864</v>
      </c>
    </row>
    <row r="812" spans="1:27" x14ac:dyDescent="0.2">
      <c r="A812">
        <v>3806</v>
      </c>
      <c r="B812" t="s">
        <v>686</v>
      </c>
      <c r="C812" t="str">
        <f>_xlfn.CONCAT(Merge[[#This Row],[Customer First Name]]," ",Merge[[#This Row],[Customer Last Name]])</f>
        <v>Maria Daugherty</v>
      </c>
      <c r="D812" t="s">
        <v>900</v>
      </c>
      <c r="E812">
        <v>2038</v>
      </c>
      <c r="F812" t="s">
        <v>42</v>
      </c>
      <c r="G812" s="1">
        <v>45511</v>
      </c>
      <c r="H812">
        <v>2</v>
      </c>
      <c r="I812" t="s">
        <v>32</v>
      </c>
      <c r="J812" t="s">
        <v>81</v>
      </c>
      <c r="K812">
        <v>0.25</v>
      </c>
      <c r="L812">
        <v>111.25</v>
      </c>
      <c r="M812">
        <v>445</v>
      </c>
      <c r="N812">
        <v>333.75</v>
      </c>
      <c r="O812" t="s">
        <v>34</v>
      </c>
      <c r="P812">
        <v>2038</v>
      </c>
      <c r="Q812" t="s">
        <v>42</v>
      </c>
      <c r="R812" s="1">
        <v>45511</v>
      </c>
      <c r="S812">
        <v>3</v>
      </c>
      <c r="T812" t="s">
        <v>32</v>
      </c>
      <c r="U812" t="s">
        <v>81</v>
      </c>
      <c r="V812" t="s">
        <v>2865</v>
      </c>
      <c r="W812" t="s">
        <v>1361</v>
      </c>
      <c r="X812">
        <v>870</v>
      </c>
      <c r="Y812">
        <v>300</v>
      </c>
      <c r="Z812">
        <v>900</v>
      </c>
      <c r="AA812" t="s">
        <v>2866</v>
      </c>
    </row>
    <row r="813" spans="1:27" x14ac:dyDescent="0.2">
      <c r="A813">
        <v>3807</v>
      </c>
      <c r="B813" t="s">
        <v>1014</v>
      </c>
      <c r="C813" t="str">
        <f>_xlfn.CONCAT(Merge[[#This Row],[Customer First Name]]," ",Merge[[#This Row],[Customer Last Name]])</f>
        <v>Cataleya Jacobson</v>
      </c>
      <c r="D813" t="s">
        <v>456</v>
      </c>
      <c r="E813">
        <v>2039</v>
      </c>
      <c r="F813" t="s">
        <v>92</v>
      </c>
      <c r="G813" s="1">
        <v>45530</v>
      </c>
      <c r="H813">
        <v>1</v>
      </c>
      <c r="I813" t="s">
        <v>52</v>
      </c>
      <c r="J813" t="s">
        <v>53</v>
      </c>
      <c r="K813">
        <v>0.3</v>
      </c>
      <c r="L813">
        <v>26.4</v>
      </c>
      <c r="M813">
        <v>88</v>
      </c>
      <c r="N813">
        <v>61.6</v>
      </c>
      <c r="O813" t="s">
        <v>114</v>
      </c>
      <c r="P813">
        <v>2039</v>
      </c>
      <c r="Q813" t="s">
        <v>92</v>
      </c>
      <c r="R813" s="1">
        <v>45530</v>
      </c>
      <c r="S813">
        <v>3</v>
      </c>
      <c r="T813" t="s">
        <v>52</v>
      </c>
      <c r="U813" t="s">
        <v>53</v>
      </c>
      <c r="V813" t="s">
        <v>2867</v>
      </c>
      <c r="W813" t="s">
        <v>1250</v>
      </c>
      <c r="X813">
        <v>4217</v>
      </c>
      <c r="Y813">
        <v>600</v>
      </c>
      <c r="Z813">
        <v>1800</v>
      </c>
      <c r="AA813" t="s">
        <v>2868</v>
      </c>
    </row>
    <row r="814" spans="1:27" x14ac:dyDescent="0.2">
      <c r="A814">
        <v>3808</v>
      </c>
      <c r="B814" t="s">
        <v>1074</v>
      </c>
      <c r="C814" t="str">
        <f>_xlfn.CONCAT(Merge[[#This Row],[Customer First Name]]," ",Merge[[#This Row],[Customer Last Name]])</f>
        <v>Princeton Guevara</v>
      </c>
      <c r="D814" t="s">
        <v>283</v>
      </c>
      <c r="E814">
        <v>2040</v>
      </c>
      <c r="F814" t="s">
        <v>51</v>
      </c>
      <c r="G814" s="1">
        <v>45360</v>
      </c>
      <c r="H814">
        <v>2</v>
      </c>
      <c r="I814" t="s">
        <v>71</v>
      </c>
      <c r="J814" t="s">
        <v>43</v>
      </c>
      <c r="K814">
        <v>0.2</v>
      </c>
      <c r="L814">
        <v>4.6000000000000005</v>
      </c>
      <c r="M814">
        <v>23</v>
      </c>
      <c r="N814">
        <v>18.399999999999999</v>
      </c>
      <c r="O814" t="s">
        <v>34</v>
      </c>
      <c r="P814">
        <v>2040</v>
      </c>
      <c r="Q814" t="s">
        <v>51</v>
      </c>
      <c r="R814" s="1">
        <v>45360</v>
      </c>
      <c r="S814">
        <v>2</v>
      </c>
      <c r="T814" t="s">
        <v>71</v>
      </c>
      <c r="U814" t="s">
        <v>43</v>
      </c>
      <c r="V814" t="s">
        <v>2869</v>
      </c>
      <c r="W814" t="s">
        <v>865</v>
      </c>
      <c r="X814">
        <v>2000</v>
      </c>
      <c r="Y814">
        <v>250</v>
      </c>
      <c r="Z814">
        <v>500</v>
      </c>
      <c r="AA814" t="s">
        <v>2870</v>
      </c>
    </row>
    <row r="815" spans="1:27" x14ac:dyDescent="0.2">
      <c r="A815">
        <v>3809</v>
      </c>
      <c r="B815" t="s">
        <v>1075</v>
      </c>
      <c r="C815" t="str">
        <f>_xlfn.CONCAT(Merge[[#This Row],[Customer First Name]]," ",Merge[[#This Row],[Customer Last Name]])</f>
        <v>Justin Dominguez</v>
      </c>
      <c r="D815" t="s">
        <v>1076</v>
      </c>
      <c r="E815">
        <v>2041</v>
      </c>
      <c r="F815" t="s">
        <v>37</v>
      </c>
      <c r="G815" s="1">
        <v>45300</v>
      </c>
      <c r="H815">
        <v>1</v>
      </c>
      <c r="I815" t="s">
        <v>32</v>
      </c>
      <c r="J815" t="s">
        <v>57</v>
      </c>
      <c r="K815">
        <v>0.3</v>
      </c>
      <c r="L815">
        <v>414.3</v>
      </c>
      <c r="M815">
        <v>1381</v>
      </c>
      <c r="N815">
        <v>966.7</v>
      </c>
      <c r="O815" t="s">
        <v>44</v>
      </c>
      <c r="P815">
        <v>2041</v>
      </c>
      <c r="Q815" t="s">
        <v>37</v>
      </c>
      <c r="R815" s="1">
        <v>45300</v>
      </c>
      <c r="S815">
        <v>1</v>
      </c>
      <c r="T815" t="s">
        <v>32</v>
      </c>
      <c r="U815" t="s">
        <v>57</v>
      </c>
      <c r="V815" t="s">
        <v>2871</v>
      </c>
      <c r="W815" t="s">
        <v>1253</v>
      </c>
      <c r="X815">
        <v>5290</v>
      </c>
      <c r="Y815">
        <v>800</v>
      </c>
      <c r="Z815">
        <v>800</v>
      </c>
      <c r="AA815" t="s">
        <v>2872</v>
      </c>
    </row>
    <row r="816" spans="1:27" x14ac:dyDescent="0.2">
      <c r="A816">
        <v>3810</v>
      </c>
      <c r="B816" t="s">
        <v>704</v>
      </c>
      <c r="C816" t="str">
        <f>_xlfn.CONCAT(Merge[[#This Row],[Customer First Name]]," ",Merge[[#This Row],[Customer Last Name]])</f>
        <v>Tatum Maynard</v>
      </c>
      <c r="D816" t="s">
        <v>196</v>
      </c>
      <c r="E816">
        <v>2042</v>
      </c>
      <c r="F816" t="s">
        <v>42</v>
      </c>
      <c r="G816" s="1">
        <v>45393</v>
      </c>
      <c r="H816">
        <v>2</v>
      </c>
      <c r="I816" t="s">
        <v>32</v>
      </c>
      <c r="J816" t="s">
        <v>64</v>
      </c>
      <c r="K816">
        <v>0.25</v>
      </c>
      <c r="L816">
        <v>418.5</v>
      </c>
      <c r="M816">
        <v>1674</v>
      </c>
      <c r="N816">
        <v>1255.5</v>
      </c>
      <c r="O816" t="s">
        <v>34</v>
      </c>
      <c r="P816">
        <v>2042</v>
      </c>
      <c r="Q816" t="s">
        <v>42</v>
      </c>
      <c r="R816" s="1">
        <v>45393</v>
      </c>
      <c r="S816">
        <v>1</v>
      </c>
      <c r="T816" t="s">
        <v>32</v>
      </c>
      <c r="U816" t="s">
        <v>64</v>
      </c>
      <c r="V816" t="s">
        <v>2873</v>
      </c>
      <c r="W816" t="s">
        <v>1400</v>
      </c>
      <c r="X816">
        <v>7310</v>
      </c>
      <c r="Y816">
        <v>300</v>
      </c>
      <c r="Z816">
        <v>300</v>
      </c>
      <c r="AA816" t="s">
        <v>2874</v>
      </c>
    </row>
    <row r="817" spans="1:27" x14ac:dyDescent="0.2">
      <c r="A817">
        <v>3811</v>
      </c>
      <c r="B817" t="s">
        <v>1077</v>
      </c>
      <c r="C817" t="str">
        <f>_xlfn.CONCAT(Merge[[#This Row],[Customer First Name]]," ",Merge[[#This Row],[Customer Last Name]])</f>
        <v>Jaxton Dillon</v>
      </c>
      <c r="D817" t="s">
        <v>1078</v>
      </c>
      <c r="E817">
        <v>2043</v>
      </c>
      <c r="F817" t="s">
        <v>51</v>
      </c>
      <c r="G817" s="1">
        <v>45543</v>
      </c>
      <c r="H817">
        <v>2</v>
      </c>
      <c r="I817" t="s">
        <v>38</v>
      </c>
      <c r="J817" t="s">
        <v>43</v>
      </c>
      <c r="K817">
        <v>0.2</v>
      </c>
      <c r="L817">
        <v>129</v>
      </c>
      <c r="M817">
        <v>645</v>
      </c>
      <c r="N817">
        <v>516</v>
      </c>
      <c r="O817" t="s">
        <v>48</v>
      </c>
      <c r="P817">
        <v>2043</v>
      </c>
      <c r="Q817" t="s">
        <v>51</v>
      </c>
      <c r="R817" s="1">
        <v>45543</v>
      </c>
      <c r="S817">
        <v>2</v>
      </c>
      <c r="T817" t="s">
        <v>38</v>
      </c>
      <c r="U817" t="s">
        <v>43</v>
      </c>
      <c r="V817" t="s">
        <v>2875</v>
      </c>
      <c r="W817" t="s">
        <v>1244</v>
      </c>
      <c r="X817">
        <v>2300</v>
      </c>
      <c r="Y817">
        <v>250</v>
      </c>
      <c r="Z817">
        <v>500</v>
      </c>
      <c r="AA817" t="s">
        <v>2876</v>
      </c>
    </row>
    <row r="818" spans="1:27" x14ac:dyDescent="0.2">
      <c r="A818">
        <v>3812</v>
      </c>
      <c r="B818" t="s">
        <v>203</v>
      </c>
      <c r="C818" t="str">
        <f>_xlfn.CONCAT(Merge[[#This Row],[Customer First Name]]," ",Merge[[#This Row],[Customer Last Name]])</f>
        <v>Makenna Cooper</v>
      </c>
      <c r="D818" t="s">
        <v>1079</v>
      </c>
      <c r="E818">
        <v>2044</v>
      </c>
      <c r="F818" t="s">
        <v>31</v>
      </c>
      <c r="G818" s="1">
        <v>45597</v>
      </c>
      <c r="H818">
        <v>1</v>
      </c>
      <c r="I818" t="s">
        <v>32</v>
      </c>
      <c r="J818" t="s">
        <v>47</v>
      </c>
      <c r="K818">
        <v>0.1</v>
      </c>
      <c r="L818">
        <v>20.3</v>
      </c>
      <c r="M818">
        <v>203</v>
      </c>
      <c r="N818">
        <v>182.7</v>
      </c>
      <c r="O818" t="s">
        <v>114</v>
      </c>
      <c r="P818">
        <v>2044</v>
      </c>
      <c r="Q818" t="s">
        <v>31</v>
      </c>
      <c r="R818" s="1">
        <v>45597</v>
      </c>
      <c r="S818">
        <v>2</v>
      </c>
      <c r="T818" t="s">
        <v>32</v>
      </c>
      <c r="U818" t="s">
        <v>47</v>
      </c>
      <c r="V818" t="s">
        <v>2877</v>
      </c>
      <c r="W818" t="s">
        <v>1256</v>
      </c>
      <c r="X818">
        <v>3220</v>
      </c>
      <c r="Y818">
        <v>250</v>
      </c>
      <c r="Z818">
        <v>500</v>
      </c>
      <c r="AA818" t="s">
        <v>2878</v>
      </c>
    </row>
    <row r="819" spans="1:27" x14ac:dyDescent="0.2">
      <c r="A819">
        <v>3813</v>
      </c>
      <c r="B819" t="s">
        <v>1080</v>
      </c>
      <c r="C819" t="str">
        <f>_xlfn.CONCAT(Merge[[#This Row],[Customer First Name]]," ",Merge[[#This Row],[Customer Last Name]])</f>
        <v>Donovan O’Brien</v>
      </c>
      <c r="D819" t="s">
        <v>535</v>
      </c>
      <c r="E819">
        <v>2045</v>
      </c>
      <c r="F819" t="s">
        <v>37</v>
      </c>
      <c r="G819" s="1">
        <v>45295</v>
      </c>
      <c r="H819">
        <v>2</v>
      </c>
      <c r="I819" t="s">
        <v>32</v>
      </c>
      <c r="J819" t="s">
        <v>43</v>
      </c>
      <c r="K819">
        <v>0.3</v>
      </c>
      <c r="L819">
        <v>258.3</v>
      </c>
      <c r="M819">
        <v>861</v>
      </c>
      <c r="N819">
        <v>602.70000000000005</v>
      </c>
      <c r="O819" t="s">
        <v>48</v>
      </c>
      <c r="P819">
        <v>2045</v>
      </c>
      <c r="Q819" t="s">
        <v>37</v>
      </c>
      <c r="R819" s="1">
        <v>45295</v>
      </c>
      <c r="S819">
        <v>3</v>
      </c>
      <c r="T819" t="s">
        <v>32</v>
      </c>
      <c r="U819" t="s">
        <v>43</v>
      </c>
      <c r="V819" t="s">
        <v>2879</v>
      </c>
      <c r="W819" t="s">
        <v>1299</v>
      </c>
      <c r="X819">
        <v>2500</v>
      </c>
      <c r="Y819">
        <v>800</v>
      </c>
      <c r="Z819">
        <v>2400</v>
      </c>
      <c r="AA819" t="s">
        <v>2880</v>
      </c>
    </row>
    <row r="820" spans="1:27" x14ac:dyDescent="0.2">
      <c r="A820">
        <v>3814</v>
      </c>
      <c r="B820" t="s">
        <v>818</v>
      </c>
      <c r="C820" t="str">
        <f>_xlfn.CONCAT(Merge[[#This Row],[Customer First Name]]," ",Merge[[#This Row],[Customer Last Name]])</f>
        <v>Reese Medina</v>
      </c>
      <c r="D820" t="s">
        <v>1081</v>
      </c>
      <c r="E820">
        <v>2046</v>
      </c>
      <c r="F820" t="s">
        <v>92</v>
      </c>
      <c r="G820" s="1">
        <v>45512</v>
      </c>
      <c r="H820">
        <v>1</v>
      </c>
      <c r="I820" t="s">
        <v>71</v>
      </c>
      <c r="J820" t="s">
        <v>47</v>
      </c>
      <c r="K820">
        <v>0.3</v>
      </c>
      <c r="L820">
        <v>269.09999999999997</v>
      </c>
      <c r="M820">
        <v>897</v>
      </c>
      <c r="N820">
        <v>627.90000000000009</v>
      </c>
      <c r="O820" t="s">
        <v>34</v>
      </c>
      <c r="P820">
        <v>2046</v>
      </c>
      <c r="Q820" t="s">
        <v>92</v>
      </c>
      <c r="R820" s="1">
        <v>45512</v>
      </c>
      <c r="S820">
        <v>1</v>
      </c>
      <c r="T820" t="s">
        <v>71</v>
      </c>
      <c r="U820" t="s">
        <v>47</v>
      </c>
      <c r="V820" t="s">
        <v>2881</v>
      </c>
      <c r="W820" t="s">
        <v>1275</v>
      </c>
      <c r="X820">
        <v>3000</v>
      </c>
      <c r="Y820">
        <v>600</v>
      </c>
      <c r="Z820">
        <v>600</v>
      </c>
      <c r="AA820" t="s">
        <v>2882</v>
      </c>
    </row>
    <row r="821" spans="1:27" x14ac:dyDescent="0.2">
      <c r="A821">
        <v>3815</v>
      </c>
      <c r="B821" t="s">
        <v>1082</v>
      </c>
      <c r="C821" t="str">
        <f>_xlfn.CONCAT(Merge[[#This Row],[Customer First Name]]," ",Merge[[#This Row],[Customer Last Name]])</f>
        <v>Renata Hutchinson</v>
      </c>
      <c r="D821" t="s">
        <v>788</v>
      </c>
      <c r="E821">
        <v>2047</v>
      </c>
      <c r="F821" t="s">
        <v>37</v>
      </c>
      <c r="G821" s="1">
        <v>45376</v>
      </c>
      <c r="H821">
        <v>2</v>
      </c>
      <c r="I821" t="s">
        <v>52</v>
      </c>
      <c r="J821" t="s">
        <v>43</v>
      </c>
      <c r="K821">
        <v>0.3</v>
      </c>
      <c r="L821">
        <v>498.9</v>
      </c>
      <c r="M821">
        <v>1663</v>
      </c>
      <c r="N821">
        <v>1164.0999999999999</v>
      </c>
      <c r="O821" t="s">
        <v>44</v>
      </c>
      <c r="P821">
        <v>2047</v>
      </c>
      <c r="Q821" t="s">
        <v>37</v>
      </c>
      <c r="R821" s="1">
        <v>45376</v>
      </c>
      <c r="S821">
        <v>1</v>
      </c>
      <c r="T821" t="s">
        <v>52</v>
      </c>
      <c r="U821" t="s">
        <v>43</v>
      </c>
      <c r="V821" t="s">
        <v>2883</v>
      </c>
      <c r="W821" t="s">
        <v>1244</v>
      </c>
      <c r="X821">
        <v>2300</v>
      </c>
      <c r="Y821">
        <v>800</v>
      </c>
      <c r="Z821">
        <v>800</v>
      </c>
      <c r="AA821" t="s">
        <v>2884</v>
      </c>
    </row>
    <row r="822" spans="1:27" x14ac:dyDescent="0.2">
      <c r="A822">
        <v>3816</v>
      </c>
      <c r="B822" t="s">
        <v>60</v>
      </c>
      <c r="C822" t="str">
        <f>_xlfn.CONCAT(Merge[[#This Row],[Customer First Name]]," ",Merge[[#This Row],[Customer Last Name]])</f>
        <v>Millie Rice</v>
      </c>
      <c r="D822" t="s">
        <v>1083</v>
      </c>
      <c r="E822">
        <v>2048</v>
      </c>
      <c r="F822" t="s">
        <v>37</v>
      </c>
      <c r="G822" s="1">
        <v>45401</v>
      </c>
      <c r="H822">
        <v>2</v>
      </c>
      <c r="I822" t="s">
        <v>71</v>
      </c>
      <c r="J822" t="s">
        <v>53</v>
      </c>
      <c r="K822">
        <v>0.3</v>
      </c>
      <c r="L822">
        <v>35.1</v>
      </c>
      <c r="M822">
        <v>117</v>
      </c>
      <c r="N822">
        <v>81.900000000000006</v>
      </c>
      <c r="O822" t="s">
        <v>34</v>
      </c>
      <c r="P822">
        <v>2048</v>
      </c>
      <c r="Q822" t="s">
        <v>37</v>
      </c>
      <c r="R822" s="1">
        <v>45401</v>
      </c>
      <c r="S822">
        <v>2</v>
      </c>
      <c r="T822" t="s">
        <v>71</v>
      </c>
      <c r="U822" t="s">
        <v>53</v>
      </c>
      <c r="V822" t="s">
        <v>2885</v>
      </c>
      <c r="W822" t="s">
        <v>1268</v>
      </c>
      <c r="X822">
        <v>4870</v>
      </c>
      <c r="Y822">
        <v>800</v>
      </c>
      <c r="Z822">
        <v>1600</v>
      </c>
      <c r="AA822" t="s">
        <v>2886</v>
      </c>
    </row>
    <row r="823" spans="1:27" x14ac:dyDescent="0.2">
      <c r="A823">
        <v>3817</v>
      </c>
      <c r="B823" t="s">
        <v>332</v>
      </c>
      <c r="C823" t="str">
        <f>_xlfn.CONCAT(Merge[[#This Row],[Customer First Name]]," ",Merge[[#This Row],[Customer Last Name]])</f>
        <v>Harlow Espinosa</v>
      </c>
      <c r="D823" t="s">
        <v>1084</v>
      </c>
      <c r="E823">
        <v>2049</v>
      </c>
      <c r="F823" t="s">
        <v>76</v>
      </c>
      <c r="G823" s="1">
        <v>45436</v>
      </c>
      <c r="H823">
        <v>2</v>
      </c>
      <c r="I823" t="s">
        <v>52</v>
      </c>
      <c r="J823" t="s">
        <v>53</v>
      </c>
      <c r="K823">
        <v>0.25</v>
      </c>
      <c r="L823">
        <v>214.75</v>
      </c>
      <c r="M823">
        <v>859</v>
      </c>
      <c r="N823">
        <v>644.25</v>
      </c>
      <c r="O823" t="s">
        <v>34</v>
      </c>
      <c r="P823">
        <v>2049</v>
      </c>
      <c r="Q823" t="s">
        <v>76</v>
      </c>
      <c r="R823" s="1">
        <v>45436</v>
      </c>
      <c r="S823">
        <v>2</v>
      </c>
      <c r="T823" t="s">
        <v>52</v>
      </c>
      <c r="U823" t="s">
        <v>53</v>
      </c>
      <c r="V823" t="s">
        <v>2887</v>
      </c>
      <c r="W823" t="s">
        <v>1268</v>
      </c>
      <c r="X823">
        <v>4870</v>
      </c>
      <c r="Y823">
        <v>1200</v>
      </c>
      <c r="Z823">
        <v>2400</v>
      </c>
      <c r="AA823" t="s">
        <v>2888</v>
      </c>
    </row>
    <row r="824" spans="1:27" x14ac:dyDescent="0.2">
      <c r="A824">
        <v>3818</v>
      </c>
      <c r="B824" t="s">
        <v>1085</v>
      </c>
      <c r="C824" t="str">
        <f>_xlfn.CONCAT(Merge[[#This Row],[Customer First Name]]," ",Merge[[#This Row],[Customer Last Name]])</f>
        <v>Camille Harmon</v>
      </c>
      <c r="D824" t="s">
        <v>1086</v>
      </c>
      <c r="E824">
        <v>2050</v>
      </c>
      <c r="F824" t="s">
        <v>76</v>
      </c>
      <c r="G824" s="1">
        <v>45313</v>
      </c>
      <c r="H824">
        <v>1</v>
      </c>
      <c r="I824" t="s">
        <v>38</v>
      </c>
      <c r="J824" t="s">
        <v>53</v>
      </c>
      <c r="K824">
        <v>0.25</v>
      </c>
      <c r="L824">
        <v>233.25</v>
      </c>
      <c r="M824">
        <v>933</v>
      </c>
      <c r="N824">
        <v>699.75</v>
      </c>
      <c r="O824" t="s">
        <v>48</v>
      </c>
      <c r="P824">
        <v>2050</v>
      </c>
      <c r="Q824" t="s">
        <v>76</v>
      </c>
      <c r="R824" s="1">
        <v>45313</v>
      </c>
      <c r="S824">
        <v>2</v>
      </c>
      <c r="T824" t="s">
        <v>38</v>
      </c>
      <c r="U824" t="s">
        <v>53</v>
      </c>
      <c r="V824" t="s">
        <v>2889</v>
      </c>
      <c r="W824" t="s">
        <v>1250</v>
      </c>
      <c r="X824">
        <v>4217</v>
      </c>
      <c r="Y824">
        <v>1200</v>
      </c>
      <c r="Z824">
        <v>2400</v>
      </c>
      <c r="AA824" t="s">
        <v>2890</v>
      </c>
    </row>
    <row r="825" spans="1:27" x14ac:dyDescent="0.2">
      <c r="A825">
        <v>3819</v>
      </c>
      <c r="B825" t="s">
        <v>1087</v>
      </c>
      <c r="C825" t="str">
        <f>_xlfn.CONCAT(Merge[[#This Row],[Customer First Name]]," ",Merge[[#This Row],[Customer Last Name]])</f>
        <v>Gracie Lamb</v>
      </c>
      <c r="D825" t="s">
        <v>991</v>
      </c>
      <c r="E825">
        <v>2051</v>
      </c>
      <c r="F825" t="s">
        <v>31</v>
      </c>
      <c r="G825" s="1">
        <v>45633</v>
      </c>
      <c r="H825">
        <v>1</v>
      </c>
      <c r="I825" t="s">
        <v>32</v>
      </c>
      <c r="J825" t="s">
        <v>39</v>
      </c>
      <c r="K825">
        <v>0.1</v>
      </c>
      <c r="L825">
        <v>170.3</v>
      </c>
      <c r="M825">
        <v>1703</v>
      </c>
      <c r="N825">
        <v>1532.7</v>
      </c>
      <c r="O825" t="s">
        <v>114</v>
      </c>
      <c r="P825">
        <v>2051</v>
      </c>
      <c r="Q825" t="s">
        <v>31</v>
      </c>
      <c r="R825" s="1">
        <v>45633</v>
      </c>
      <c r="S825">
        <v>1</v>
      </c>
      <c r="T825" t="s">
        <v>32</v>
      </c>
      <c r="U825" t="s">
        <v>39</v>
      </c>
      <c r="V825" t="s">
        <v>2891</v>
      </c>
      <c r="W825" t="s">
        <v>1241</v>
      </c>
      <c r="X825">
        <v>2600</v>
      </c>
      <c r="Y825">
        <v>250</v>
      </c>
      <c r="Z825">
        <v>250</v>
      </c>
      <c r="AA825" t="s">
        <v>2892</v>
      </c>
    </row>
    <row r="826" spans="1:27" x14ac:dyDescent="0.2">
      <c r="A826">
        <v>3820</v>
      </c>
      <c r="B826" t="s">
        <v>213</v>
      </c>
      <c r="C826" t="str">
        <f>_xlfn.CONCAT(Merge[[#This Row],[Customer First Name]]," ",Merge[[#This Row],[Customer Last Name]])</f>
        <v>Lia Truong</v>
      </c>
      <c r="D826" t="s">
        <v>1088</v>
      </c>
      <c r="E826">
        <v>2052</v>
      </c>
      <c r="F826" t="s">
        <v>51</v>
      </c>
      <c r="G826" s="1">
        <v>45615</v>
      </c>
      <c r="H826">
        <v>3</v>
      </c>
      <c r="I826" t="s">
        <v>32</v>
      </c>
      <c r="J826" t="s">
        <v>57</v>
      </c>
      <c r="K826">
        <v>0.2</v>
      </c>
      <c r="L826">
        <v>70.400000000000006</v>
      </c>
      <c r="M826">
        <v>352</v>
      </c>
      <c r="N826">
        <v>281.60000000000002</v>
      </c>
      <c r="O826" t="s">
        <v>114</v>
      </c>
      <c r="P826">
        <v>2052</v>
      </c>
      <c r="Q826" t="s">
        <v>51</v>
      </c>
      <c r="R826" s="1">
        <v>45615</v>
      </c>
      <c r="S826">
        <v>3</v>
      </c>
      <c r="T826" t="s">
        <v>32</v>
      </c>
      <c r="U826" t="s">
        <v>57</v>
      </c>
      <c r="V826" t="s">
        <v>2893</v>
      </c>
      <c r="W826" t="s">
        <v>1095</v>
      </c>
      <c r="X826">
        <v>5000</v>
      </c>
      <c r="Y826">
        <v>250</v>
      </c>
      <c r="Z826">
        <v>750</v>
      </c>
      <c r="AA826" t="s">
        <v>2894</v>
      </c>
    </row>
    <row r="827" spans="1:27" x14ac:dyDescent="0.2">
      <c r="A827">
        <v>3821</v>
      </c>
      <c r="B827" t="s">
        <v>1089</v>
      </c>
      <c r="C827" t="str">
        <f>_xlfn.CONCAT(Merge[[#This Row],[Customer First Name]]," ",Merge[[#This Row],[Customer Last Name]])</f>
        <v>Franklin Walters</v>
      </c>
      <c r="D827" t="s">
        <v>1090</v>
      </c>
      <c r="E827">
        <v>2053</v>
      </c>
      <c r="F827" t="s">
        <v>37</v>
      </c>
      <c r="G827" s="1">
        <v>45642</v>
      </c>
      <c r="H827">
        <v>2</v>
      </c>
      <c r="I827" t="s">
        <v>38</v>
      </c>
      <c r="J827" t="s">
        <v>53</v>
      </c>
      <c r="K827">
        <v>0.3</v>
      </c>
      <c r="L827">
        <v>307.8</v>
      </c>
      <c r="M827">
        <v>1026</v>
      </c>
      <c r="N827">
        <v>718.2</v>
      </c>
      <c r="O827" t="s">
        <v>48</v>
      </c>
      <c r="P827">
        <v>2053</v>
      </c>
      <c r="Q827" t="s">
        <v>37</v>
      </c>
      <c r="R827" s="1">
        <v>45642</v>
      </c>
      <c r="S827">
        <v>1</v>
      </c>
      <c r="T827" t="s">
        <v>38</v>
      </c>
      <c r="U827" t="s">
        <v>53</v>
      </c>
      <c r="V827" t="s">
        <v>2895</v>
      </c>
      <c r="W827" t="s">
        <v>1250</v>
      </c>
      <c r="X827">
        <v>4217</v>
      </c>
      <c r="Y827">
        <v>800</v>
      </c>
      <c r="Z827">
        <v>800</v>
      </c>
      <c r="AA827" t="s">
        <v>2896</v>
      </c>
    </row>
    <row r="828" spans="1:27" x14ac:dyDescent="0.2">
      <c r="A828">
        <v>3822</v>
      </c>
      <c r="B828" t="s">
        <v>1091</v>
      </c>
      <c r="C828" t="str">
        <f>_xlfn.CONCAT(Merge[[#This Row],[Customer First Name]]," ",Merge[[#This Row],[Customer Last Name]])</f>
        <v>Raelynn Farrell</v>
      </c>
      <c r="D828" t="s">
        <v>807</v>
      </c>
      <c r="E828">
        <v>2054</v>
      </c>
      <c r="F828" t="s">
        <v>51</v>
      </c>
      <c r="G828" s="1">
        <v>45500</v>
      </c>
      <c r="H828">
        <v>2</v>
      </c>
      <c r="I828" t="s">
        <v>52</v>
      </c>
      <c r="J828" t="s">
        <v>64</v>
      </c>
      <c r="K828">
        <v>0.2</v>
      </c>
      <c r="L828">
        <v>16.400000000000002</v>
      </c>
      <c r="M828">
        <v>82</v>
      </c>
      <c r="N828">
        <v>65.599999999999994</v>
      </c>
      <c r="O828" t="s">
        <v>44</v>
      </c>
      <c r="P828">
        <v>2054</v>
      </c>
      <c r="Q828" t="s">
        <v>51</v>
      </c>
      <c r="R828" s="1">
        <v>45500</v>
      </c>
      <c r="S828">
        <v>1</v>
      </c>
      <c r="T828" t="s">
        <v>52</v>
      </c>
      <c r="U828" t="s">
        <v>64</v>
      </c>
      <c r="V828" t="s">
        <v>2897</v>
      </c>
      <c r="W828" t="s">
        <v>1400</v>
      </c>
      <c r="X828">
        <v>7310</v>
      </c>
      <c r="Y828">
        <v>250</v>
      </c>
      <c r="Z828">
        <v>250</v>
      </c>
      <c r="AA828" t="s">
        <v>2898</v>
      </c>
    </row>
    <row r="829" spans="1:27" x14ac:dyDescent="0.2">
      <c r="A829">
        <v>3823</v>
      </c>
      <c r="B829" t="s">
        <v>1092</v>
      </c>
      <c r="C829" t="str">
        <f>_xlfn.CONCAT(Merge[[#This Row],[Customer First Name]]," ",Merge[[#This Row],[Customer Last Name]])</f>
        <v>Kali Hurst</v>
      </c>
      <c r="D829" t="s">
        <v>664</v>
      </c>
      <c r="E829">
        <v>2055</v>
      </c>
      <c r="F829" t="s">
        <v>42</v>
      </c>
      <c r="G829" s="1">
        <v>45452</v>
      </c>
      <c r="H829">
        <v>2</v>
      </c>
      <c r="I829" t="s">
        <v>32</v>
      </c>
      <c r="J829" t="s">
        <v>47</v>
      </c>
      <c r="K829">
        <v>0.25</v>
      </c>
      <c r="L829">
        <v>427.75</v>
      </c>
      <c r="M829">
        <v>1711</v>
      </c>
      <c r="N829">
        <v>1283.25</v>
      </c>
      <c r="O829" t="s">
        <v>34</v>
      </c>
      <c r="P829">
        <v>2055</v>
      </c>
      <c r="Q829" t="s">
        <v>42</v>
      </c>
      <c r="R829" s="1">
        <v>45452</v>
      </c>
      <c r="S829">
        <v>1</v>
      </c>
      <c r="T829" t="s">
        <v>32</v>
      </c>
      <c r="U829" t="s">
        <v>47</v>
      </c>
      <c r="V829" t="s">
        <v>2899</v>
      </c>
      <c r="W829" t="s">
        <v>1247</v>
      </c>
      <c r="X829">
        <v>3350</v>
      </c>
      <c r="Y829">
        <v>300</v>
      </c>
      <c r="Z829">
        <v>300</v>
      </c>
      <c r="AA829" t="s">
        <v>2900</v>
      </c>
    </row>
    <row r="830" spans="1:27" x14ac:dyDescent="0.2">
      <c r="A830">
        <v>3824</v>
      </c>
      <c r="B830" t="s">
        <v>658</v>
      </c>
      <c r="C830" t="str">
        <f>_xlfn.CONCAT(Merge[[#This Row],[Customer First Name]]," ",Merge[[#This Row],[Customer Last Name]])</f>
        <v>Kyler Frost</v>
      </c>
      <c r="D830" t="s">
        <v>624</v>
      </c>
      <c r="E830">
        <v>2056</v>
      </c>
      <c r="F830" t="s">
        <v>51</v>
      </c>
      <c r="G830" s="1">
        <v>45411</v>
      </c>
      <c r="H830">
        <v>3</v>
      </c>
      <c r="I830" t="s">
        <v>32</v>
      </c>
      <c r="J830" t="s">
        <v>64</v>
      </c>
      <c r="K830">
        <v>0.2</v>
      </c>
      <c r="L830">
        <v>201.8</v>
      </c>
      <c r="M830">
        <v>1009</v>
      </c>
      <c r="N830">
        <v>807.2</v>
      </c>
      <c r="O830" t="s">
        <v>114</v>
      </c>
      <c r="P830">
        <v>2056</v>
      </c>
      <c r="Q830" t="s">
        <v>51</v>
      </c>
      <c r="R830" s="1">
        <v>45411</v>
      </c>
      <c r="S830">
        <v>2</v>
      </c>
      <c r="T830" t="s">
        <v>32</v>
      </c>
      <c r="U830" t="s">
        <v>64</v>
      </c>
      <c r="V830" t="s">
        <v>2901</v>
      </c>
      <c r="W830" t="s">
        <v>1400</v>
      </c>
      <c r="X830">
        <v>7310</v>
      </c>
      <c r="Y830">
        <v>250</v>
      </c>
      <c r="Z830">
        <v>500</v>
      </c>
      <c r="AA830" t="s">
        <v>2902</v>
      </c>
    </row>
    <row r="831" spans="1:27" x14ac:dyDescent="0.2">
      <c r="A831">
        <v>3825</v>
      </c>
      <c r="B831" t="s">
        <v>733</v>
      </c>
      <c r="C831" t="str">
        <f>_xlfn.CONCAT(Merge[[#This Row],[Customer First Name]]," ",Merge[[#This Row],[Customer Last Name]])</f>
        <v>Avery Perez</v>
      </c>
      <c r="D831" t="s">
        <v>123</v>
      </c>
      <c r="E831">
        <v>2057</v>
      </c>
      <c r="F831" t="s">
        <v>42</v>
      </c>
      <c r="G831" s="1">
        <v>45370</v>
      </c>
      <c r="H831">
        <v>2</v>
      </c>
      <c r="I831" t="s">
        <v>52</v>
      </c>
      <c r="J831" t="s">
        <v>53</v>
      </c>
      <c r="K831">
        <v>0.25</v>
      </c>
      <c r="L831">
        <v>7.5</v>
      </c>
      <c r="M831">
        <v>30</v>
      </c>
      <c r="N831">
        <v>22.5</v>
      </c>
      <c r="O831" t="s">
        <v>44</v>
      </c>
      <c r="P831">
        <v>2057</v>
      </c>
      <c r="Q831" t="s">
        <v>42</v>
      </c>
      <c r="R831" s="1">
        <v>45370</v>
      </c>
      <c r="S831">
        <v>2</v>
      </c>
      <c r="T831" t="s">
        <v>52</v>
      </c>
      <c r="U831" t="s">
        <v>53</v>
      </c>
      <c r="V831" t="s">
        <v>2903</v>
      </c>
      <c r="W831" t="s">
        <v>1268</v>
      </c>
      <c r="X831">
        <v>4870</v>
      </c>
      <c r="Y831">
        <v>300</v>
      </c>
      <c r="Z831">
        <v>600</v>
      </c>
      <c r="AA831" t="s">
        <v>2904</v>
      </c>
    </row>
    <row r="832" spans="1:27" x14ac:dyDescent="0.2">
      <c r="A832">
        <v>3826</v>
      </c>
      <c r="B832" t="s">
        <v>1093</v>
      </c>
      <c r="C832" t="str">
        <f>_xlfn.CONCAT(Merge[[#This Row],[Customer First Name]]," ",Merge[[#This Row],[Customer Last Name]])</f>
        <v>Alayah Ruiz</v>
      </c>
      <c r="D832" t="s">
        <v>1094</v>
      </c>
      <c r="E832">
        <v>2058</v>
      </c>
      <c r="F832" t="s">
        <v>76</v>
      </c>
      <c r="G832" s="1">
        <v>45458</v>
      </c>
      <c r="H832">
        <v>3</v>
      </c>
      <c r="I832" t="s">
        <v>52</v>
      </c>
      <c r="J832" t="s">
        <v>43</v>
      </c>
      <c r="K832">
        <v>0.25</v>
      </c>
      <c r="L832">
        <v>126.75</v>
      </c>
      <c r="M832">
        <v>507</v>
      </c>
      <c r="N832">
        <v>380.25</v>
      </c>
      <c r="O832" t="s">
        <v>34</v>
      </c>
      <c r="P832">
        <v>2058</v>
      </c>
      <c r="Q832" t="s">
        <v>76</v>
      </c>
      <c r="R832" s="1">
        <v>45458</v>
      </c>
      <c r="S832">
        <v>1</v>
      </c>
      <c r="T832" t="s">
        <v>52</v>
      </c>
      <c r="U832" t="s">
        <v>43</v>
      </c>
      <c r="V832" t="s">
        <v>2905</v>
      </c>
      <c r="W832" t="s">
        <v>865</v>
      </c>
      <c r="X832">
        <v>2000</v>
      </c>
      <c r="Y832">
        <v>1200</v>
      </c>
      <c r="Z832">
        <v>1200</v>
      </c>
      <c r="AA832" t="s">
        <v>2906</v>
      </c>
    </row>
    <row r="833" spans="1:27" x14ac:dyDescent="0.2">
      <c r="A833">
        <v>3827</v>
      </c>
      <c r="B833" t="s">
        <v>884</v>
      </c>
      <c r="C833" t="str">
        <f>_xlfn.CONCAT(Merge[[#This Row],[Customer First Name]]," ",Merge[[#This Row],[Customer Last Name]])</f>
        <v>Adelaide Kerr</v>
      </c>
      <c r="D833" t="s">
        <v>1095</v>
      </c>
      <c r="E833">
        <v>2059</v>
      </c>
      <c r="F833" t="s">
        <v>51</v>
      </c>
      <c r="G833" s="1">
        <v>45299</v>
      </c>
      <c r="H833">
        <v>3</v>
      </c>
      <c r="I833" t="s">
        <v>32</v>
      </c>
      <c r="J833" t="s">
        <v>43</v>
      </c>
      <c r="K833">
        <v>0.2</v>
      </c>
      <c r="L833">
        <v>217</v>
      </c>
      <c r="M833">
        <v>1085</v>
      </c>
      <c r="N833">
        <v>868</v>
      </c>
      <c r="O833" t="s">
        <v>44</v>
      </c>
      <c r="P833">
        <v>2059</v>
      </c>
      <c r="Q833" t="s">
        <v>51</v>
      </c>
      <c r="R833" s="1">
        <v>45299</v>
      </c>
      <c r="S833">
        <v>2</v>
      </c>
      <c r="T833" t="s">
        <v>32</v>
      </c>
      <c r="U833" t="s">
        <v>43</v>
      </c>
      <c r="V833" t="s">
        <v>2907</v>
      </c>
      <c r="W833" t="s">
        <v>1299</v>
      </c>
      <c r="X833">
        <v>2500</v>
      </c>
      <c r="Y833">
        <v>250</v>
      </c>
      <c r="Z833">
        <v>500</v>
      </c>
      <c r="AA833" t="s">
        <v>2908</v>
      </c>
    </row>
    <row r="834" spans="1:27" x14ac:dyDescent="0.2">
      <c r="A834">
        <v>3828</v>
      </c>
      <c r="B834" t="s">
        <v>547</v>
      </c>
      <c r="C834" t="str">
        <f>_xlfn.CONCAT(Merge[[#This Row],[Customer First Name]]," ",Merge[[#This Row],[Customer Last Name]])</f>
        <v>Hallie Nash</v>
      </c>
      <c r="D834" t="s">
        <v>395</v>
      </c>
      <c r="E834">
        <v>2060</v>
      </c>
      <c r="F834" t="s">
        <v>51</v>
      </c>
      <c r="G834" s="1">
        <v>45631</v>
      </c>
      <c r="H834">
        <v>1</v>
      </c>
      <c r="I834" t="s">
        <v>71</v>
      </c>
      <c r="J834" t="s">
        <v>47</v>
      </c>
      <c r="K834">
        <v>0.2</v>
      </c>
      <c r="L834">
        <v>261.60000000000002</v>
      </c>
      <c r="M834">
        <v>1308</v>
      </c>
      <c r="N834">
        <v>1046.4000000000001</v>
      </c>
      <c r="O834" t="s">
        <v>54</v>
      </c>
      <c r="P834">
        <v>2060</v>
      </c>
      <c r="Q834" t="s">
        <v>51</v>
      </c>
      <c r="R834" s="1">
        <v>45631</v>
      </c>
      <c r="S834">
        <v>1</v>
      </c>
      <c r="T834" t="s">
        <v>71</v>
      </c>
      <c r="U834" t="s">
        <v>47</v>
      </c>
      <c r="V834" t="s">
        <v>2909</v>
      </c>
      <c r="W834" t="s">
        <v>1247</v>
      </c>
      <c r="X834">
        <v>3350</v>
      </c>
      <c r="Y834">
        <v>250</v>
      </c>
      <c r="Z834">
        <v>250</v>
      </c>
      <c r="AA834" t="s">
        <v>2910</v>
      </c>
    </row>
    <row r="835" spans="1:27" x14ac:dyDescent="0.2">
      <c r="A835">
        <v>3829</v>
      </c>
      <c r="B835" t="s">
        <v>175</v>
      </c>
      <c r="C835" t="str">
        <f>_xlfn.CONCAT(Merge[[#This Row],[Customer First Name]]," ",Merge[[#This Row],[Customer Last Name]])</f>
        <v>Elaine Fleming</v>
      </c>
      <c r="D835" t="s">
        <v>1096</v>
      </c>
      <c r="E835">
        <v>2061</v>
      </c>
      <c r="F835" t="s">
        <v>76</v>
      </c>
      <c r="G835" s="1">
        <v>45353</v>
      </c>
      <c r="H835">
        <v>3</v>
      </c>
      <c r="I835" t="s">
        <v>38</v>
      </c>
      <c r="J835" t="s">
        <v>53</v>
      </c>
      <c r="K835">
        <v>0.25</v>
      </c>
      <c r="L835">
        <v>127.75</v>
      </c>
      <c r="M835">
        <v>511</v>
      </c>
      <c r="N835">
        <v>383.25</v>
      </c>
      <c r="O835" t="s">
        <v>54</v>
      </c>
      <c r="P835">
        <v>2061</v>
      </c>
      <c r="Q835" t="s">
        <v>76</v>
      </c>
      <c r="R835" s="1">
        <v>45353</v>
      </c>
      <c r="S835">
        <v>1</v>
      </c>
      <c r="T835" t="s">
        <v>38</v>
      </c>
      <c r="U835" t="s">
        <v>53</v>
      </c>
      <c r="V835" t="s">
        <v>2911</v>
      </c>
      <c r="W835" t="s">
        <v>1268</v>
      </c>
      <c r="X835">
        <v>4870</v>
      </c>
      <c r="Y835">
        <v>1200</v>
      </c>
      <c r="Z835">
        <v>1200</v>
      </c>
      <c r="AA835" t="s">
        <v>2912</v>
      </c>
    </row>
    <row r="836" spans="1:27" x14ac:dyDescent="0.2">
      <c r="A836">
        <v>3830</v>
      </c>
      <c r="B836" t="s">
        <v>1097</v>
      </c>
      <c r="C836" t="str">
        <f>_xlfn.CONCAT(Merge[[#This Row],[Customer First Name]]," ",Merge[[#This Row],[Customer Last Name]])</f>
        <v>Ronan Johnson</v>
      </c>
      <c r="D836" t="s">
        <v>1098</v>
      </c>
      <c r="E836">
        <v>2062</v>
      </c>
      <c r="F836" t="s">
        <v>76</v>
      </c>
      <c r="G836" s="1">
        <v>45485</v>
      </c>
      <c r="H836">
        <v>1</v>
      </c>
      <c r="I836" t="s">
        <v>52</v>
      </c>
      <c r="J836" t="s">
        <v>33</v>
      </c>
      <c r="K836">
        <v>0.25</v>
      </c>
      <c r="L836">
        <v>59.75</v>
      </c>
      <c r="M836">
        <v>239</v>
      </c>
      <c r="N836">
        <v>179.25</v>
      </c>
      <c r="O836" t="s">
        <v>48</v>
      </c>
      <c r="P836">
        <v>2062</v>
      </c>
      <c r="Q836" t="s">
        <v>76</v>
      </c>
      <c r="R836" s="1">
        <v>45485</v>
      </c>
      <c r="S836">
        <v>1</v>
      </c>
      <c r="T836" t="s">
        <v>52</v>
      </c>
      <c r="U836" t="s">
        <v>33</v>
      </c>
      <c r="V836" t="s">
        <v>2913</v>
      </c>
      <c r="W836" t="s">
        <v>1238</v>
      </c>
      <c r="X836">
        <v>6725</v>
      </c>
      <c r="Y836">
        <v>1200</v>
      </c>
      <c r="Z836">
        <v>1200</v>
      </c>
      <c r="AA836" t="s">
        <v>2914</v>
      </c>
    </row>
    <row r="837" spans="1:27" x14ac:dyDescent="0.2">
      <c r="A837">
        <v>3831</v>
      </c>
      <c r="B837" t="s">
        <v>198</v>
      </c>
      <c r="C837" t="str">
        <f>_xlfn.CONCAT(Merge[[#This Row],[Customer First Name]]," ",Merge[[#This Row],[Customer Last Name]])</f>
        <v>Aurora Dean</v>
      </c>
      <c r="D837" t="s">
        <v>1099</v>
      </c>
      <c r="E837">
        <v>2063</v>
      </c>
      <c r="F837" t="s">
        <v>37</v>
      </c>
      <c r="G837" s="1">
        <v>45444</v>
      </c>
      <c r="H837">
        <v>1</v>
      </c>
      <c r="I837" t="s">
        <v>52</v>
      </c>
      <c r="J837" t="s">
        <v>43</v>
      </c>
      <c r="K837">
        <v>0.3</v>
      </c>
      <c r="L837">
        <v>96.6</v>
      </c>
      <c r="M837">
        <v>322</v>
      </c>
      <c r="N837">
        <v>225.4</v>
      </c>
      <c r="O837" t="s">
        <v>54</v>
      </c>
      <c r="P837">
        <v>2063</v>
      </c>
      <c r="Q837" t="s">
        <v>37</v>
      </c>
      <c r="R837" s="1">
        <v>45444</v>
      </c>
      <c r="S837">
        <v>3</v>
      </c>
      <c r="T837" t="s">
        <v>52</v>
      </c>
      <c r="U837" t="s">
        <v>43</v>
      </c>
      <c r="V837" t="s">
        <v>2915</v>
      </c>
      <c r="W837" t="s">
        <v>1244</v>
      </c>
      <c r="X837">
        <v>2300</v>
      </c>
      <c r="Y837">
        <v>800</v>
      </c>
      <c r="Z837">
        <v>2400</v>
      </c>
      <c r="AA837" t="s">
        <v>2916</v>
      </c>
    </row>
    <row r="838" spans="1:27" x14ac:dyDescent="0.2">
      <c r="A838">
        <v>3832</v>
      </c>
      <c r="B838" t="s">
        <v>884</v>
      </c>
      <c r="C838" t="str">
        <f>_xlfn.CONCAT(Merge[[#This Row],[Customer First Name]]," ",Merge[[#This Row],[Customer Last Name]])</f>
        <v>Garrett Kerr</v>
      </c>
      <c r="D838" t="s">
        <v>672</v>
      </c>
      <c r="E838">
        <v>2064</v>
      </c>
      <c r="F838" t="s">
        <v>76</v>
      </c>
      <c r="G838" s="1">
        <v>45357</v>
      </c>
      <c r="H838">
        <v>1</v>
      </c>
      <c r="I838" t="s">
        <v>52</v>
      </c>
      <c r="J838" t="s">
        <v>43</v>
      </c>
      <c r="K838">
        <v>0.25</v>
      </c>
      <c r="L838">
        <v>373.5</v>
      </c>
      <c r="M838">
        <v>1494</v>
      </c>
      <c r="N838">
        <v>1120.5</v>
      </c>
      <c r="O838" t="s">
        <v>54</v>
      </c>
      <c r="P838">
        <v>2064</v>
      </c>
      <c r="Q838" t="s">
        <v>76</v>
      </c>
      <c r="R838" s="1">
        <v>45357</v>
      </c>
      <c r="S838">
        <v>2</v>
      </c>
      <c r="T838" t="s">
        <v>52</v>
      </c>
      <c r="U838" t="s">
        <v>43</v>
      </c>
      <c r="V838" t="s">
        <v>2917</v>
      </c>
      <c r="W838" t="s">
        <v>865</v>
      </c>
      <c r="X838">
        <v>2000</v>
      </c>
      <c r="Y838">
        <v>1200</v>
      </c>
      <c r="Z838">
        <v>2400</v>
      </c>
      <c r="AA838" t="s">
        <v>2918</v>
      </c>
    </row>
    <row r="839" spans="1:27" x14ac:dyDescent="0.2">
      <c r="A839">
        <v>3833</v>
      </c>
      <c r="B839" t="s">
        <v>672</v>
      </c>
      <c r="C839" t="str">
        <f>_xlfn.CONCAT(Merge[[#This Row],[Customer First Name]]," ",Merge[[#This Row],[Customer Last Name]])</f>
        <v>Ricardo Garrett</v>
      </c>
      <c r="D839" t="s">
        <v>1100</v>
      </c>
      <c r="E839">
        <v>2065</v>
      </c>
      <c r="F839" t="s">
        <v>37</v>
      </c>
      <c r="G839" s="1">
        <v>45480</v>
      </c>
      <c r="H839">
        <v>3</v>
      </c>
      <c r="I839" t="s">
        <v>32</v>
      </c>
      <c r="J839" t="s">
        <v>53</v>
      </c>
      <c r="K839">
        <v>0.3</v>
      </c>
      <c r="L839">
        <v>36.9</v>
      </c>
      <c r="M839">
        <v>123</v>
      </c>
      <c r="N839">
        <v>86.1</v>
      </c>
      <c r="O839" t="s">
        <v>114</v>
      </c>
      <c r="P839">
        <v>2065</v>
      </c>
      <c r="Q839" t="s">
        <v>37</v>
      </c>
      <c r="R839" s="1">
        <v>45480</v>
      </c>
      <c r="S839">
        <v>1</v>
      </c>
      <c r="T839" t="s">
        <v>32</v>
      </c>
      <c r="U839" t="s">
        <v>53</v>
      </c>
      <c r="V839" t="s">
        <v>2919</v>
      </c>
      <c r="W839" t="s">
        <v>1268</v>
      </c>
      <c r="X839">
        <v>4870</v>
      </c>
      <c r="Y839">
        <v>800</v>
      </c>
      <c r="Z839">
        <v>800</v>
      </c>
      <c r="AA839" t="s">
        <v>2920</v>
      </c>
    </row>
    <row r="840" spans="1:27" x14ac:dyDescent="0.2">
      <c r="A840">
        <v>3834</v>
      </c>
      <c r="B840" t="s">
        <v>610</v>
      </c>
      <c r="C840" t="str">
        <f>_xlfn.CONCAT(Merge[[#This Row],[Customer First Name]]," ",Merge[[#This Row],[Customer Last Name]])</f>
        <v>Gunner Leon</v>
      </c>
      <c r="D840" t="s">
        <v>199</v>
      </c>
      <c r="E840">
        <v>2066</v>
      </c>
      <c r="F840" t="s">
        <v>76</v>
      </c>
      <c r="G840" s="1">
        <v>45535</v>
      </c>
      <c r="H840">
        <v>2</v>
      </c>
      <c r="I840" t="s">
        <v>38</v>
      </c>
      <c r="J840" t="s">
        <v>81</v>
      </c>
      <c r="K840">
        <v>0.25</v>
      </c>
      <c r="L840">
        <v>116</v>
      </c>
      <c r="M840">
        <v>464</v>
      </c>
      <c r="N840">
        <v>348</v>
      </c>
      <c r="O840" t="s">
        <v>44</v>
      </c>
      <c r="P840">
        <v>2066</v>
      </c>
      <c r="Q840" t="s">
        <v>76</v>
      </c>
      <c r="R840" s="1">
        <v>45535</v>
      </c>
      <c r="S840">
        <v>3</v>
      </c>
      <c r="T840" t="s">
        <v>38</v>
      </c>
      <c r="U840" t="s">
        <v>81</v>
      </c>
      <c r="V840" t="s">
        <v>2921</v>
      </c>
      <c r="W840" t="s">
        <v>1280</v>
      </c>
      <c r="X840">
        <v>800</v>
      </c>
      <c r="Y840">
        <v>1200</v>
      </c>
      <c r="Z840">
        <v>3600</v>
      </c>
      <c r="AA840" t="s">
        <v>2922</v>
      </c>
    </row>
    <row r="841" spans="1:27" x14ac:dyDescent="0.2">
      <c r="A841">
        <v>3835</v>
      </c>
      <c r="B841" t="s">
        <v>1101</v>
      </c>
      <c r="C841" t="str">
        <f>_xlfn.CONCAT(Merge[[#This Row],[Customer First Name]]," ",Merge[[#This Row],[Customer Last Name]])</f>
        <v>Lilah Mcconnell</v>
      </c>
      <c r="D841" t="s">
        <v>1102</v>
      </c>
      <c r="E841">
        <v>2067</v>
      </c>
      <c r="F841" t="s">
        <v>76</v>
      </c>
      <c r="G841" s="1">
        <v>45343</v>
      </c>
      <c r="H841">
        <v>1</v>
      </c>
      <c r="I841" t="s">
        <v>71</v>
      </c>
      <c r="J841" t="s">
        <v>33</v>
      </c>
      <c r="K841">
        <v>0.25</v>
      </c>
      <c r="L841">
        <v>294.5</v>
      </c>
      <c r="M841">
        <v>1178</v>
      </c>
      <c r="N841">
        <v>883.5</v>
      </c>
      <c r="O841" t="s">
        <v>44</v>
      </c>
      <c r="P841">
        <v>2067</v>
      </c>
      <c r="Q841" t="s">
        <v>76</v>
      </c>
      <c r="R841" s="1">
        <v>45343</v>
      </c>
      <c r="S841">
        <v>1</v>
      </c>
      <c r="T841" t="s">
        <v>71</v>
      </c>
      <c r="U841" t="s">
        <v>33</v>
      </c>
      <c r="V841" t="s">
        <v>2923</v>
      </c>
      <c r="W841" t="s">
        <v>1302</v>
      </c>
      <c r="X841">
        <v>6000</v>
      </c>
      <c r="Y841">
        <v>1200</v>
      </c>
      <c r="Z841">
        <v>1200</v>
      </c>
      <c r="AA841" t="s">
        <v>2924</v>
      </c>
    </row>
    <row r="842" spans="1:27" x14ac:dyDescent="0.2">
      <c r="A842">
        <v>3836</v>
      </c>
      <c r="B842" t="s">
        <v>1103</v>
      </c>
      <c r="C842" t="str">
        <f>_xlfn.CONCAT(Merge[[#This Row],[Customer First Name]]," ",Merge[[#This Row],[Customer Last Name]])</f>
        <v>Sylas Webster</v>
      </c>
      <c r="D842" t="s">
        <v>1104</v>
      </c>
      <c r="E842">
        <v>2068</v>
      </c>
      <c r="F842" t="s">
        <v>51</v>
      </c>
      <c r="G842" s="1">
        <v>45419</v>
      </c>
      <c r="H842">
        <v>3</v>
      </c>
      <c r="I842" t="s">
        <v>32</v>
      </c>
      <c r="J842" t="s">
        <v>33</v>
      </c>
      <c r="K842">
        <v>0.2</v>
      </c>
      <c r="L842">
        <v>86.600000000000009</v>
      </c>
      <c r="M842">
        <v>433</v>
      </c>
      <c r="N842">
        <v>346.4</v>
      </c>
      <c r="O842" t="s">
        <v>48</v>
      </c>
      <c r="P842">
        <v>2068</v>
      </c>
      <c r="Q842" t="s">
        <v>51</v>
      </c>
      <c r="R842" s="1">
        <v>45419</v>
      </c>
      <c r="S842">
        <v>1</v>
      </c>
      <c r="T842" t="s">
        <v>32</v>
      </c>
      <c r="U842" t="s">
        <v>33</v>
      </c>
      <c r="V842" t="s">
        <v>2925</v>
      </c>
      <c r="W842" t="s">
        <v>1259</v>
      </c>
      <c r="X842">
        <v>6160</v>
      </c>
      <c r="Y842">
        <v>250</v>
      </c>
      <c r="Z842">
        <v>250</v>
      </c>
      <c r="AA842" t="s">
        <v>2926</v>
      </c>
    </row>
    <row r="843" spans="1:27" x14ac:dyDescent="0.2">
      <c r="A843">
        <v>3837</v>
      </c>
      <c r="B843" t="s">
        <v>720</v>
      </c>
      <c r="C843" t="str">
        <f>_xlfn.CONCAT(Merge[[#This Row],[Customer First Name]]," ",Merge[[#This Row],[Customer Last Name]])</f>
        <v>Lyla Porter</v>
      </c>
      <c r="D843" t="s">
        <v>1105</v>
      </c>
      <c r="E843">
        <v>2069</v>
      </c>
      <c r="F843" t="s">
        <v>76</v>
      </c>
      <c r="G843" s="1">
        <v>45470</v>
      </c>
      <c r="H843">
        <v>2</v>
      </c>
      <c r="I843" t="s">
        <v>52</v>
      </c>
      <c r="J843" t="s">
        <v>39</v>
      </c>
      <c r="K843">
        <v>0.25</v>
      </c>
      <c r="L843">
        <v>76.5</v>
      </c>
      <c r="M843">
        <v>306</v>
      </c>
      <c r="N843">
        <v>229.5</v>
      </c>
      <c r="O843" t="s">
        <v>54</v>
      </c>
      <c r="P843">
        <v>2069</v>
      </c>
      <c r="Q843" t="s">
        <v>76</v>
      </c>
      <c r="R843" s="1">
        <v>45470</v>
      </c>
      <c r="S843">
        <v>1</v>
      </c>
      <c r="T843" t="s">
        <v>52</v>
      </c>
      <c r="U843" t="s">
        <v>39</v>
      </c>
      <c r="V843" t="s">
        <v>2927</v>
      </c>
      <c r="W843" t="s">
        <v>1241</v>
      </c>
      <c r="X843">
        <v>2600</v>
      </c>
      <c r="Y843">
        <v>1200</v>
      </c>
      <c r="Z843">
        <v>1200</v>
      </c>
      <c r="AA843" t="s">
        <v>2928</v>
      </c>
    </row>
    <row r="844" spans="1:27" x14ac:dyDescent="0.2">
      <c r="A844">
        <v>3838</v>
      </c>
      <c r="B844" t="s">
        <v>1106</v>
      </c>
      <c r="C844" t="str">
        <f>_xlfn.CONCAT(Merge[[#This Row],[Customer First Name]]," ",Merge[[#This Row],[Customer Last Name]])</f>
        <v>Walter Robinson</v>
      </c>
      <c r="D844" t="s">
        <v>68</v>
      </c>
      <c r="E844">
        <v>2070</v>
      </c>
      <c r="F844" t="s">
        <v>37</v>
      </c>
      <c r="G844" s="1">
        <v>45546</v>
      </c>
      <c r="H844">
        <v>3</v>
      </c>
      <c r="I844" t="s">
        <v>52</v>
      </c>
      <c r="J844" t="s">
        <v>33</v>
      </c>
      <c r="K844">
        <v>0.3</v>
      </c>
      <c r="L844">
        <v>292.8</v>
      </c>
      <c r="M844">
        <v>976</v>
      </c>
      <c r="N844">
        <v>683.2</v>
      </c>
      <c r="O844" t="s">
        <v>34</v>
      </c>
      <c r="P844">
        <v>2070</v>
      </c>
      <c r="Q844" t="s">
        <v>37</v>
      </c>
      <c r="R844" s="1">
        <v>45546</v>
      </c>
      <c r="S844">
        <v>1</v>
      </c>
      <c r="T844" t="s">
        <v>52</v>
      </c>
      <c r="U844" t="s">
        <v>33</v>
      </c>
      <c r="V844" t="s">
        <v>2929</v>
      </c>
      <c r="W844" t="s">
        <v>1302</v>
      </c>
      <c r="X844">
        <v>6000</v>
      </c>
      <c r="Y844">
        <v>800</v>
      </c>
      <c r="Z844">
        <v>800</v>
      </c>
      <c r="AA844" t="s">
        <v>2930</v>
      </c>
    </row>
    <row r="845" spans="1:27" x14ac:dyDescent="0.2">
      <c r="A845">
        <v>3839</v>
      </c>
      <c r="B845" t="s">
        <v>1107</v>
      </c>
      <c r="C845" t="str">
        <f>_xlfn.CONCAT(Merge[[#This Row],[Customer First Name]]," ",Merge[[#This Row],[Customer Last Name]])</f>
        <v>Sawyer Ho</v>
      </c>
      <c r="D845" t="s">
        <v>107</v>
      </c>
      <c r="E845">
        <v>2071</v>
      </c>
      <c r="F845" t="s">
        <v>76</v>
      </c>
      <c r="G845" s="1">
        <v>45529</v>
      </c>
      <c r="H845">
        <v>1</v>
      </c>
      <c r="I845" t="s">
        <v>52</v>
      </c>
      <c r="J845" t="s">
        <v>33</v>
      </c>
      <c r="K845">
        <v>0.25</v>
      </c>
      <c r="L845">
        <v>47</v>
      </c>
      <c r="M845">
        <v>188</v>
      </c>
      <c r="N845">
        <v>141</v>
      </c>
      <c r="O845" t="s">
        <v>114</v>
      </c>
      <c r="P845">
        <v>2071</v>
      </c>
      <c r="Q845" t="s">
        <v>76</v>
      </c>
      <c r="R845" s="1">
        <v>45529</v>
      </c>
      <c r="S845">
        <v>2</v>
      </c>
      <c r="T845" t="s">
        <v>52</v>
      </c>
      <c r="U845" t="s">
        <v>33</v>
      </c>
      <c r="V845" t="s">
        <v>2931</v>
      </c>
      <c r="W845" t="s">
        <v>1302</v>
      </c>
      <c r="X845">
        <v>6000</v>
      </c>
      <c r="Y845">
        <v>1200</v>
      </c>
      <c r="Z845">
        <v>2400</v>
      </c>
      <c r="AA845" t="s">
        <v>2932</v>
      </c>
    </row>
    <row r="846" spans="1:27" x14ac:dyDescent="0.2">
      <c r="A846">
        <v>3840</v>
      </c>
      <c r="B846" t="s">
        <v>239</v>
      </c>
      <c r="C846" t="str">
        <f>_xlfn.CONCAT(Merge[[#This Row],[Customer First Name]]," ",Merge[[#This Row],[Customer Last Name]])</f>
        <v>Kane Mcbride</v>
      </c>
      <c r="D846" t="s">
        <v>104</v>
      </c>
      <c r="E846">
        <v>2072</v>
      </c>
      <c r="F846" t="s">
        <v>76</v>
      </c>
      <c r="G846" s="1">
        <v>45350</v>
      </c>
      <c r="H846">
        <v>3</v>
      </c>
      <c r="I846" t="s">
        <v>52</v>
      </c>
      <c r="J846" t="s">
        <v>57</v>
      </c>
      <c r="K846">
        <v>0.25</v>
      </c>
      <c r="L846">
        <v>40.5</v>
      </c>
      <c r="M846">
        <v>162</v>
      </c>
      <c r="N846">
        <v>121.5</v>
      </c>
      <c r="O846" t="s">
        <v>114</v>
      </c>
      <c r="P846">
        <v>2072</v>
      </c>
      <c r="Q846" t="s">
        <v>76</v>
      </c>
      <c r="R846" s="1">
        <v>45350</v>
      </c>
      <c r="S846">
        <v>2</v>
      </c>
      <c r="T846" t="s">
        <v>52</v>
      </c>
      <c r="U846" t="s">
        <v>57</v>
      </c>
      <c r="V846" t="s">
        <v>2933</v>
      </c>
      <c r="W846" t="s">
        <v>1095</v>
      </c>
      <c r="X846">
        <v>5000</v>
      </c>
      <c r="Y846">
        <v>1200</v>
      </c>
      <c r="Z846">
        <v>2400</v>
      </c>
      <c r="AA846" t="s">
        <v>2934</v>
      </c>
    </row>
    <row r="847" spans="1:27" x14ac:dyDescent="0.2">
      <c r="A847">
        <v>3841</v>
      </c>
      <c r="B847" t="s">
        <v>656</v>
      </c>
      <c r="C847" t="str">
        <f>_xlfn.CONCAT(Merge[[#This Row],[Customer First Name]]," ",Merge[[#This Row],[Customer Last Name]])</f>
        <v>Everleigh Burgess</v>
      </c>
      <c r="D847" t="s">
        <v>1108</v>
      </c>
      <c r="E847">
        <v>2073</v>
      </c>
      <c r="F847" t="s">
        <v>31</v>
      </c>
      <c r="G847" s="1">
        <v>45619</v>
      </c>
      <c r="H847">
        <v>3</v>
      </c>
      <c r="I847" t="s">
        <v>32</v>
      </c>
      <c r="J847" t="s">
        <v>43</v>
      </c>
      <c r="K847">
        <v>0.1</v>
      </c>
      <c r="L847">
        <v>72.600000000000009</v>
      </c>
      <c r="M847">
        <v>726</v>
      </c>
      <c r="N847">
        <v>653.4</v>
      </c>
      <c r="O847" t="s">
        <v>48</v>
      </c>
      <c r="P847">
        <v>2073</v>
      </c>
      <c r="Q847" t="s">
        <v>31</v>
      </c>
      <c r="R847" s="1">
        <v>45619</v>
      </c>
      <c r="S847">
        <v>3</v>
      </c>
      <c r="T847" t="s">
        <v>32</v>
      </c>
      <c r="U847" t="s">
        <v>43</v>
      </c>
      <c r="V847" t="s">
        <v>2935</v>
      </c>
      <c r="W847" t="s">
        <v>865</v>
      </c>
      <c r="X847">
        <v>2000</v>
      </c>
      <c r="Y847">
        <v>250</v>
      </c>
      <c r="Z847">
        <v>750</v>
      </c>
      <c r="AA847" t="s">
        <v>2936</v>
      </c>
    </row>
    <row r="848" spans="1:27" x14ac:dyDescent="0.2">
      <c r="A848">
        <v>3842</v>
      </c>
      <c r="B848" t="s">
        <v>589</v>
      </c>
      <c r="C848" t="str">
        <f>_xlfn.CONCAT(Merge[[#This Row],[Customer First Name]]," ",Merge[[#This Row],[Customer Last Name]])</f>
        <v>Felix Harrell</v>
      </c>
      <c r="D848" t="s">
        <v>721</v>
      </c>
      <c r="E848">
        <v>2074</v>
      </c>
      <c r="F848" t="s">
        <v>31</v>
      </c>
      <c r="G848" s="1">
        <v>45648</v>
      </c>
      <c r="H848">
        <v>2</v>
      </c>
      <c r="I848" t="s">
        <v>38</v>
      </c>
      <c r="J848" t="s">
        <v>47</v>
      </c>
      <c r="K848">
        <v>0.1</v>
      </c>
      <c r="L848">
        <v>113.10000000000001</v>
      </c>
      <c r="M848">
        <v>1131</v>
      </c>
      <c r="N848">
        <v>1017.9</v>
      </c>
      <c r="O848" t="s">
        <v>54</v>
      </c>
      <c r="P848">
        <v>2074</v>
      </c>
      <c r="Q848" t="s">
        <v>31</v>
      </c>
      <c r="R848" s="1">
        <v>45648</v>
      </c>
      <c r="S848">
        <v>2</v>
      </c>
      <c r="T848" t="s">
        <v>38</v>
      </c>
      <c r="U848" t="s">
        <v>47</v>
      </c>
      <c r="V848" t="s">
        <v>2937</v>
      </c>
      <c r="W848" t="s">
        <v>1247</v>
      </c>
      <c r="X848">
        <v>3350</v>
      </c>
      <c r="Y848">
        <v>250</v>
      </c>
      <c r="Z848">
        <v>500</v>
      </c>
      <c r="AA848" t="s">
        <v>2938</v>
      </c>
    </row>
    <row r="849" spans="1:27" x14ac:dyDescent="0.2">
      <c r="A849">
        <v>3843</v>
      </c>
      <c r="B849" t="s">
        <v>656</v>
      </c>
      <c r="C849" t="str">
        <f>_xlfn.CONCAT(Merge[[#This Row],[Customer First Name]]," ",Merge[[#This Row],[Customer Last Name]])</f>
        <v>Bryson Burgess</v>
      </c>
      <c r="D849" t="s">
        <v>1109</v>
      </c>
      <c r="E849">
        <v>2075</v>
      </c>
      <c r="F849" t="s">
        <v>92</v>
      </c>
      <c r="G849" s="1">
        <v>45544</v>
      </c>
      <c r="H849">
        <v>2</v>
      </c>
      <c r="I849" t="s">
        <v>71</v>
      </c>
      <c r="J849" t="s">
        <v>81</v>
      </c>
      <c r="K849">
        <v>0.3</v>
      </c>
      <c r="L849">
        <v>64.2</v>
      </c>
      <c r="M849">
        <v>214</v>
      </c>
      <c r="N849">
        <v>149.80000000000001</v>
      </c>
      <c r="O849" t="s">
        <v>54</v>
      </c>
      <c r="P849">
        <v>2075</v>
      </c>
      <c r="Q849" t="s">
        <v>92</v>
      </c>
      <c r="R849" s="1">
        <v>45544</v>
      </c>
      <c r="S849">
        <v>2</v>
      </c>
      <c r="T849" t="s">
        <v>71</v>
      </c>
      <c r="U849" t="s">
        <v>81</v>
      </c>
      <c r="V849" t="s">
        <v>2939</v>
      </c>
      <c r="W849" t="s">
        <v>1361</v>
      </c>
      <c r="X849">
        <v>870</v>
      </c>
      <c r="Y849">
        <v>600</v>
      </c>
      <c r="Z849">
        <v>1200</v>
      </c>
      <c r="AA849" t="s">
        <v>2940</v>
      </c>
    </row>
    <row r="850" spans="1:27" x14ac:dyDescent="0.2">
      <c r="A850">
        <v>3844</v>
      </c>
      <c r="B850" t="s">
        <v>1110</v>
      </c>
      <c r="C850" t="str">
        <f>_xlfn.CONCAT(Merge[[#This Row],[Customer First Name]]," ",Merge[[#This Row],[Customer Last Name]])</f>
        <v>Cole Marshall</v>
      </c>
      <c r="D850" t="s">
        <v>922</v>
      </c>
      <c r="E850">
        <v>2076</v>
      </c>
      <c r="F850" t="s">
        <v>92</v>
      </c>
      <c r="G850" s="1">
        <v>45543</v>
      </c>
      <c r="H850">
        <v>3</v>
      </c>
      <c r="I850" t="s">
        <v>52</v>
      </c>
      <c r="J850" t="s">
        <v>43</v>
      </c>
      <c r="K850">
        <v>0.3</v>
      </c>
      <c r="L850">
        <v>425.09999999999997</v>
      </c>
      <c r="M850">
        <v>1417</v>
      </c>
      <c r="N850">
        <v>991.90000000000009</v>
      </c>
      <c r="O850" t="s">
        <v>48</v>
      </c>
      <c r="P850">
        <v>2076</v>
      </c>
      <c r="Q850" t="s">
        <v>92</v>
      </c>
      <c r="R850" s="1">
        <v>45543</v>
      </c>
      <c r="S850">
        <v>3</v>
      </c>
      <c r="T850" t="s">
        <v>52</v>
      </c>
      <c r="U850" t="s">
        <v>43</v>
      </c>
      <c r="V850" t="s">
        <v>2941</v>
      </c>
      <c r="W850" t="s">
        <v>1299</v>
      </c>
      <c r="X850">
        <v>2500</v>
      </c>
      <c r="Y850">
        <v>600</v>
      </c>
      <c r="Z850">
        <v>1800</v>
      </c>
      <c r="AA850" t="s">
        <v>2942</v>
      </c>
    </row>
    <row r="851" spans="1:27" x14ac:dyDescent="0.2">
      <c r="A851">
        <v>3845</v>
      </c>
      <c r="B851" t="s">
        <v>1111</v>
      </c>
      <c r="C851" t="str">
        <f>_xlfn.CONCAT(Merge[[#This Row],[Customer First Name]]," ",Merge[[#This Row],[Customer Last Name]])</f>
        <v>Caroline Sanford</v>
      </c>
      <c r="D851" t="s">
        <v>1112</v>
      </c>
      <c r="E851">
        <v>2077</v>
      </c>
      <c r="F851" t="s">
        <v>42</v>
      </c>
      <c r="G851" s="1">
        <v>45501</v>
      </c>
      <c r="H851">
        <v>3</v>
      </c>
      <c r="I851" t="s">
        <v>32</v>
      </c>
      <c r="J851" t="s">
        <v>43</v>
      </c>
      <c r="K851">
        <v>0.25</v>
      </c>
      <c r="L851">
        <v>59.75</v>
      </c>
      <c r="M851">
        <v>239</v>
      </c>
      <c r="N851">
        <v>179.25</v>
      </c>
      <c r="O851" t="s">
        <v>44</v>
      </c>
      <c r="P851">
        <v>2077</v>
      </c>
      <c r="Q851" t="s">
        <v>42</v>
      </c>
      <c r="R851" s="1">
        <v>45501</v>
      </c>
      <c r="S851">
        <v>2</v>
      </c>
      <c r="T851" t="s">
        <v>32</v>
      </c>
      <c r="U851" t="s">
        <v>43</v>
      </c>
      <c r="V851" t="s">
        <v>2943</v>
      </c>
      <c r="W851" t="s">
        <v>1299</v>
      </c>
      <c r="X851">
        <v>2500</v>
      </c>
      <c r="Y851">
        <v>300</v>
      </c>
      <c r="Z851">
        <v>600</v>
      </c>
      <c r="AA851" t="s">
        <v>2944</v>
      </c>
    </row>
    <row r="852" spans="1:27" x14ac:dyDescent="0.2">
      <c r="A852">
        <v>3846</v>
      </c>
      <c r="B852" t="s">
        <v>417</v>
      </c>
      <c r="C852" t="str">
        <f>_xlfn.CONCAT(Merge[[#This Row],[Customer First Name]]," ",Merge[[#This Row],[Customer Last Name]])</f>
        <v>Judah Cunningham</v>
      </c>
      <c r="D852" t="s">
        <v>659</v>
      </c>
      <c r="E852">
        <v>2078</v>
      </c>
      <c r="F852" t="s">
        <v>76</v>
      </c>
      <c r="G852" s="1">
        <v>45431</v>
      </c>
      <c r="H852">
        <v>2</v>
      </c>
      <c r="I852" t="s">
        <v>71</v>
      </c>
      <c r="J852" t="s">
        <v>64</v>
      </c>
      <c r="K852">
        <v>0.25</v>
      </c>
      <c r="L852">
        <v>66.75</v>
      </c>
      <c r="M852">
        <v>267</v>
      </c>
      <c r="N852">
        <v>200.25</v>
      </c>
      <c r="O852" t="s">
        <v>48</v>
      </c>
      <c r="P852">
        <v>2078</v>
      </c>
      <c r="Q852" t="s">
        <v>76</v>
      </c>
      <c r="R852" s="1">
        <v>45431</v>
      </c>
      <c r="S852">
        <v>1</v>
      </c>
      <c r="T852" t="s">
        <v>71</v>
      </c>
      <c r="U852" t="s">
        <v>64</v>
      </c>
      <c r="V852" t="s">
        <v>2945</v>
      </c>
      <c r="W852" t="s">
        <v>1262</v>
      </c>
      <c r="X852">
        <v>7250</v>
      </c>
      <c r="Y852">
        <v>1200</v>
      </c>
      <c r="Z852">
        <v>1200</v>
      </c>
      <c r="AA852" t="s">
        <v>2946</v>
      </c>
    </row>
    <row r="853" spans="1:27" x14ac:dyDescent="0.2">
      <c r="A853">
        <v>3847</v>
      </c>
      <c r="B853" t="s">
        <v>1113</v>
      </c>
      <c r="C853" t="str">
        <f>_xlfn.CONCAT(Merge[[#This Row],[Customer First Name]]," ",Merge[[#This Row],[Customer Last Name]])</f>
        <v>Amari Price</v>
      </c>
      <c r="D853" t="s">
        <v>711</v>
      </c>
      <c r="E853">
        <v>2079</v>
      </c>
      <c r="F853" t="s">
        <v>92</v>
      </c>
      <c r="G853" s="1">
        <v>45462</v>
      </c>
      <c r="H853">
        <v>3</v>
      </c>
      <c r="I853" t="s">
        <v>38</v>
      </c>
      <c r="J853" t="s">
        <v>57</v>
      </c>
      <c r="K853">
        <v>0.3</v>
      </c>
      <c r="L853">
        <v>216</v>
      </c>
      <c r="M853">
        <v>720</v>
      </c>
      <c r="N853">
        <v>504</v>
      </c>
      <c r="O853" t="s">
        <v>44</v>
      </c>
      <c r="P853">
        <v>2079</v>
      </c>
      <c r="Q853" t="s">
        <v>92</v>
      </c>
      <c r="R853" s="1">
        <v>45462</v>
      </c>
      <c r="S853">
        <v>2</v>
      </c>
      <c r="T853" t="s">
        <v>38</v>
      </c>
      <c r="U853" t="s">
        <v>57</v>
      </c>
      <c r="V853" t="s">
        <v>2947</v>
      </c>
      <c r="W853" t="s">
        <v>1253</v>
      </c>
      <c r="X853">
        <v>5290</v>
      </c>
      <c r="Y853">
        <v>600</v>
      </c>
      <c r="Z853">
        <v>1200</v>
      </c>
      <c r="AA853" t="s">
        <v>2948</v>
      </c>
    </row>
    <row r="854" spans="1:27" x14ac:dyDescent="0.2">
      <c r="A854">
        <v>3848</v>
      </c>
      <c r="B854" t="s">
        <v>485</v>
      </c>
      <c r="C854" t="str">
        <f>_xlfn.CONCAT(Merge[[#This Row],[Customer First Name]]," ",Merge[[#This Row],[Customer Last Name]])</f>
        <v>Jaylen Tucker</v>
      </c>
      <c r="D854" t="s">
        <v>1114</v>
      </c>
      <c r="E854">
        <v>2080</v>
      </c>
      <c r="F854" t="s">
        <v>42</v>
      </c>
      <c r="G854" s="1">
        <v>45308</v>
      </c>
      <c r="H854">
        <v>3</v>
      </c>
      <c r="I854" t="s">
        <v>52</v>
      </c>
      <c r="J854" t="s">
        <v>47</v>
      </c>
      <c r="K854">
        <v>0.25</v>
      </c>
      <c r="L854">
        <v>175.25</v>
      </c>
      <c r="M854">
        <v>701</v>
      </c>
      <c r="N854">
        <v>525.75</v>
      </c>
      <c r="O854" t="s">
        <v>44</v>
      </c>
      <c r="P854">
        <v>2080</v>
      </c>
      <c r="Q854" t="s">
        <v>42</v>
      </c>
      <c r="R854" s="1">
        <v>45308</v>
      </c>
      <c r="S854">
        <v>3</v>
      </c>
      <c r="T854" t="s">
        <v>52</v>
      </c>
      <c r="U854" t="s">
        <v>47</v>
      </c>
      <c r="V854" t="s">
        <v>2949</v>
      </c>
      <c r="W854" t="s">
        <v>1256</v>
      </c>
      <c r="X854">
        <v>3220</v>
      </c>
      <c r="Y854">
        <v>300</v>
      </c>
      <c r="Z854">
        <v>900</v>
      </c>
      <c r="AA854" t="s">
        <v>2950</v>
      </c>
    </row>
    <row r="855" spans="1:27" x14ac:dyDescent="0.2">
      <c r="A855">
        <v>3849</v>
      </c>
      <c r="B855" t="s">
        <v>1115</v>
      </c>
      <c r="C855" t="str">
        <f>_xlfn.CONCAT(Merge[[#This Row],[Customer First Name]]," ",Merge[[#This Row],[Customer Last Name]])</f>
        <v>Greyson Harris</v>
      </c>
      <c r="D855" t="s">
        <v>153</v>
      </c>
      <c r="E855">
        <v>2081</v>
      </c>
      <c r="F855" t="s">
        <v>51</v>
      </c>
      <c r="G855" s="1">
        <v>45637</v>
      </c>
      <c r="H855">
        <v>1</v>
      </c>
      <c r="I855" t="s">
        <v>38</v>
      </c>
      <c r="J855" t="s">
        <v>33</v>
      </c>
      <c r="K855">
        <v>0.2</v>
      </c>
      <c r="L855">
        <v>142.6</v>
      </c>
      <c r="M855">
        <v>713</v>
      </c>
      <c r="N855">
        <v>570.4</v>
      </c>
      <c r="O855" t="s">
        <v>34</v>
      </c>
      <c r="P855">
        <v>2081</v>
      </c>
      <c r="Q855" t="s">
        <v>51</v>
      </c>
      <c r="R855" s="1">
        <v>45637</v>
      </c>
      <c r="S855">
        <v>1</v>
      </c>
      <c r="T855" t="s">
        <v>38</v>
      </c>
      <c r="U855" t="s">
        <v>33</v>
      </c>
      <c r="V855" t="s">
        <v>2951</v>
      </c>
      <c r="W855" t="s">
        <v>1238</v>
      </c>
      <c r="X855">
        <v>6725</v>
      </c>
      <c r="Y855">
        <v>250</v>
      </c>
      <c r="Z855">
        <v>250</v>
      </c>
      <c r="AA855" t="s">
        <v>2952</v>
      </c>
    </row>
    <row r="856" spans="1:27" x14ac:dyDescent="0.2">
      <c r="A856">
        <v>3850</v>
      </c>
      <c r="B856" t="s">
        <v>763</v>
      </c>
      <c r="C856" t="str">
        <f>_xlfn.CONCAT(Merge[[#This Row],[Customer First Name]]," ",Merge[[#This Row],[Customer Last Name]])</f>
        <v>Grayson Bates</v>
      </c>
      <c r="D856" t="s">
        <v>1116</v>
      </c>
      <c r="E856">
        <v>2082</v>
      </c>
      <c r="F856" t="s">
        <v>76</v>
      </c>
      <c r="G856" s="1">
        <v>45489</v>
      </c>
      <c r="H856">
        <v>1</v>
      </c>
      <c r="I856" t="s">
        <v>52</v>
      </c>
      <c r="J856" t="s">
        <v>43</v>
      </c>
      <c r="K856">
        <v>0.25</v>
      </c>
      <c r="L856">
        <v>117.5</v>
      </c>
      <c r="M856">
        <v>470</v>
      </c>
      <c r="N856">
        <v>352.5</v>
      </c>
      <c r="O856" t="s">
        <v>54</v>
      </c>
      <c r="P856">
        <v>2082</v>
      </c>
      <c r="Q856" t="s">
        <v>76</v>
      </c>
      <c r="R856" s="1">
        <v>45489</v>
      </c>
      <c r="S856">
        <v>2</v>
      </c>
      <c r="T856" t="s">
        <v>52</v>
      </c>
      <c r="U856" t="s">
        <v>43</v>
      </c>
      <c r="V856" t="s">
        <v>2953</v>
      </c>
      <c r="W856" t="s">
        <v>1299</v>
      </c>
      <c r="X856">
        <v>2500</v>
      </c>
      <c r="Y856">
        <v>1200</v>
      </c>
      <c r="Z856">
        <v>2400</v>
      </c>
      <c r="AA856" t="s">
        <v>2954</v>
      </c>
    </row>
    <row r="857" spans="1:27" x14ac:dyDescent="0.2">
      <c r="A857">
        <v>3851</v>
      </c>
      <c r="B857" t="s">
        <v>1117</v>
      </c>
      <c r="C857" t="str">
        <f>_xlfn.CONCAT(Merge[[#This Row],[Customer First Name]]," ",Merge[[#This Row],[Customer Last Name]])</f>
        <v>Rose Pope</v>
      </c>
      <c r="D857" t="s">
        <v>315</v>
      </c>
      <c r="E857">
        <v>2083</v>
      </c>
      <c r="F857" t="s">
        <v>76</v>
      </c>
      <c r="G857" s="1">
        <v>45567</v>
      </c>
      <c r="H857">
        <v>2</v>
      </c>
      <c r="I857" t="s">
        <v>71</v>
      </c>
      <c r="J857" t="s">
        <v>64</v>
      </c>
      <c r="K857">
        <v>0.25</v>
      </c>
      <c r="L857">
        <v>125.5</v>
      </c>
      <c r="M857">
        <v>502</v>
      </c>
      <c r="N857">
        <v>376.5</v>
      </c>
      <c r="O857" t="s">
        <v>114</v>
      </c>
      <c r="P857">
        <v>2083</v>
      </c>
      <c r="Q857" t="s">
        <v>76</v>
      </c>
      <c r="R857" s="1">
        <v>45567</v>
      </c>
      <c r="S857">
        <v>2</v>
      </c>
      <c r="T857" t="s">
        <v>71</v>
      </c>
      <c r="U857" t="s">
        <v>64</v>
      </c>
      <c r="V857" t="s">
        <v>2955</v>
      </c>
      <c r="W857" t="s">
        <v>1400</v>
      </c>
      <c r="X857">
        <v>7310</v>
      </c>
      <c r="Y857">
        <v>1200</v>
      </c>
      <c r="Z857">
        <v>2400</v>
      </c>
      <c r="AA857" t="s">
        <v>2956</v>
      </c>
    </row>
    <row r="858" spans="1:27" x14ac:dyDescent="0.2">
      <c r="A858">
        <v>3852</v>
      </c>
      <c r="B858" t="s">
        <v>1118</v>
      </c>
      <c r="C858" t="str">
        <f>_xlfn.CONCAT(Merge[[#This Row],[Customer First Name]]," ",Merge[[#This Row],[Customer Last Name]])</f>
        <v>Marlee Savage</v>
      </c>
      <c r="D858" t="s">
        <v>499</v>
      </c>
      <c r="E858">
        <v>2084</v>
      </c>
      <c r="F858" t="s">
        <v>31</v>
      </c>
      <c r="G858" s="1">
        <v>45292</v>
      </c>
      <c r="H858">
        <v>3</v>
      </c>
      <c r="I858" t="s">
        <v>32</v>
      </c>
      <c r="J858" t="s">
        <v>53</v>
      </c>
      <c r="K858">
        <v>0.1</v>
      </c>
      <c r="L858">
        <v>23.400000000000002</v>
      </c>
      <c r="M858">
        <v>234</v>
      </c>
      <c r="N858">
        <v>210.6</v>
      </c>
      <c r="O858" t="s">
        <v>114</v>
      </c>
      <c r="P858">
        <v>2084</v>
      </c>
      <c r="Q858" t="s">
        <v>31</v>
      </c>
      <c r="R858" s="1">
        <v>45292</v>
      </c>
      <c r="S858">
        <v>3</v>
      </c>
      <c r="T858" t="s">
        <v>32</v>
      </c>
      <c r="U858" t="s">
        <v>53</v>
      </c>
      <c r="V858" t="s">
        <v>2957</v>
      </c>
      <c r="W858" t="s">
        <v>1268</v>
      </c>
      <c r="X858">
        <v>4870</v>
      </c>
      <c r="Y858">
        <v>250</v>
      </c>
      <c r="Z858">
        <v>750</v>
      </c>
      <c r="AA858" t="s">
        <v>2958</v>
      </c>
    </row>
    <row r="859" spans="1:27" x14ac:dyDescent="0.2">
      <c r="A859">
        <v>3853</v>
      </c>
      <c r="B859" t="s">
        <v>1119</v>
      </c>
      <c r="C859" t="str">
        <f>_xlfn.CONCAT(Merge[[#This Row],[Customer First Name]]," ",Merge[[#This Row],[Customer Last Name]])</f>
        <v>Phoebe Rogers</v>
      </c>
      <c r="D859" t="s">
        <v>1120</v>
      </c>
      <c r="E859">
        <v>2085</v>
      </c>
      <c r="F859" t="s">
        <v>31</v>
      </c>
      <c r="G859" s="1">
        <v>45335</v>
      </c>
      <c r="H859">
        <v>3</v>
      </c>
      <c r="I859" t="s">
        <v>38</v>
      </c>
      <c r="J859" t="s">
        <v>33</v>
      </c>
      <c r="K859">
        <v>0.1</v>
      </c>
      <c r="L859">
        <v>171.3</v>
      </c>
      <c r="M859">
        <v>1713</v>
      </c>
      <c r="N859">
        <v>1541.7</v>
      </c>
      <c r="O859" t="s">
        <v>54</v>
      </c>
      <c r="P859">
        <v>2085</v>
      </c>
      <c r="Q859" t="s">
        <v>31</v>
      </c>
      <c r="R859" s="1">
        <v>45335</v>
      </c>
      <c r="S859">
        <v>3</v>
      </c>
      <c r="T859" t="s">
        <v>38</v>
      </c>
      <c r="U859" t="s">
        <v>33</v>
      </c>
      <c r="V859" t="s">
        <v>2959</v>
      </c>
      <c r="W859" t="s">
        <v>1238</v>
      </c>
      <c r="X859">
        <v>6725</v>
      </c>
      <c r="Y859">
        <v>250</v>
      </c>
      <c r="Z859">
        <v>750</v>
      </c>
      <c r="AA859" t="s">
        <v>2960</v>
      </c>
    </row>
    <row r="860" spans="1:27" x14ac:dyDescent="0.2">
      <c r="A860">
        <v>3854</v>
      </c>
      <c r="B860" t="s">
        <v>406</v>
      </c>
      <c r="C860" t="str">
        <f>_xlfn.CONCAT(Merge[[#This Row],[Customer First Name]]," ",Merge[[#This Row],[Customer Last Name]])</f>
        <v>Liliana Huerta</v>
      </c>
      <c r="D860" t="s">
        <v>1062</v>
      </c>
      <c r="E860">
        <v>2086</v>
      </c>
      <c r="F860" t="s">
        <v>92</v>
      </c>
      <c r="G860" s="1">
        <v>45413</v>
      </c>
      <c r="H860">
        <v>3</v>
      </c>
      <c r="I860" t="s">
        <v>52</v>
      </c>
      <c r="J860" t="s">
        <v>47</v>
      </c>
      <c r="K860">
        <v>0.3</v>
      </c>
      <c r="L860">
        <v>510.59999999999997</v>
      </c>
      <c r="M860">
        <v>1702</v>
      </c>
      <c r="N860">
        <v>1191.4000000000001</v>
      </c>
      <c r="O860" t="s">
        <v>34</v>
      </c>
      <c r="P860">
        <v>2086</v>
      </c>
      <c r="Q860" t="s">
        <v>92</v>
      </c>
      <c r="R860" s="1">
        <v>45413</v>
      </c>
      <c r="S860">
        <v>3</v>
      </c>
      <c r="T860" t="s">
        <v>52</v>
      </c>
      <c r="U860" t="s">
        <v>47</v>
      </c>
      <c r="V860" t="s">
        <v>2961</v>
      </c>
      <c r="W860" t="s">
        <v>1256</v>
      </c>
      <c r="X860">
        <v>3220</v>
      </c>
      <c r="Y860">
        <v>600</v>
      </c>
      <c r="Z860">
        <v>1800</v>
      </c>
      <c r="AA860" t="s">
        <v>2962</v>
      </c>
    </row>
    <row r="861" spans="1:27" x14ac:dyDescent="0.2">
      <c r="A861">
        <v>3855</v>
      </c>
      <c r="B861" t="s">
        <v>1103</v>
      </c>
      <c r="C861" t="str">
        <f>_xlfn.CONCAT(Merge[[#This Row],[Customer First Name]]," ",Merge[[#This Row],[Customer Last Name]])</f>
        <v>Annabelle Webster</v>
      </c>
      <c r="D861" t="s">
        <v>316</v>
      </c>
      <c r="E861">
        <v>2087</v>
      </c>
      <c r="F861" t="s">
        <v>51</v>
      </c>
      <c r="G861" s="1">
        <v>45443</v>
      </c>
      <c r="H861">
        <v>2</v>
      </c>
      <c r="I861" t="s">
        <v>32</v>
      </c>
      <c r="J861" t="s">
        <v>53</v>
      </c>
      <c r="K861">
        <v>0.2</v>
      </c>
      <c r="L861">
        <v>164.8</v>
      </c>
      <c r="M861">
        <v>824</v>
      </c>
      <c r="N861">
        <v>659.2</v>
      </c>
      <c r="O861" t="s">
        <v>34</v>
      </c>
      <c r="P861">
        <v>2087</v>
      </c>
      <c r="Q861" t="s">
        <v>51</v>
      </c>
      <c r="R861" s="1">
        <v>45443</v>
      </c>
      <c r="S861">
        <v>1</v>
      </c>
      <c r="T861" t="s">
        <v>32</v>
      </c>
      <c r="U861" t="s">
        <v>53</v>
      </c>
      <c r="V861" t="s">
        <v>2963</v>
      </c>
      <c r="W861" t="s">
        <v>1268</v>
      </c>
      <c r="X861">
        <v>4870</v>
      </c>
      <c r="Y861">
        <v>250</v>
      </c>
      <c r="Z861">
        <v>250</v>
      </c>
      <c r="AA861" t="s">
        <v>2964</v>
      </c>
    </row>
    <row r="862" spans="1:27" x14ac:dyDescent="0.2">
      <c r="A862">
        <v>3856</v>
      </c>
      <c r="B862" t="s">
        <v>1121</v>
      </c>
      <c r="C862" t="str">
        <f>_xlfn.CONCAT(Merge[[#This Row],[Customer First Name]]," ",Merge[[#This Row],[Customer Last Name]])</f>
        <v>Sophie Peck</v>
      </c>
      <c r="D862" t="s">
        <v>1122</v>
      </c>
      <c r="E862">
        <v>2088</v>
      </c>
      <c r="F862" t="s">
        <v>31</v>
      </c>
      <c r="G862" s="1">
        <v>45518</v>
      </c>
      <c r="H862">
        <v>1</v>
      </c>
      <c r="I862" t="s">
        <v>32</v>
      </c>
      <c r="J862" t="s">
        <v>47</v>
      </c>
      <c r="K862">
        <v>0.1</v>
      </c>
      <c r="L862">
        <v>130.5</v>
      </c>
      <c r="M862">
        <v>1305</v>
      </c>
      <c r="N862">
        <v>1174.5</v>
      </c>
      <c r="O862" t="s">
        <v>114</v>
      </c>
      <c r="P862">
        <v>2088</v>
      </c>
      <c r="Q862" t="s">
        <v>31</v>
      </c>
      <c r="R862" s="1">
        <v>45518</v>
      </c>
      <c r="S862">
        <v>2</v>
      </c>
      <c r="T862" t="s">
        <v>32</v>
      </c>
      <c r="U862" t="s">
        <v>47</v>
      </c>
      <c r="V862" t="s">
        <v>2965</v>
      </c>
      <c r="W862" t="s">
        <v>1247</v>
      </c>
      <c r="X862">
        <v>3350</v>
      </c>
      <c r="Y862">
        <v>250</v>
      </c>
      <c r="Z862">
        <v>500</v>
      </c>
      <c r="AA862" t="s">
        <v>2966</v>
      </c>
    </row>
    <row r="863" spans="1:27" x14ac:dyDescent="0.2">
      <c r="A863">
        <v>3857</v>
      </c>
      <c r="B863" t="s">
        <v>679</v>
      </c>
      <c r="C863" t="str">
        <f>_xlfn.CONCAT(Merge[[#This Row],[Customer First Name]]," ",Merge[[#This Row],[Customer Last Name]])</f>
        <v>Javier Wilkinson</v>
      </c>
      <c r="D863" t="s">
        <v>1123</v>
      </c>
      <c r="E863">
        <v>2089</v>
      </c>
      <c r="F863" t="s">
        <v>31</v>
      </c>
      <c r="G863" s="1">
        <v>45421</v>
      </c>
      <c r="H863">
        <v>2</v>
      </c>
      <c r="I863" t="s">
        <v>71</v>
      </c>
      <c r="J863" t="s">
        <v>47</v>
      </c>
      <c r="K863">
        <v>0.1</v>
      </c>
      <c r="L863">
        <v>43.6</v>
      </c>
      <c r="M863">
        <v>436</v>
      </c>
      <c r="N863">
        <v>392.4</v>
      </c>
      <c r="O863" t="s">
        <v>114</v>
      </c>
      <c r="P863">
        <v>2089</v>
      </c>
      <c r="Q863" t="s">
        <v>31</v>
      </c>
      <c r="R863" s="1">
        <v>45421</v>
      </c>
      <c r="S863">
        <v>1</v>
      </c>
      <c r="T863" t="s">
        <v>71</v>
      </c>
      <c r="U863" t="s">
        <v>47</v>
      </c>
      <c r="V863" t="s">
        <v>2967</v>
      </c>
      <c r="W863" t="s">
        <v>1275</v>
      </c>
      <c r="X863">
        <v>3000</v>
      </c>
      <c r="Y863">
        <v>250</v>
      </c>
      <c r="Z863">
        <v>250</v>
      </c>
      <c r="AA863" t="s">
        <v>2968</v>
      </c>
    </row>
    <row r="864" spans="1:27" x14ac:dyDescent="0.2">
      <c r="A864">
        <v>3858</v>
      </c>
      <c r="B864" t="s">
        <v>1124</v>
      </c>
      <c r="C864" t="str">
        <f>_xlfn.CONCAT(Merge[[#This Row],[Customer First Name]]," ",Merge[[#This Row],[Customer Last Name]])</f>
        <v>Timothy Welch</v>
      </c>
      <c r="D864" t="s">
        <v>996</v>
      </c>
      <c r="E864">
        <v>2090</v>
      </c>
      <c r="F864" t="s">
        <v>37</v>
      </c>
      <c r="G864" s="1">
        <v>45657</v>
      </c>
      <c r="H864">
        <v>2</v>
      </c>
      <c r="I864" t="s">
        <v>32</v>
      </c>
      <c r="J864" t="s">
        <v>33</v>
      </c>
      <c r="K864">
        <v>0.3</v>
      </c>
      <c r="L864">
        <v>62.4</v>
      </c>
      <c r="M864">
        <v>208</v>
      </c>
      <c r="N864">
        <v>145.6</v>
      </c>
      <c r="O864" t="s">
        <v>54</v>
      </c>
      <c r="P864">
        <v>2090</v>
      </c>
      <c r="Q864" t="s">
        <v>37</v>
      </c>
      <c r="R864" s="1">
        <v>45657</v>
      </c>
      <c r="S864">
        <v>2</v>
      </c>
      <c r="T864" t="s">
        <v>32</v>
      </c>
      <c r="U864" t="s">
        <v>33</v>
      </c>
      <c r="V864" t="s">
        <v>2969</v>
      </c>
      <c r="W864" t="s">
        <v>1259</v>
      </c>
      <c r="X864">
        <v>6160</v>
      </c>
      <c r="Y864">
        <v>800</v>
      </c>
      <c r="Z864">
        <v>1600</v>
      </c>
      <c r="AA864" t="s">
        <v>2970</v>
      </c>
    </row>
    <row r="865" spans="1:27" x14ac:dyDescent="0.2">
      <c r="A865">
        <v>3860</v>
      </c>
      <c r="B865" t="s">
        <v>1125</v>
      </c>
      <c r="C865" t="str">
        <f>_xlfn.CONCAT(Merge[[#This Row],[Customer First Name]]," ",Merge[[#This Row],[Customer Last Name]])</f>
        <v>Bentley Moran</v>
      </c>
      <c r="D865" t="s">
        <v>172</v>
      </c>
      <c r="E865">
        <v>2091</v>
      </c>
      <c r="F865" t="s">
        <v>76</v>
      </c>
      <c r="G865" s="1">
        <v>45324</v>
      </c>
      <c r="H865">
        <v>2</v>
      </c>
      <c r="I865" t="s">
        <v>71</v>
      </c>
      <c r="J865" t="s">
        <v>39</v>
      </c>
      <c r="K865">
        <v>0.25</v>
      </c>
      <c r="L865">
        <v>272.75</v>
      </c>
      <c r="M865">
        <v>1091</v>
      </c>
      <c r="N865">
        <v>818.25</v>
      </c>
      <c r="O865" t="s">
        <v>34</v>
      </c>
      <c r="P865">
        <v>2091</v>
      </c>
      <c r="Q865" t="s">
        <v>76</v>
      </c>
      <c r="R865" s="1">
        <v>45324</v>
      </c>
      <c r="S865">
        <v>2</v>
      </c>
      <c r="T865" t="s">
        <v>71</v>
      </c>
      <c r="U865" t="s">
        <v>39</v>
      </c>
      <c r="V865" t="s">
        <v>2973</v>
      </c>
      <c r="W865" t="s">
        <v>1241</v>
      </c>
      <c r="X865">
        <v>2600</v>
      </c>
      <c r="Y865">
        <v>1200</v>
      </c>
      <c r="Z865">
        <v>2400</v>
      </c>
      <c r="AA865" t="s">
        <v>2974</v>
      </c>
    </row>
    <row r="866" spans="1:27" x14ac:dyDescent="0.2">
      <c r="A866">
        <v>3861</v>
      </c>
      <c r="B866" t="s">
        <v>1126</v>
      </c>
      <c r="C866" t="str">
        <f>_xlfn.CONCAT(Merge[[#This Row],[Customer First Name]]," ",Merge[[#This Row],[Customer Last Name]])</f>
        <v>Octavia Mayo</v>
      </c>
      <c r="D866" t="s">
        <v>1127</v>
      </c>
      <c r="E866">
        <v>2092</v>
      </c>
      <c r="F866" t="s">
        <v>31</v>
      </c>
      <c r="G866" s="1">
        <v>45312</v>
      </c>
      <c r="H866">
        <v>3</v>
      </c>
      <c r="I866" t="s">
        <v>32</v>
      </c>
      <c r="J866" t="s">
        <v>39</v>
      </c>
      <c r="K866">
        <v>0.1</v>
      </c>
      <c r="L866">
        <v>159.30000000000001</v>
      </c>
      <c r="M866">
        <v>1593</v>
      </c>
      <c r="N866">
        <v>1433.7</v>
      </c>
      <c r="O866" t="s">
        <v>48</v>
      </c>
      <c r="P866">
        <v>2092</v>
      </c>
      <c r="Q866" t="s">
        <v>31</v>
      </c>
      <c r="R866" s="1">
        <v>45312</v>
      </c>
      <c r="S866">
        <v>2</v>
      </c>
      <c r="T866" t="s">
        <v>32</v>
      </c>
      <c r="U866" t="s">
        <v>39</v>
      </c>
      <c r="V866" t="s">
        <v>2975</v>
      </c>
      <c r="W866" t="s">
        <v>1241</v>
      </c>
      <c r="X866">
        <v>2600</v>
      </c>
      <c r="Y866">
        <v>250</v>
      </c>
      <c r="Z866">
        <v>500</v>
      </c>
      <c r="AA866" t="s">
        <v>2976</v>
      </c>
    </row>
    <row r="867" spans="1:27" x14ac:dyDescent="0.2">
      <c r="A867">
        <v>3862</v>
      </c>
      <c r="B867" t="s">
        <v>1128</v>
      </c>
      <c r="C867" t="str">
        <f>_xlfn.CONCAT(Merge[[#This Row],[Customer First Name]]," ",Merge[[#This Row],[Customer Last Name]])</f>
        <v>Gael Cortéz</v>
      </c>
      <c r="D867" t="s">
        <v>541</v>
      </c>
      <c r="E867">
        <v>2093</v>
      </c>
      <c r="F867" t="s">
        <v>51</v>
      </c>
      <c r="G867" s="1">
        <v>45606</v>
      </c>
      <c r="H867">
        <v>3</v>
      </c>
      <c r="I867" t="s">
        <v>32</v>
      </c>
      <c r="J867" t="s">
        <v>57</v>
      </c>
      <c r="K867">
        <v>0.2</v>
      </c>
      <c r="L867">
        <v>64.600000000000009</v>
      </c>
      <c r="M867">
        <v>323</v>
      </c>
      <c r="N867">
        <v>258.39999999999998</v>
      </c>
      <c r="O867" t="s">
        <v>48</v>
      </c>
      <c r="P867">
        <v>2093</v>
      </c>
      <c r="Q867" t="s">
        <v>51</v>
      </c>
      <c r="R867" s="1">
        <v>45606</v>
      </c>
      <c r="S867">
        <v>2</v>
      </c>
      <c r="T867" t="s">
        <v>32</v>
      </c>
      <c r="U867" t="s">
        <v>57</v>
      </c>
      <c r="V867" t="s">
        <v>2977</v>
      </c>
      <c r="W867" t="s">
        <v>1095</v>
      </c>
      <c r="X867">
        <v>5000</v>
      </c>
      <c r="Y867">
        <v>250</v>
      </c>
      <c r="Z867">
        <v>500</v>
      </c>
      <c r="AA867" t="s">
        <v>2978</v>
      </c>
    </row>
    <row r="868" spans="1:27" x14ac:dyDescent="0.2">
      <c r="A868">
        <v>3863</v>
      </c>
      <c r="B868" t="s">
        <v>325</v>
      </c>
      <c r="C868" t="str">
        <f>_xlfn.CONCAT(Merge[[#This Row],[Customer First Name]]," ",Merge[[#This Row],[Customer Last Name]])</f>
        <v>Catalina Solis</v>
      </c>
      <c r="D868" t="s">
        <v>918</v>
      </c>
      <c r="E868">
        <v>2094</v>
      </c>
      <c r="F868" t="s">
        <v>42</v>
      </c>
      <c r="G868" s="1">
        <v>45646</v>
      </c>
      <c r="H868">
        <v>2</v>
      </c>
      <c r="I868" t="s">
        <v>32</v>
      </c>
      <c r="J868" t="s">
        <v>57</v>
      </c>
      <c r="K868">
        <v>0.25</v>
      </c>
      <c r="L868">
        <v>339.5</v>
      </c>
      <c r="M868">
        <v>1358</v>
      </c>
      <c r="N868">
        <v>1018.5</v>
      </c>
      <c r="O868" t="s">
        <v>48</v>
      </c>
      <c r="P868">
        <v>2094</v>
      </c>
      <c r="Q868" t="s">
        <v>42</v>
      </c>
      <c r="R868" s="1">
        <v>45646</v>
      </c>
      <c r="S868">
        <v>1</v>
      </c>
      <c r="T868" t="s">
        <v>32</v>
      </c>
      <c r="U868" t="s">
        <v>57</v>
      </c>
      <c r="V868" t="s">
        <v>2979</v>
      </c>
      <c r="W868" t="s">
        <v>1253</v>
      </c>
      <c r="X868">
        <v>5290</v>
      </c>
      <c r="Y868">
        <v>300</v>
      </c>
      <c r="Z868">
        <v>300</v>
      </c>
      <c r="AA868" t="s">
        <v>2980</v>
      </c>
    </row>
    <row r="869" spans="1:27" x14ac:dyDescent="0.2">
      <c r="A869">
        <v>3864</v>
      </c>
      <c r="B869" t="s">
        <v>1129</v>
      </c>
      <c r="C869" t="str">
        <f>_xlfn.CONCAT(Merge[[#This Row],[Customer First Name]]," ",Merge[[#This Row],[Customer Last Name]])</f>
        <v>Dahlia Bravo</v>
      </c>
      <c r="D869" t="s">
        <v>605</v>
      </c>
      <c r="E869">
        <v>2095</v>
      </c>
      <c r="F869" t="s">
        <v>31</v>
      </c>
      <c r="G869" s="1">
        <v>45455</v>
      </c>
      <c r="H869">
        <v>3</v>
      </c>
      <c r="I869" t="s">
        <v>32</v>
      </c>
      <c r="J869" t="s">
        <v>39</v>
      </c>
      <c r="K869">
        <v>0.1</v>
      </c>
      <c r="L869">
        <v>147.80000000000001</v>
      </c>
      <c r="M869">
        <v>1478</v>
      </c>
      <c r="N869">
        <v>1330.2</v>
      </c>
      <c r="O869" t="s">
        <v>54</v>
      </c>
      <c r="P869">
        <v>2095</v>
      </c>
      <c r="Q869" t="s">
        <v>31</v>
      </c>
      <c r="R869" s="1">
        <v>45455</v>
      </c>
      <c r="S869">
        <v>2</v>
      </c>
      <c r="T869" t="s">
        <v>32</v>
      </c>
      <c r="U869" t="s">
        <v>39</v>
      </c>
      <c r="V869" t="s">
        <v>2981</v>
      </c>
      <c r="W869" t="s">
        <v>1241</v>
      </c>
      <c r="X869">
        <v>2600</v>
      </c>
      <c r="Y869">
        <v>250</v>
      </c>
      <c r="Z869">
        <v>500</v>
      </c>
      <c r="AA869" t="s">
        <v>2982</v>
      </c>
    </row>
    <row r="870" spans="1:27" x14ac:dyDescent="0.2">
      <c r="A870">
        <v>3865</v>
      </c>
      <c r="B870" t="s">
        <v>634</v>
      </c>
      <c r="C870" t="str">
        <f>_xlfn.CONCAT(Merge[[#This Row],[Customer First Name]]," ",Merge[[#This Row],[Customer Last Name]])</f>
        <v>Finley Bernal</v>
      </c>
      <c r="D870" t="s">
        <v>323</v>
      </c>
      <c r="E870">
        <v>2096</v>
      </c>
      <c r="F870" t="s">
        <v>31</v>
      </c>
      <c r="G870" s="1">
        <v>45620</v>
      </c>
      <c r="H870">
        <v>3</v>
      </c>
      <c r="I870" t="s">
        <v>32</v>
      </c>
      <c r="J870" t="s">
        <v>64</v>
      </c>
      <c r="K870">
        <v>0.1</v>
      </c>
      <c r="L870">
        <v>30.6</v>
      </c>
      <c r="M870">
        <v>306</v>
      </c>
      <c r="N870">
        <v>275.39999999999998</v>
      </c>
      <c r="O870" t="s">
        <v>44</v>
      </c>
      <c r="P870">
        <v>2096</v>
      </c>
      <c r="Q870" t="s">
        <v>31</v>
      </c>
      <c r="R870" s="1">
        <v>45620</v>
      </c>
      <c r="S870">
        <v>1</v>
      </c>
      <c r="T870" t="s">
        <v>32</v>
      </c>
      <c r="U870" t="s">
        <v>64</v>
      </c>
      <c r="V870" t="s">
        <v>2983</v>
      </c>
      <c r="W870" t="s">
        <v>1265</v>
      </c>
      <c r="X870">
        <v>7000</v>
      </c>
      <c r="Y870">
        <v>250</v>
      </c>
      <c r="Z870">
        <v>250</v>
      </c>
      <c r="AA870" t="s">
        <v>2984</v>
      </c>
    </row>
    <row r="871" spans="1:27" x14ac:dyDescent="0.2">
      <c r="A871">
        <v>3866</v>
      </c>
      <c r="B871" t="s">
        <v>86</v>
      </c>
      <c r="C871" t="str">
        <f>_xlfn.CONCAT(Merge[[#This Row],[Customer First Name]]," ",Merge[[#This Row],[Customer Last Name]])</f>
        <v>Nash Klein</v>
      </c>
      <c r="D871" t="s">
        <v>547</v>
      </c>
      <c r="E871">
        <v>2097</v>
      </c>
      <c r="F871" t="s">
        <v>42</v>
      </c>
      <c r="G871" s="1">
        <v>45586</v>
      </c>
      <c r="H871">
        <v>3</v>
      </c>
      <c r="I871" t="s">
        <v>71</v>
      </c>
      <c r="J871" t="s">
        <v>64</v>
      </c>
      <c r="K871">
        <v>0.25</v>
      </c>
      <c r="L871">
        <v>204.5</v>
      </c>
      <c r="M871">
        <v>818</v>
      </c>
      <c r="N871">
        <v>613.5</v>
      </c>
      <c r="O871" t="s">
        <v>34</v>
      </c>
      <c r="P871">
        <v>2097</v>
      </c>
      <c r="Q871" t="s">
        <v>42</v>
      </c>
      <c r="R871" s="1">
        <v>45586</v>
      </c>
      <c r="S871">
        <v>2</v>
      </c>
      <c r="T871" t="s">
        <v>71</v>
      </c>
      <c r="U871" t="s">
        <v>64</v>
      </c>
      <c r="V871" t="s">
        <v>2985</v>
      </c>
      <c r="W871" t="s">
        <v>1262</v>
      </c>
      <c r="X871">
        <v>7250</v>
      </c>
      <c r="Y871">
        <v>300</v>
      </c>
      <c r="Z871">
        <v>600</v>
      </c>
      <c r="AA871" t="s">
        <v>2986</v>
      </c>
    </row>
    <row r="872" spans="1:27" x14ac:dyDescent="0.2">
      <c r="A872">
        <v>3867</v>
      </c>
      <c r="B872" t="s">
        <v>613</v>
      </c>
      <c r="C872" t="str">
        <f>_xlfn.CONCAT(Merge[[#This Row],[Customer First Name]]," ",Merge[[#This Row],[Customer Last Name]])</f>
        <v>Stephanie Norman</v>
      </c>
      <c r="D872" t="s">
        <v>754</v>
      </c>
      <c r="E872">
        <v>2098</v>
      </c>
      <c r="F872" t="s">
        <v>76</v>
      </c>
      <c r="G872" s="1">
        <v>45519</v>
      </c>
      <c r="H872">
        <v>3</v>
      </c>
      <c r="I872" t="s">
        <v>32</v>
      </c>
      <c r="J872" t="s">
        <v>39</v>
      </c>
      <c r="K872">
        <v>0.25</v>
      </c>
      <c r="L872">
        <v>261.25</v>
      </c>
      <c r="M872">
        <v>1045</v>
      </c>
      <c r="N872">
        <v>783.75</v>
      </c>
      <c r="O872" t="s">
        <v>44</v>
      </c>
      <c r="P872">
        <v>2098</v>
      </c>
      <c r="Q872" t="s">
        <v>76</v>
      </c>
      <c r="R872" s="1">
        <v>45519</v>
      </c>
      <c r="S872">
        <v>1</v>
      </c>
      <c r="T872" t="s">
        <v>32</v>
      </c>
      <c r="U872" t="s">
        <v>39</v>
      </c>
      <c r="V872" t="s">
        <v>2987</v>
      </c>
      <c r="W872" t="s">
        <v>1241</v>
      </c>
      <c r="X872">
        <v>2600</v>
      </c>
      <c r="Y872">
        <v>1200</v>
      </c>
      <c r="Z872">
        <v>1200</v>
      </c>
      <c r="AA872" t="s">
        <v>2988</v>
      </c>
    </row>
    <row r="873" spans="1:27" x14ac:dyDescent="0.2">
      <c r="A873">
        <v>3868</v>
      </c>
      <c r="B873" t="s">
        <v>671</v>
      </c>
      <c r="C873" t="str">
        <f>_xlfn.CONCAT(Merge[[#This Row],[Customer First Name]]," ",Merge[[#This Row],[Customer Last Name]])</f>
        <v>Sabrina Cisneros</v>
      </c>
      <c r="D873" t="s">
        <v>1130</v>
      </c>
      <c r="E873">
        <v>2099</v>
      </c>
      <c r="F873" t="s">
        <v>37</v>
      </c>
      <c r="G873" s="1">
        <v>45511</v>
      </c>
      <c r="H873">
        <v>1</v>
      </c>
      <c r="I873" t="s">
        <v>71</v>
      </c>
      <c r="J873" t="s">
        <v>53</v>
      </c>
      <c r="K873">
        <v>0.3</v>
      </c>
      <c r="L873">
        <v>551.69999999999993</v>
      </c>
      <c r="M873">
        <v>1839</v>
      </c>
      <c r="N873">
        <v>1287.3000000000002</v>
      </c>
      <c r="O873" t="s">
        <v>54</v>
      </c>
      <c r="P873">
        <v>2099</v>
      </c>
      <c r="Q873" t="s">
        <v>37</v>
      </c>
      <c r="R873" s="1">
        <v>45511</v>
      </c>
      <c r="S873">
        <v>2</v>
      </c>
      <c r="T873" t="s">
        <v>71</v>
      </c>
      <c r="U873" t="s">
        <v>53</v>
      </c>
      <c r="V873" t="s">
        <v>2989</v>
      </c>
      <c r="W873" t="s">
        <v>1268</v>
      </c>
      <c r="X873">
        <v>4870</v>
      </c>
      <c r="Y873">
        <v>800</v>
      </c>
      <c r="Z873">
        <v>1600</v>
      </c>
      <c r="AA873" t="s">
        <v>2990</v>
      </c>
    </row>
    <row r="874" spans="1:27" x14ac:dyDescent="0.2">
      <c r="A874">
        <v>3869</v>
      </c>
      <c r="B874" t="s">
        <v>694</v>
      </c>
      <c r="C874" t="str">
        <f>_xlfn.CONCAT(Merge[[#This Row],[Customer First Name]]," ",Merge[[#This Row],[Customer Last Name]])</f>
        <v>Laura Serrano</v>
      </c>
      <c r="D874" t="s">
        <v>641</v>
      </c>
      <c r="E874">
        <v>2100</v>
      </c>
      <c r="F874" t="s">
        <v>76</v>
      </c>
      <c r="G874" s="1">
        <v>45293</v>
      </c>
      <c r="H874">
        <v>1</v>
      </c>
      <c r="I874" t="s">
        <v>38</v>
      </c>
      <c r="J874" t="s">
        <v>57</v>
      </c>
      <c r="K874">
        <v>0.25</v>
      </c>
      <c r="L874">
        <v>22.5</v>
      </c>
      <c r="M874">
        <v>90</v>
      </c>
      <c r="N874">
        <v>67.5</v>
      </c>
      <c r="O874" t="s">
        <v>54</v>
      </c>
      <c r="P874">
        <v>2100</v>
      </c>
      <c r="Q874" t="s">
        <v>76</v>
      </c>
      <c r="R874" s="1">
        <v>45293</v>
      </c>
      <c r="S874">
        <v>3</v>
      </c>
      <c r="T874" t="s">
        <v>38</v>
      </c>
      <c r="U874" t="s">
        <v>57</v>
      </c>
      <c r="V874" t="s">
        <v>2991</v>
      </c>
      <c r="W874" t="s">
        <v>1095</v>
      </c>
      <c r="X874">
        <v>5000</v>
      </c>
      <c r="Y874">
        <v>1200</v>
      </c>
      <c r="Z874">
        <v>3600</v>
      </c>
      <c r="AA874" t="s">
        <v>2992</v>
      </c>
    </row>
    <row r="875" spans="1:27" x14ac:dyDescent="0.2">
      <c r="A875">
        <v>3870</v>
      </c>
      <c r="B875" t="s">
        <v>334</v>
      </c>
      <c r="C875" t="str">
        <f>_xlfn.CONCAT(Merge[[#This Row],[Customer First Name]]," ",Merge[[#This Row],[Customer Last Name]])</f>
        <v>Augustus Thornton</v>
      </c>
      <c r="D875" t="s">
        <v>1131</v>
      </c>
      <c r="E875">
        <v>2101</v>
      </c>
      <c r="F875" t="s">
        <v>76</v>
      </c>
      <c r="G875" s="1">
        <v>45419</v>
      </c>
      <c r="H875">
        <v>1</v>
      </c>
      <c r="I875" t="s">
        <v>52</v>
      </c>
      <c r="J875" t="s">
        <v>57</v>
      </c>
      <c r="K875">
        <v>0.25</v>
      </c>
      <c r="L875">
        <v>410</v>
      </c>
      <c r="M875">
        <v>1640</v>
      </c>
      <c r="N875">
        <v>1230</v>
      </c>
      <c r="O875" t="s">
        <v>54</v>
      </c>
      <c r="P875">
        <v>2101</v>
      </c>
      <c r="Q875" t="s">
        <v>76</v>
      </c>
      <c r="R875" s="1">
        <v>45419</v>
      </c>
      <c r="S875">
        <v>1</v>
      </c>
      <c r="T875" t="s">
        <v>52</v>
      </c>
      <c r="U875" t="s">
        <v>57</v>
      </c>
      <c r="V875" t="s">
        <v>2993</v>
      </c>
      <c r="W875" t="s">
        <v>1253</v>
      </c>
      <c r="X875">
        <v>5290</v>
      </c>
      <c r="Y875">
        <v>1200</v>
      </c>
      <c r="Z875">
        <v>1200</v>
      </c>
      <c r="AA875" t="s">
        <v>2994</v>
      </c>
    </row>
    <row r="876" spans="1:27" x14ac:dyDescent="0.2">
      <c r="A876">
        <v>3871</v>
      </c>
      <c r="B876" t="s">
        <v>1132</v>
      </c>
      <c r="C876" t="str">
        <f>_xlfn.CONCAT(Merge[[#This Row],[Customer First Name]]," ",Merge[[#This Row],[Customer Last Name]])</f>
        <v>Russell Burns</v>
      </c>
      <c r="D876" t="s">
        <v>171</v>
      </c>
      <c r="E876">
        <v>2102</v>
      </c>
      <c r="F876" t="s">
        <v>42</v>
      </c>
      <c r="G876" s="1">
        <v>45387</v>
      </c>
      <c r="H876">
        <v>1</v>
      </c>
      <c r="I876" t="s">
        <v>32</v>
      </c>
      <c r="J876" t="s">
        <v>47</v>
      </c>
      <c r="K876">
        <v>0.25</v>
      </c>
      <c r="L876">
        <v>40.25</v>
      </c>
      <c r="M876">
        <v>161</v>
      </c>
      <c r="N876">
        <v>120.75</v>
      </c>
      <c r="O876" t="s">
        <v>54</v>
      </c>
      <c r="P876">
        <v>2102</v>
      </c>
      <c r="Q876" t="s">
        <v>42</v>
      </c>
      <c r="R876" s="1">
        <v>45387</v>
      </c>
      <c r="S876">
        <v>3</v>
      </c>
      <c r="T876" t="s">
        <v>32</v>
      </c>
      <c r="U876" t="s">
        <v>47</v>
      </c>
      <c r="V876" t="s">
        <v>2995</v>
      </c>
      <c r="W876" t="s">
        <v>1247</v>
      </c>
      <c r="X876">
        <v>3350</v>
      </c>
      <c r="Y876">
        <v>300</v>
      </c>
      <c r="Z876">
        <v>900</v>
      </c>
      <c r="AA876" t="s">
        <v>2996</v>
      </c>
    </row>
    <row r="877" spans="1:27" x14ac:dyDescent="0.2">
      <c r="A877">
        <v>3872</v>
      </c>
      <c r="B877" t="s">
        <v>159</v>
      </c>
      <c r="C877" t="str">
        <f>_xlfn.CONCAT(Merge[[#This Row],[Customer First Name]]," ",Merge[[#This Row],[Customer Last Name]])</f>
        <v>Joel Atkins</v>
      </c>
      <c r="D877" t="s">
        <v>1133</v>
      </c>
      <c r="E877">
        <v>2103</v>
      </c>
      <c r="F877" t="s">
        <v>76</v>
      </c>
      <c r="G877" s="1">
        <v>45646</v>
      </c>
      <c r="H877">
        <v>3</v>
      </c>
      <c r="I877" t="s">
        <v>52</v>
      </c>
      <c r="J877" t="s">
        <v>64</v>
      </c>
      <c r="K877">
        <v>0.25</v>
      </c>
      <c r="L877">
        <v>464.75</v>
      </c>
      <c r="M877">
        <v>1859</v>
      </c>
      <c r="N877">
        <v>1394.25</v>
      </c>
      <c r="O877" t="s">
        <v>54</v>
      </c>
      <c r="P877">
        <v>2103</v>
      </c>
      <c r="Q877" t="s">
        <v>76</v>
      </c>
      <c r="R877" s="1">
        <v>45646</v>
      </c>
      <c r="S877">
        <v>1</v>
      </c>
      <c r="T877" t="s">
        <v>52</v>
      </c>
      <c r="U877" t="s">
        <v>64</v>
      </c>
      <c r="V877" t="s">
        <v>2997</v>
      </c>
      <c r="W877" t="s">
        <v>1262</v>
      </c>
      <c r="X877">
        <v>7250</v>
      </c>
      <c r="Y877">
        <v>1200</v>
      </c>
      <c r="Z877">
        <v>1200</v>
      </c>
      <c r="AA877" t="s">
        <v>2998</v>
      </c>
    </row>
    <row r="878" spans="1:27" x14ac:dyDescent="0.2">
      <c r="A878">
        <v>3873</v>
      </c>
      <c r="B878" t="s">
        <v>491</v>
      </c>
      <c r="C878" t="str">
        <f>_xlfn.CONCAT(Merge[[#This Row],[Customer First Name]]," ",Merge[[#This Row],[Customer Last Name]])</f>
        <v>Sutton Williams</v>
      </c>
      <c r="D878" t="s">
        <v>951</v>
      </c>
      <c r="E878">
        <v>2104</v>
      </c>
      <c r="F878" t="s">
        <v>51</v>
      </c>
      <c r="G878" s="1">
        <v>45423</v>
      </c>
      <c r="H878">
        <v>3</v>
      </c>
      <c r="I878" t="s">
        <v>32</v>
      </c>
      <c r="J878" t="s">
        <v>43</v>
      </c>
      <c r="K878">
        <v>0.2</v>
      </c>
      <c r="L878">
        <v>253.4</v>
      </c>
      <c r="M878">
        <v>1267</v>
      </c>
      <c r="N878">
        <v>1013.6</v>
      </c>
      <c r="O878" t="s">
        <v>48</v>
      </c>
      <c r="P878">
        <v>2104</v>
      </c>
      <c r="Q878" t="s">
        <v>51</v>
      </c>
      <c r="R878" s="1">
        <v>45423</v>
      </c>
      <c r="S878">
        <v>1</v>
      </c>
      <c r="T878" t="s">
        <v>32</v>
      </c>
      <c r="U878" t="s">
        <v>43</v>
      </c>
      <c r="V878" t="s">
        <v>2999</v>
      </c>
      <c r="W878" t="s">
        <v>865</v>
      </c>
      <c r="X878">
        <v>2000</v>
      </c>
      <c r="Y878">
        <v>250</v>
      </c>
      <c r="Z878">
        <v>250</v>
      </c>
      <c r="AA878" t="s">
        <v>3000</v>
      </c>
    </row>
    <row r="879" spans="1:27" x14ac:dyDescent="0.2">
      <c r="A879">
        <v>3874</v>
      </c>
      <c r="B879" t="s">
        <v>571</v>
      </c>
      <c r="C879" t="str">
        <f>_xlfn.CONCAT(Merge[[#This Row],[Customer First Name]]," ",Merge[[#This Row],[Customer Last Name]])</f>
        <v>Remington Parra</v>
      </c>
      <c r="D879" t="s">
        <v>1134</v>
      </c>
      <c r="E879">
        <v>2105</v>
      </c>
      <c r="F879" t="s">
        <v>76</v>
      </c>
      <c r="G879" s="1">
        <v>45378</v>
      </c>
      <c r="H879">
        <v>1</v>
      </c>
      <c r="I879" t="s">
        <v>38</v>
      </c>
      <c r="J879" t="s">
        <v>64</v>
      </c>
      <c r="K879">
        <v>0.25</v>
      </c>
      <c r="L879">
        <v>64</v>
      </c>
      <c r="M879">
        <v>256</v>
      </c>
      <c r="N879">
        <v>192</v>
      </c>
      <c r="O879" t="s">
        <v>34</v>
      </c>
      <c r="P879">
        <v>2105</v>
      </c>
      <c r="Q879" t="s">
        <v>76</v>
      </c>
      <c r="R879" s="1">
        <v>45378</v>
      </c>
      <c r="S879">
        <v>3</v>
      </c>
      <c r="T879" t="s">
        <v>38</v>
      </c>
      <c r="U879" t="s">
        <v>64</v>
      </c>
      <c r="V879" t="s">
        <v>3001</v>
      </c>
      <c r="W879" t="s">
        <v>1400</v>
      </c>
      <c r="X879">
        <v>7310</v>
      </c>
      <c r="Y879">
        <v>1200</v>
      </c>
      <c r="Z879">
        <v>3600</v>
      </c>
      <c r="AA879" t="s">
        <v>3002</v>
      </c>
    </row>
    <row r="880" spans="1:27" x14ac:dyDescent="0.2">
      <c r="A880">
        <v>3875</v>
      </c>
      <c r="B880" t="s">
        <v>1135</v>
      </c>
      <c r="C880" t="str">
        <f>_xlfn.CONCAT(Merge[[#This Row],[Customer First Name]]," ",Merge[[#This Row],[Customer Last Name]])</f>
        <v>Isabel Stone</v>
      </c>
      <c r="D880" t="s">
        <v>752</v>
      </c>
      <c r="E880">
        <v>2106</v>
      </c>
      <c r="F880" t="s">
        <v>42</v>
      </c>
      <c r="G880" s="1">
        <v>45590</v>
      </c>
      <c r="H880">
        <v>1</v>
      </c>
      <c r="I880" t="s">
        <v>71</v>
      </c>
      <c r="J880" t="s">
        <v>64</v>
      </c>
      <c r="K880">
        <v>0.25</v>
      </c>
      <c r="L880">
        <v>302</v>
      </c>
      <c r="M880">
        <v>1208</v>
      </c>
      <c r="N880">
        <v>906</v>
      </c>
      <c r="O880" t="s">
        <v>48</v>
      </c>
      <c r="P880">
        <v>2106</v>
      </c>
      <c r="Q880" t="s">
        <v>42</v>
      </c>
      <c r="R880" s="1">
        <v>45590</v>
      </c>
      <c r="S880">
        <v>1</v>
      </c>
      <c r="T880" t="s">
        <v>71</v>
      </c>
      <c r="U880" t="s">
        <v>64</v>
      </c>
      <c r="V880" t="s">
        <v>3003</v>
      </c>
      <c r="W880" t="s">
        <v>1262</v>
      </c>
      <c r="X880">
        <v>7250</v>
      </c>
      <c r="Y880">
        <v>300</v>
      </c>
      <c r="Z880">
        <v>300</v>
      </c>
      <c r="AA880" t="s">
        <v>3004</v>
      </c>
    </row>
    <row r="881" spans="1:27" x14ac:dyDescent="0.2">
      <c r="A881">
        <v>3876</v>
      </c>
      <c r="B881" t="s">
        <v>744</v>
      </c>
      <c r="C881" t="str">
        <f>_xlfn.CONCAT(Merge[[#This Row],[Customer First Name]]," ",Merge[[#This Row],[Customer Last Name]])</f>
        <v>Francesca Best</v>
      </c>
      <c r="D881" t="s">
        <v>1136</v>
      </c>
      <c r="E881">
        <v>2107</v>
      </c>
      <c r="F881" t="s">
        <v>31</v>
      </c>
      <c r="G881" s="1">
        <v>45531</v>
      </c>
      <c r="H881">
        <v>2</v>
      </c>
      <c r="I881" t="s">
        <v>38</v>
      </c>
      <c r="J881" t="s">
        <v>39</v>
      </c>
      <c r="K881">
        <v>0.1</v>
      </c>
      <c r="L881">
        <v>31</v>
      </c>
      <c r="M881">
        <v>310</v>
      </c>
      <c r="N881">
        <v>279</v>
      </c>
      <c r="O881" t="s">
        <v>48</v>
      </c>
      <c r="P881">
        <v>2107</v>
      </c>
      <c r="Q881" t="s">
        <v>31</v>
      </c>
      <c r="R881" s="1">
        <v>45531</v>
      </c>
      <c r="S881">
        <v>3</v>
      </c>
      <c r="T881" t="s">
        <v>38</v>
      </c>
      <c r="U881" t="s">
        <v>39</v>
      </c>
      <c r="V881" t="s">
        <v>3005</v>
      </c>
      <c r="W881" t="s">
        <v>1241</v>
      </c>
      <c r="X881">
        <v>2600</v>
      </c>
      <c r="Y881">
        <v>250</v>
      </c>
      <c r="Z881">
        <v>750</v>
      </c>
      <c r="AA881" t="s">
        <v>3006</v>
      </c>
    </row>
    <row r="882" spans="1:27" x14ac:dyDescent="0.2">
      <c r="A882">
        <v>3877</v>
      </c>
      <c r="B882" t="s">
        <v>1137</v>
      </c>
      <c r="C882" t="str">
        <f>_xlfn.CONCAT(Merge[[#This Row],[Customer First Name]]," ",Merge[[#This Row],[Customer Last Name]])</f>
        <v>Violet Eaton</v>
      </c>
      <c r="D882" t="s">
        <v>1138</v>
      </c>
      <c r="E882">
        <v>2108</v>
      </c>
      <c r="F882" t="s">
        <v>51</v>
      </c>
      <c r="G882" s="1">
        <v>45508</v>
      </c>
      <c r="H882">
        <v>3</v>
      </c>
      <c r="I882" t="s">
        <v>52</v>
      </c>
      <c r="J882" t="s">
        <v>39</v>
      </c>
      <c r="K882">
        <v>0.2</v>
      </c>
      <c r="L882">
        <v>216.60000000000002</v>
      </c>
      <c r="M882">
        <v>1083</v>
      </c>
      <c r="N882">
        <v>866.4</v>
      </c>
      <c r="O882" t="s">
        <v>34</v>
      </c>
      <c r="P882">
        <v>2108</v>
      </c>
      <c r="Q882" t="s">
        <v>51</v>
      </c>
      <c r="R882" s="1">
        <v>45508</v>
      </c>
      <c r="S882">
        <v>3</v>
      </c>
      <c r="T882" t="s">
        <v>52</v>
      </c>
      <c r="U882" t="s">
        <v>39</v>
      </c>
      <c r="V882" t="s">
        <v>3007</v>
      </c>
      <c r="W882" t="s">
        <v>1241</v>
      </c>
      <c r="X882">
        <v>2600</v>
      </c>
      <c r="Y882">
        <v>250</v>
      </c>
      <c r="Z882">
        <v>750</v>
      </c>
      <c r="AA882" t="s">
        <v>3008</v>
      </c>
    </row>
    <row r="883" spans="1:27" x14ac:dyDescent="0.2">
      <c r="A883">
        <v>3878</v>
      </c>
      <c r="B883" t="s">
        <v>357</v>
      </c>
      <c r="C883" t="str">
        <f>_xlfn.CONCAT(Merge[[#This Row],[Customer First Name]]," ",Merge[[#This Row],[Customer Last Name]])</f>
        <v>Journee Martinez</v>
      </c>
      <c r="D883" t="s">
        <v>1139</v>
      </c>
      <c r="E883">
        <v>2109</v>
      </c>
      <c r="F883" t="s">
        <v>92</v>
      </c>
      <c r="G883" s="1">
        <v>45378</v>
      </c>
      <c r="H883">
        <v>1</v>
      </c>
      <c r="I883" t="s">
        <v>32</v>
      </c>
      <c r="J883" t="s">
        <v>39</v>
      </c>
      <c r="K883">
        <v>0.3</v>
      </c>
      <c r="L883">
        <v>121.19999999999999</v>
      </c>
      <c r="M883">
        <v>404</v>
      </c>
      <c r="N883">
        <v>282.8</v>
      </c>
      <c r="O883" t="s">
        <v>114</v>
      </c>
      <c r="P883">
        <v>2109</v>
      </c>
      <c r="Q883" t="s">
        <v>92</v>
      </c>
      <c r="R883" s="1">
        <v>45378</v>
      </c>
      <c r="S883">
        <v>3</v>
      </c>
      <c r="T883" t="s">
        <v>32</v>
      </c>
      <c r="U883" t="s">
        <v>39</v>
      </c>
      <c r="V883" t="s">
        <v>3009</v>
      </c>
      <c r="W883" t="s">
        <v>1241</v>
      </c>
      <c r="X883">
        <v>2600</v>
      </c>
      <c r="Y883">
        <v>600</v>
      </c>
      <c r="Z883">
        <v>1800</v>
      </c>
      <c r="AA883" t="s">
        <v>3010</v>
      </c>
    </row>
    <row r="884" spans="1:27" x14ac:dyDescent="0.2">
      <c r="A884">
        <v>3879</v>
      </c>
      <c r="B884" t="s">
        <v>510</v>
      </c>
      <c r="C884" t="str">
        <f>_xlfn.CONCAT(Merge[[#This Row],[Customer First Name]]," ",Merge[[#This Row],[Customer Last Name]])</f>
        <v>Marley Carson</v>
      </c>
      <c r="D884" t="s">
        <v>443</v>
      </c>
      <c r="E884">
        <v>2110</v>
      </c>
      <c r="F884" t="s">
        <v>76</v>
      </c>
      <c r="G884" s="1">
        <v>45370</v>
      </c>
      <c r="H884">
        <v>1</v>
      </c>
      <c r="I884" t="s">
        <v>52</v>
      </c>
      <c r="J884" t="s">
        <v>33</v>
      </c>
      <c r="K884">
        <v>0.25</v>
      </c>
      <c r="L884">
        <v>414.5</v>
      </c>
      <c r="M884">
        <v>1658</v>
      </c>
      <c r="N884">
        <v>1243.5</v>
      </c>
      <c r="O884" t="s">
        <v>54</v>
      </c>
      <c r="P884">
        <v>2110</v>
      </c>
      <c r="Q884" t="s">
        <v>76</v>
      </c>
      <c r="R884" s="1">
        <v>45370</v>
      </c>
      <c r="S884">
        <v>1</v>
      </c>
      <c r="T884" t="s">
        <v>52</v>
      </c>
      <c r="U884" t="s">
        <v>33</v>
      </c>
      <c r="V884" t="s">
        <v>3011</v>
      </c>
      <c r="W884" t="s">
        <v>1302</v>
      </c>
      <c r="X884">
        <v>6000</v>
      </c>
      <c r="Y884">
        <v>1200</v>
      </c>
      <c r="Z884">
        <v>1200</v>
      </c>
      <c r="AA884" t="s">
        <v>3012</v>
      </c>
    </row>
    <row r="885" spans="1:27" x14ac:dyDescent="0.2">
      <c r="A885">
        <v>3880</v>
      </c>
      <c r="B885" t="s">
        <v>1140</v>
      </c>
      <c r="C885" t="str">
        <f>_xlfn.CONCAT(Merge[[#This Row],[Customer First Name]]," ",Merge[[#This Row],[Customer Last Name]])</f>
        <v>Valentina Hill</v>
      </c>
      <c r="D885" t="s">
        <v>1141</v>
      </c>
      <c r="E885">
        <v>2111</v>
      </c>
      <c r="F885" t="s">
        <v>76</v>
      </c>
      <c r="G885" s="1">
        <v>45444</v>
      </c>
      <c r="H885">
        <v>2</v>
      </c>
      <c r="I885" t="s">
        <v>71</v>
      </c>
      <c r="J885" t="s">
        <v>53</v>
      </c>
      <c r="K885">
        <v>0.25</v>
      </c>
      <c r="L885">
        <v>181</v>
      </c>
      <c r="M885">
        <v>724</v>
      </c>
      <c r="N885">
        <v>543</v>
      </c>
      <c r="O885" t="s">
        <v>54</v>
      </c>
      <c r="P885">
        <v>2111</v>
      </c>
      <c r="Q885" t="s">
        <v>76</v>
      </c>
      <c r="R885" s="1">
        <v>45444</v>
      </c>
      <c r="S885">
        <v>3</v>
      </c>
      <c r="T885" t="s">
        <v>71</v>
      </c>
      <c r="U885" t="s">
        <v>53</v>
      </c>
      <c r="V885" t="s">
        <v>3013</v>
      </c>
      <c r="W885" t="s">
        <v>1250</v>
      </c>
      <c r="X885">
        <v>4217</v>
      </c>
      <c r="Y885">
        <v>1200</v>
      </c>
      <c r="Z885">
        <v>3600</v>
      </c>
      <c r="AA885" t="s">
        <v>3014</v>
      </c>
    </row>
    <row r="886" spans="1:27" x14ac:dyDescent="0.2">
      <c r="A886">
        <v>3881</v>
      </c>
      <c r="B886" t="s">
        <v>1142</v>
      </c>
      <c r="C886" t="str">
        <f>_xlfn.CONCAT(Merge[[#This Row],[Customer First Name]]," ",Merge[[#This Row],[Customer Last Name]])</f>
        <v>Jett Gordon</v>
      </c>
      <c r="D886" t="s">
        <v>1143</v>
      </c>
      <c r="E886">
        <v>2112</v>
      </c>
      <c r="F886" t="s">
        <v>51</v>
      </c>
      <c r="G886" s="1">
        <v>45485</v>
      </c>
      <c r="H886">
        <v>2</v>
      </c>
      <c r="I886" t="s">
        <v>52</v>
      </c>
      <c r="J886" t="s">
        <v>33</v>
      </c>
      <c r="K886">
        <v>0.2</v>
      </c>
      <c r="L886">
        <v>210.8</v>
      </c>
      <c r="M886">
        <v>1054</v>
      </c>
      <c r="N886">
        <v>843.2</v>
      </c>
      <c r="O886" t="s">
        <v>114</v>
      </c>
      <c r="P886">
        <v>2112</v>
      </c>
      <c r="Q886" t="s">
        <v>51</v>
      </c>
      <c r="R886" s="1">
        <v>45485</v>
      </c>
      <c r="S886">
        <v>2</v>
      </c>
      <c r="T886" t="s">
        <v>52</v>
      </c>
      <c r="U886" t="s">
        <v>33</v>
      </c>
      <c r="V886" t="s">
        <v>3015</v>
      </c>
      <c r="W886" t="s">
        <v>1302</v>
      </c>
      <c r="X886">
        <v>6000</v>
      </c>
      <c r="Y886">
        <v>250</v>
      </c>
      <c r="Z886">
        <v>500</v>
      </c>
      <c r="AA886" t="s">
        <v>3016</v>
      </c>
    </row>
    <row r="887" spans="1:27" x14ac:dyDescent="0.2">
      <c r="A887">
        <v>3882</v>
      </c>
      <c r="B887" t="s">
        <v>1144</v>
      </c>
      <c r="C887" t="str">
        <f>_xlfn.CONCAT(Merge[[#This Row],[Customer First Name]]," ",Merge[[#This Row],[Customer Last Name]])</f>
        <v>Adalyn Hobbs</v>
      </c>
      <c r="D887" t="s">
        <v>1145</v>
      </c>
      <c r="E887">
        <v>2113</v>
      </c>
      <c r="F887" t="s">
        <v>76</v>
      </c>
      <c r="G887" s="1">
        <v>45599</v>
      </c>
      <c r="H887">
        <v>1</v>
      </c>
      <c r="I887" t="s">
        <v>52</v>
      </c>
      <c r="J887" t="s">
        <v>47</v>
      </c>
      <c r="K887">
        <v>0.25</v>
      </c>
      <c r="L887">
        <v>65.5</v>
      </c>
      <c r="M887">
        <v>262</v>
      </c>
      <c r="N887">
        <v>196.5</v>
      </c>
      <c r="O887" t="s">
        <v>44</v>
      </c>
      <c r="P887">
        <v>2113</v>
      </c>
      <c r="Q887" t="s">
        <v>76</v>
      </c>
      <c r="R887" s="1">
        <v>45599</v>
      </c>
      <c r="S887">
        <v>1</v>
      </c>
      <c r="T887" t="s">
        <v>52</v>
      </c>
      <c r="U887" t="s">
        <v>47</v>
      </c>
      <c r="V887" t="s">
        <v>3017</v>
      </c>
      <c r="W887" t="s">
        <v>1275</v>
      </c>
      <c r="X887">
        <v>3000</v>
      </c>
      <c r="Y887">
        <v>1200</v>
      </c>
      <c r="Z887">
        <v>1200</v>
      </c>
      <c r="AA887" t="s">
        <v>3018</v>
      </c>
    </row>
    <row r="888" spans="1:27" x14ac:dyDescent="0.2">
      <c r="A888">
        <v>3883</v>
      </c>
      <c r="B888" t="s">
        <v>736</v>
      </c>
      <c r="C888" t="str">
        <f>_xlfn.CONCAT(Merge[[#This Row],[Customer First Name]]," ",Merge[[#This Row],[Customer Last Name]])</f>
        <v>Joshua Nguyen</v>
      </c>
      <c r="D888" t="s">
        <v>262</v>
      </c>
      <c r="E888">
        <v>2114</v>
      </c>
      <c r="F888" t="s">
        <v>31</v>
      </c>
      <c r="G888" s="1">
        <v>45442</v>
      </c>
      <c r="H888">
        <v>2</v>
      </c>
      <c r="I888" t="s">
        <v>32</v>
      </c>
      <c r="J888" t="s">
        <v>43</v>
      </c>
      <c r="K888">
        <v>0.1</v>
      </c>
      <c r="L888">
        <v>37.300000000000004</v>
      </c>
      <c r="M888">
        <v>373</v>
      </c>
      <c r="N888">
        <v>335.7</v>
      </c>
      <c r="O888" t="s">
        <v>54</v>
      </c>
      <c r="P888">
        <v>2114</v>
      </c>
      <c r="Q888" t="s">
        <v>31</v>
      </c>
      <c r="R888" s="1">
        <v>45442</v>
      </c>
      <c r="S888">
        <v>1</v>
      </c>
      <c r="T888" t="s">
        <v>32</v>
      </c>
      <c r="U888" t="s">
        <v>43</v>
      </c>
      <c r="V888" t="s">
        <v>3019</v>
      </c>
      <c r="W888" t="s">
        <v>1244</v>
      </c>
      <c r="X888">
        <v>2300</v>
      </c>
      <c r="Y888">
        <v>250</v>
      </c>
      <c r="Z888">
        <v>250</v>
      </c>
      <c r="AA888" t="s">
        <v>3020</v>
      </c>
    </row>
    <row r="889" spans="1:27" x14ac:dyDescent="0.2">
      <c r="A889">
        <v>3884</v>
      </c>
      <c r="B889" t="s">
        <v>502</v>
      </c>
      <c r="C889" t="str">
        <f>_xlfn.CONCAT(Merge[[#This Row],[Customer First Name]]," ",Merge[[#This Row],[Customer Last Name]])</f>
        <v>Martin Kaur</v>
      </c>
      <c r="D889" t="s">
        <v>935</v>
      </c>
      <c r="E889">
        <v>2115</v>
      </c>
      <c r="F889" t="s">
        <v>42</v>
      </c>
      <c r="G889" s="1">
        <v>45614</v>
      </c>
      <c r="H889">
        <v>3</v>
      </c>
      <c r="I889" t="s">
        <v>32</v>
      </c>
      <c r="J889" t="s">
        <v>53</v>
      </c>
      <c r="K889">
        <v>0.25</v>
      </c>
      <c r="L889">
        <v>276</v>
      </c>
      <c r="M889">
        <v>1104</v>
      </c>
      <c r="N889">
        <v>828</v>
      </c>
      <c r="O889" t="s">
        <v>34</v>
      </c>
      <c r="P889">
        <v>2115</v>
      </c>
      <c r="Q889" t="s">
        <v>42</v>
      </c>
      <c r="R889" s="1">
        <v>45614</v>
      </c>
      <c r="S889">
        <v>2</v>
      </c>
      <c r="T889" t="s">
        <v>32</v>
      </c>
      <c r="U889" t="s">
        <v>53</v>
      </c>
      <c r="V889" t="s">
        <v>3021</v>
      </c>
      <c r="W889" t="s">
        <v>1305</v>
      </c>
      <c r="X889">
        <v>4000</v>
      </c>
      <c r="Y889">
        <v>300</v>
      </c>
      <c r="Z889">
        <v>600</v>
      </c>
      <c r="AA889" t="s">
        <v>3022</v>
      </c>
    </row>
    <row r="890" spans="1:27" x14ac:dyDescent="0.2">
      <c r="A890">
        <v>3885</v>
      </c>
      <c r="B890" t="s">
        <v>1146</v>
      </c>
      <c r="C890" t="str">
        <f>_xlfn.CONCAT(Merge[[#This Row],[Customer First Name]]," ",Merge[[#This Row],[Customer Last Name]])</f>
        <v>Jose Atkinson</v>
      </c>
      <c r="D890" t="s">
        <v>1147</v>
      </c>
      <c r="E890">
        <v>2116</v>
      </c>
      <c r="F890" t="s">
        <v>76</v>
      </c>
      <c r="G890" s="1">
        <v>45530</v>
      </c>
      <c r="H890">
        <v>1</v>
      </c>
      <c r="I890" t="s">
        <v>32</v>
      </c>
      <c r="J890" t="s">
        <v>43</v>
      </c>
      <c r="K890">
        <v>0.25</v>
      </c>
      <c r="L890">
        <v>320.75</v>
      </c>
      <c r="M890">
        <v>1283</v>
      </c>
      <c r="N890">
        <v>962.25</v>
      </c>
      <c r="O890" t="s">
        <v>44</v>
      </c>
      <c r="P890">
        <v>2116</v>
      </c>
      <c r="Q890" t="s">
        <v>76</v>
      </c>
      <c r="R890" s="1">
        <v>45530</v>
      </c>
      <c r="S890">
        <v>2</v>
      </c>
      <c r="T890" t="s">
        <v>32</v>
      </c>
      <c r="U890" t="s">
        <v>43</v>
      </c>
      <c r="V890" t="s">
        <v>3023</v>
      </c>
      <c r="W890" t="s">
        <v>865</v>
      </c>
      <c r="X890">
        <v>2000</v>
      </c>
      <c r="Y890">
        <v>1200</v>
      </c>
      <c r="Z890">
        <v>2400</v>
      </c>
      <c r="AA890" t="s">
        <v>3024</v>
      </c>
    </row>
    <row r="891" spans="1:27" x14ac:dyDescent="0.2">
      <c r="A891">
        <v>3886</v>
      </c>
      <c r="B891" t="s">
        <v>1148</v>
      </c>
      <c r="C891" t="str">
        <f>_xlfn.CONCAT(Merge[[#This Row],[Customer First Name]]," ",Merge[[#This Row],[Customer Last Name]])</f>
        <v>Kendrick Knapp</v>
      </c>
      <c r="D891" t="s">
        <v>1052</v>
      </c>
      <c r="E891">
        <v>2117</v>
      </c>
      <c r="F891" t="s">
        <v>31</v>
      </c>
      <c r="G891" s="1">
        <v>45640</v>
      </c>
      <c r="H891">
        <v>3</v>
      </c>
      <c r="I891" t="s">
        <v>71</v>
      </c>
      <c r="J891" t="s">
        <v>47</v>
      </c>
      <c r="K891">
        <v>0.1</v>
      </c>
      <c r="L891">
        <v>153.9</v>
      </c>
      <c r="M891">
        <v>1539</v>
      </c>
      <c r="N891">
        <v>1385.1</v>
      </c>
      <c r="O891" t="s">
        <v>48</v>
      </c>
      <c r="P891">
        <v>2117</v>
      </c>
      <c r="Q891" t="s">
        <v>31</v>
      </c>
      <c r="R891" s="1">
        <v>45640</v>
      </c>
      <c r="S891">
        <v>2</v>
      </c>
      <c r="T891" t="s">
        <v>71</v>
      </c>
      <c r="U891" t="s">
        <v>47</v>
      </c>
      <c r="V891" t="s">
        <v>3025</v>
      </c>
      <c r="W891" t="s">
        <v>1275</v>
      </c>
      <c r="X891">
        <v>3000</v>
      </c>
      <c r="Y891">
        <v>250</v>
      </c>
      <c r="Z891">
        <v>500</v>
      </c>
      <c r="AA891" t="s">
        <v>3026</v>
      </c>
    </row>
    <row r="892" spans="1:27" x14ac:dyDescent="0.2">
      <c r="A892">
        <v>3887</v>
      </c>
      <c r="B892" t="s">
        <v>1149</v>
      </c>
      <c r="C892" t="str">
        <f>_xlfn.CONCAT(Merge[[#This Row],[Customer First Name]]," ",Merge[[#This Row],[Customer Last Name]])</f>
        <v>Haven Ventura</v>
      </c>
      <c r="D892" t="s">
        <v>778</v>
      </c>
      <c r="E892">
        <v>2118</v>
      </c>
      <c r="F892" t="s">
        <v>92</v>
      </c>
      <c r="G892" s="1">
        <v>45398</v>
      </c>
      <c r="H892">
        <v>2</v>
      </c>
      <c r="I892" t="s">
        <v>38</v>
      </c>
      <c r="J892" t="s">
        <v>64</v>
      </c>
      <c r="K892">
        <v>0.3</v>
      </c>
      <c r="L892">
        <v>403.5</v>
      </c>
      <c r="M892">
        <v>1345</v>
      </c>
      <c r="N892">
        <v>941.5</v>
      </c>
      <c r="O892" t="s">
        <v>44</v>
      </c>
      <c r="P892">
        <v>2118</v>
      </c>
      <c r="Q892" t="s">
        <v>92</v>
      </c>
      <c r="R892" s="1">
        <v>45398</v>
      </c>
      <c r="S892">
        <v>1</v>
      </c>
      <c r="T892" t="s">
        <v>38</v>
      </c>
      <c r="U892" t="s">
        <v>64</v>
      </c>
      <c r="V892" t="s">
        <v>3027</v>
      </c>
      <c r="W892" t="s">
        <v>1400</v>
      </c>
      <c r="X892">
        <v>7310</v>
      </c>
      <c r="Y892">
        <v>600</v>
      </c>
      <c r="Z892">
        <v>600</v>
      </c>
      <c r="AA892" t="s">
        <v>3028</v>
      </c>
    </row>
    <row r="893" spans="1:27" x14ac:dyDescent="0.2">
      <c r="A893">
        <v>3888</v>
      </c>
      <c r="B893" t="s">
        <v>665</v>
      </c>
      <c r="C893" t="str">
        <f>_xlfn.CONCAT(Merge[[#This Row],[Customer First Name]]," ",Merge[[#This Row],[Customer Last Name]])</f>
        <v>Raphael Combs</v>
      </c>
      <c r="D893" t="s">
        <v>234</v>
      </c>
      <c r="E893">
        <v>2119</v>
      </c>
      <c r="F893" t="s">
        <v>51</v>
      </c>
      <c r="G893" s="1">
        <v>45313</v>
      </c>
      <c r="H893">
        <v>1</v>
      </c>
      <c r="I893" t="s">
        <v>38</v>
      </c>
      <c r="J893" t="s">
        <v>43</v>
      </c>
      <c r="K893">
        <v>0.2</v>
      </c>
      <c r="L893">
        <v>95.800000000000011</v>
      </c>
      <c r="M893">
        <v>479</v>
      </c>
      <c r="N893">
        <v>383.2</v>
      </c>
      <c r="O893" t="s">
        <v>114</v>
      </c>
      <c r="P893">
        <v>2119</v>
      </c>
      <c r="Q893" t="s">
        <v>51</v>
      </c>
      <c r="R893" s="1">
        <v>45313</v>
      </c>
      <c r="S893">
        <v>3</v>
      </c>
      <c r="T893" t="s">
        <v>38</v>
      </c>
      <c r="U893" t="s">
        <v>43</v>
      </c>
      <c r="V893" t="s">
        <v>3029</v>
      </c>
      <c r="W893" t="s">
        <v>1244</v>
      </c>
      <c r="X893">
        <v>2300</v>
      </c>
      <c r="Y893">
        <v>250</v>
      </c>
      <c r="Z893">
        <v>750</v>
      </c>
      <c r="AA893" t="s">
        <v>3030</v>
      </c>
    </row>
    <row r="894" spans="1:27" x14ac:dyDescent="0.2">
      <c r="A894">
        <v>3889</v>
      </c>
      <c r="B894" t="s">
        <v>213</v>
      </c>
      <c r="C894" t="str">
        <f>_xlfn.CONCAT(Merge[[#This Row],[Customer First Name]]," ",Merge[[#This Row],[Customer Last Name]])</f>
        <v>Zoey Truong</v>
      </c>
      <c r="D894" t="s">
        <v>1150</v>
      </c>
      <c r="E894">
        <v>2120</v>
      </c>
      <c r="F894" t="s">
        <v>76</v>
      </c>
      <c r="G894" s="1">
        <v>45589</v>
      </c>
      <c r="H894">
        <v>1</v>
      </c>
      <c r="I894" t="s">
        <v>52</v>
      </c>
      <c r="J894" t="s">
        <v>43</v>
      </c>
      <c r="K894">
        <v>0.25</v>
      </c>
      <c r="L894">
        <v>373.25</v>
      </c>
      <c r="M894">
        <v>1493</v>
      </c>
      <c r="N894">
        <v>1119.75</v>
      </c>
      <c r="O894" t="s">
        <v>44</v>
      </c>
      <c r="P894">
        <v>2120</v>
      </c>
      <c r="Q894" t="s">
        <v>76</v>
      </c>
      <c r="R894" s="1">
        <v>45589</v>
      </c>
      <c r="S894">
        <v>2</v>
      </c>
      <c r="T894" t="s">
        <v>52</v>
      </c>
      <c r="U894" t="s">
        <v>43</v>
      </c>
      <c r="V894" t="s">
        <v>3031</v>
      </c>
      <c r="W894" t="s">
        <v>1299</v>
      </c>
      <c r="X894">
        <v>2500</v>
      </c>
      <c r="Y894">
        <v>1200</v>
      </c>
      <c r="Z894">
        <v>2400</v>
      </c>
      <c r="AA894" t="s">
        <v>3032</v>
      </c>
    </row>
    <row r="895" spans="1:27" x14ac:dyDescent="0.2">
      <c r="A895">
        <v>3890</v>
      </c>
      <c r="B895" t="s">
        <v>86</v>
      </c>
      <c r="C895" t="str">
        <f>_xlfn.CONCAT(Merge[[#This Row],[Customer First Name]]," ",Merge[[#This Row],[Customer Last Name]])</f>
        <v>Brody Klein</v>
      </c>
      <c r="D895" t="s">
        <v>702</v>
      </c>
      <c r="E895">
        <v>2121</v>
      </c>
      <c r="F895" t="s">
        <v>42</v>
      </c>
      <c r="G895" s="1">
        <v>45334</v>
      </c>
      <c r="H895">
        <v>2</v>
      </c>
      <c r="I895" t="s">
        <v>32</v>
      </c>
      <c r="J895" t="s">
        <v>64</v>
      </c>
      <c r="K895">
        <v>0.25</v>
      </c>
      <c r="L895">
        <v>259.5</v>
      </c>
      <c r="M895">
        <v>1038</v>
      </c>
      <c r="N895">
        <v>778.5</v>
      </c>
      <c r="O895" t="s">
        <v>54</v>
      </c>
      <c r="P895">
        <v>2121</v>
      </c>
      <c r="Q895" t="s">
        <v>42</v>
      </c>
      <c r="R895" s="1">
        <v>45334</v>
      </c>
      <c r="S895">
        <v>2</v>
      </c>
      <c r="T895" t="s">
        <v>32</v>
      </c>
      <c r="U895" t="s">
        <v>64</v>
      </c>
      <c r="V895" t="s">
        <v>3033</v>
      </c>
      <c r="W895" t="s">
        <v>1262</v>
      </c>
      <c r="X895">
        <v>7250</v>
      </c>
      <c r="Y895">
        <v>300</v>
      </c>
      <c r="Z895">
        <v>600</v>
      </c>
      <c r="AA895" t="s">
        <v>3034</v>
      </c>
    </row>
    <row r="896" spans="1:27" x14ac:dyDescent="0.2">
      <c r="A896">
        <v>3891</v>
      </c>
      <c r="B896" t="s">
        <v>1151</v>
      </c>
      <c r="C896" t="str">
        <f>_xlfn.CONCAT(Merge[[#This Row],[Customer First Name]]," ",Merge[[#This Row],[Customer Last Name]])</f>
        <v>Willow House</v>
      </c>
      <c r="D896" t="s">
        <v>1152</v>
      </c>
      <c r="E896">
        <v>2122</v>
      </c>
      <c r="F896" t="s">
        <v>42</v>
      </c>
      <c r="G896" s="1">
        <v>45506</v>
      </c>
      <c r="H896">
        <v>1</v>
      </c>
      <c r="I896" t="s">
        <v>32</v>
      </c>
      <c r="J896" t="s">
        <v>47</v>
      </c>
      <c r="K896">
        <v>0.25</v>
      </c>
      <c r="L896">
        <v>243.25</v>
      </c>
      <c r="M896">
        <v>973</v>
      </c>
      <c r="N896">
        <v>729.75</v>
      </c>
      <c r="O896" t="s">
        <v>54</v>
      </c>
      <c r="P896">
        <v>2122</v>
      </c>
      <c r="Q896" t="s">
        <v>42</v>
      </c>
      <c r="R896" s="1">
        <v>45506</v>
      </c>
      <c r="S896">
        <v>3</v>
      </c>
      <c r="T896" t="s">
        <v>32</v>
      </c>
      <c r="U896" t="s">
        <v>47</v>
      </c>
      <c r="V896" t="s">
        <v>3035</v>
      </c>
      <c r="W896" t="s">
        <v>1275</v>
      </c>
      <c r="X896">
        <v>3000</v>
      </c>
      <c r="Y896">
        <v>300</v>
      </c>
      <c r="Z896">
        <v>900</v>
      </c>
      <c r="AA896" t="s">
        <v>3036</v>
      </c>
    </row>
    <row r="897" spans="1:27" x14ac:dyDescent="0.2">
      <c r="A897">
        <v>3892</v>
      </c>
      <c r="B897" t="s">
        <v>1153</v>
      </c>
      <c r="C897" t="str">
        <f>_xlfn.CONCAT(Merge[[#This Row],[Customer First Name]]," ",Merge[[#This Row],[Customer Last Name]])</f>
        <v>Zayden Vargas</v>
      </c>
      <c r="D897" t="s">
        <v>1154</v>
      </c>
      <c r="E897">
        <v>2123</v>
      </c>
      <c r="F897" t="s">
        <v>76</v>
      </c>
      <c r="G897" s="1">
        <v>45639</v>
      </c>
      <c r="H897">
        <v>1</v>
      </c>
      <c r="I897" t="s">
        <v>32</v>
      </c>
      <c r="J897" t="s">
        <v>39</v>
      </c>
      <c r="K897">
        <v>0.25</v>
      </c>
      <c r="L897">
        <v>79.75</v>
      </c>
      <c r="M897">
        <v>319</v>
      </c>
      <c r="N897">
        <v>239.25</v>
      </c>
      <c r="O897" t="s">
        <v>54</v>
      </c>
      <c r="P897">
        <v>2123</v>
      </c>
      <c r="Q897" t="s">
        <v>76</v>
      </c>
      <c r="R897" s="1">
        <v>45639</v>
      </c>
      <c r="S897">
        <v>3</v>
      </c>
      <c r="T897" t="s">
        <v>32</v>
      </c>
      <c r="U897" t="s">
        <v>39</v>
      </c>
      <c r="V897" t="s">
        <v>3037</v>
      </c>
      <c r="W897" t="s">
        <v>1241</v>
      </c>
      <c r="X897">
        <v>2600</v>
      </c>
      <c r="Y897">
        <v>1200</v>
      </c>
      <c r="Z897">
        <v>3600</v>
      </c>
      <c r="AA897" t="s">
        <v>3038</v>
      </c>
    </row>
    <row r="898" spans="1:27" x14ac:dyDescent="0.2">
      <c r="A898">
        <v>3893</v>
      </c>
      <c r="B898" t="s">
        <v>172</v>
      </c>
      <c r="C898" t="str">
        <f>_xlfn.CONCAT(Merge[[#This Row],[Customer First Name]]," ",Merge[[#This Row],[Customer Last Name]])</f>
        <v>Royalty Bentley</v>
      </c>
      <c r="D898" t="s">
        <v>1155</v>
      </c>
      <c r="E898">
        <v>2124</v>
      </c>
      <c r="F898" t="s">
        <v>31</v>
      </c>
      <c r="G898" s="1">
        <v>45533</v>
      </c>
      <c r="H898">
        <v>2</v>
      </c>
      <c r="I898" t="s">
        <v>52</v>
      </c>
      <c r="J898" t="s">
        <v>33</v>
      </c>
      <c r="K898">
        <v>0.1</v>
      </c>
      <c r="L898">
        <v>143.6</v>
      </c>
      <c r="M898">
        <v>1436</v>
      </c>
      <c r="N898">
        <v>1292.4000000000001</v>
      </c>
      <c r="O898" t="s">
        <v>34</v>
      </c>
      <c r="P898">
        <v>2124</v>
      </c>
      <c r="Q898" t="s">
        <v>31</v>
      </c>
      <c r="R898" s="1">
        <v>45533</v>
      </c>
      <c r="S898">
        <v>2</v>
      </c>
      <c r="T898" t="s">
        <v>52</v>
      </c>
      <c r="U898" t="s">
        <v>33</v>
      </c>
      <c r="V898" t="s">
        <v>3039</v>
      </c>
      <c r="W898" t="s">
        <v>1259</v>
      </c>
      <c r="X898">
        <v>6160</v>
      </c>
      <c r="Y898">
        <v>250</v>
      </c>
      <c r="Z898">
        <v>500</v>
      </c>
      <c r="AA898" t="s">
        <v>3040</v>
      </c>
    </row>
    <row r="899" spans="1:27" x14ac:dyDescent="0.2">
      <c r="A899">
        <v>3894</v>
      </c>
      <c r="B899" t="s">
        <v>1156</v>
      </c>
      <c r="C899" t="str">
        <f>_xlfn.CONCAT(Merge[[#This Row],[Customer First Name]]," ",Merge[[#This Row],[Customer Last Name]])</f>
        <v>Adrian Mcdonald</v>
      </c>
      <c r="D899" t="s">
        <v>1157</v>
      </c>
      <c r="E899">
        <v>2125</v>
      </c>
      <c r="F899" t="s">
        <v>51</v>
      </c>
      <c r="G899" s="1">
        <v>45619</v>
      </c>
      <c r="H899">
        <v>3</v>
      </c>
      <c r="I899" t="s">
        <v>32</v>
      </c>
      <c r="J899" t="s">
        <v>43</v>
      </c>
      <c r="K899">
        <v>0.2</v>
      </c>
      <c r="L899">
        <v>290</v>
      </c>
      <c r="M899">
        <v>1450</v>
      </c>
      <c r="N899">
        <v>1160</v>
      </c>
      <c r="O899" t="s">
        <v>44</v>
      </c>
      <c r="P899">
        <v>2125</v>
      </c>
      <c r="Q899" t="s">
        <v>51</v>
      </c>
      <c r="R899" s="1">
        <v>45619</v>
      </c>
      <c r="S899">
        <v>1</v>
      </c>
      <c r="T899" t="s">
        <v>32</v>
      </c>
      <c r="U899" t="s">
        <v>43</v>
      </c>
      <c r="V899" t="s">
        <v>3041</v>
      </c>
      <c r="W899" t="s">
        <v>1299</v>
      </c>
      <c r="X899">
        <v>2500</v>
      </c>
      <c r="Y899">
        <v>250</v>
      </c>
      <c r="Z899">
        <v>250</v>
      </c>
      <c r="AA899" t="s">
        <v>3042</v>
      </c>
    </row>
    <row r="900" spans="1:27" x14ac:dyDescent="0.2">
      <c r="A900">
        <v>3895</v>
      </c>
      <c r="B900" t="s">
        <v>1158</v>
      </c>
      <c r="C900" t="str">
        <f>_xlfn.CONCAT(Merge[[#This Row],[Customer First Name]]," ",Merge[[#This Row],[Customer Last Name]])</f>
        <v>Quinn Leblanc</v>
      </c>
      <c r="D900" t="s">
        <v>984</v>
      </c>
      <c r="E900">
        <v>2126</v>
      </c>
      <c r="F900" t="s">
        <v>51</v>
      </c>
      <c r="G900" s="1">
        <v>45323</v>
      </c>
      <c r="H900">
        <v>3</v>
      </c>
      <c r="I900" t="s">
        <v>71</v>
      </c>
      <c r="J900" t="s">
        <v>43</v>
      </c>
      <c r="K900">
        <v>0.2</v>
      </c>
      <c r="L900">
        <v>333.40000000000003</v>
      </c>
      <c r="M900">
        <v>1667</v>
      </c>
      <c r="N900">
        <v>1333.6</v>
      </c>
      <c r="O900" t="s">
        <v>44</v>
      </c>
      <c r="P900">
        <v>2126</v>
      </c>
      <c r="Q900" t="s">
        <v>51</v>
      </c>
      <c r="R900" s="1">
        <v>45323</v>
      </c>
      <c r="S900">
        <v>3</v>
      </c>
      <c r="T900" t="s">
        <v>71</v>
      </c>
      <c r="U900" t="s">
        <v>43</v>
      </c>
      <c r="V900" t="s">
        <v>3043</v>
      </c>
      <c r="W900" t="s">
        <v>1299</v>
      </c>
      <c r="X900">
        <v>2500</v>
      </c>
      <c r="Y900">
        <v>250</v>
      </c>
      <c r="Z900">
        <v>750</v>
      </c>
      <c r="AA900" t="s">
        <v>3044</v>
      </c>
    </row>
    <row r="901" spans="1:27" x14ac:dyDescent="0.2">
      <c r="A901">
        <v>3896</v>
      </c>
      <c r="B901" t="s">
        <v>951</v>
      </c>
      <c r="C901" t="str">
        <f>_xlfn.CONCAT(Merge[[#This Row],[Customer First Name]]," ",Merge[[#This Row],[Customer Last Name]])</f>
        <v>Zayn Sutton</v>
      </c>
      <c r="D901" t="s">
        <v>378</v>
      </c>
      <c r="E901">
        <v>2127</v>
      </c>
      <c r="F901" t="s">
        <v>42</v>
      </c>
      <c r="G901" s="1">
        <v>45448</v>
      </c>
      <c r="H901">
        <v>1</v>
      </c>
      <c r="I901" t="s">
        <v>38</v>
      </c>
      <c r="J901" t="s">
        <v>81</v>
      </c>
      <c r="K901">
        <v>0.25</v>
      </c>
      <c r="L901">
        <v>270</v>
      </c>
      <c r="M901">
        <v>1080</v>
      </c>
      <c r="N901">
        <v>810</v>
      </c>
      <c r="O901" t="s">
        <v>54</v>
      </c>
      <c r="P901">
        <v>2127</v>
      </c>
      <c r="Q901" t="s">
        <v>42</v>
      </c>
      <c r="R901" s="1">
        <v>45448</v>
      </c>
      <c r="S901">
        <v>3</v>
      </c>
      <c r="T901" t="s">
        <v>38</v>
      </c>
      <c r="U901" t="s">
        <v>81</v>
      </c>
      <c r="V901" t="s">
        <v>3045</v>
      </c>
      <c r="W901" t="s">
        <v>1361</v>
      </c>
      <c r="X901">
        <v>870</v>
      </c>
      <c r="Y901">
        <v>300</v>
      </c>
      <c r="Z901">
        <v>900</v>
      </c>
      <c r="AA901" t="s">
        <v>3046</v>
      </c>
    </row>
    <row r="902" spans="1:27" x14ac:dyDescent="0.2">
      <c r="A902">
        <v>3897</v>
      </c>
      <c r="B902" t="s">
        <v>1159</v>
      </c>
      <c r="C902" t="str">
        <f>_xlfn.CONCAT(Merge[[#This Row],[Customer First Name]]," ",Merge[[#This Row],[Customer Last Name]])</f>
        <v>Marley Bishop</v>
      </c>
      <c r="D902" t="s">
        <v>443</v>
      </c>
      <c r="E902">
        <v>2128</v>
      </c>
      <c r="F902" t="s">
        <v>37</v>
      </c>
      <c r="G902" s="1">
        <v>45610</v>
      </c>
      <c r="H902">
        <v>3</v>
      </c>
      <c r="I902" t="s">
        <v>32</v>
      </c>
      <c r="J902" t="s">
        <v>57</v>
      </c>
      <c r="K902">
        <v>0.3</v>
      </c>
      <c r="L902">
        <v>196.2</v>
      </c>
      <c r="M902">
        <v>654</v>
      </c>
      <c r="N902">
        <v>457.8</v>
      </c>
      <c r="O902" t="s">
        <v>34</v>
      </c>
      <c r="P902">
        <v>2128</v>
      </c>
      <c r="Q902" t="s">
        <v>37</v>
      </c>
      <c r="R902" s="1">
        <v>45610</v>
      </c>
      <c r="S902">
        <v>1</v>
      </c>
      <c r="T902" t="s">
        <v>32</v>
      </c>
      <c r="U902" t="s">
        <v>57</v>
      </c>
      <c r="V902" t="s">
        <v>3047</v>
      </c>
      <c r="W902" t="s">
        <v>1253</v>
      </c>
      <c r="X902">
        <v>5290</v>
      </c>
      <c r="Y902">
        <v>800</v>
      </c>
      <c r="Z902">
        <v>800</v>
      </c>
      <c r="AA902" t="s">
        <v>3048</v>
      </c>
    </row>
    <row r="903" spans="1:27" x14ac:dyDescent="0.2">
      <c r="A903">
        <v>3898</v>
      </c>
      <c r="B903" t="s">
        <v>72</v>
      </c>
      <c r="C903" t="str">
        <f>_xlfn.CONCAT(Merge[[#This Row],[Customer First Name]]," ",Merge[[#This Row],[Customer Last Name]])</f>
        <v>Aspen Holt</v>
      </c>
      <c r="D903" t="s">
        <v>124</v>
      </c>
      <c r="E903">
        <v>2129</v>
      </c>
      <c r="F903" t="s">
        <v>51</v>
      </c>
      <c r="G903" s="1">
        <v>45644</v>
      </c>
      <c r="H903">
        <v>1</v>
      </c>
      <c r="I903" t="s">
        <v>32</v>
      </c>
      <c r="J903" t="s">
        <v>57</v>
      </c>
      <c r="K903">
        <v>0.2</v>
      </c>
      <c r="L903">
        <v>224.8</v>
      </c>
      <c r="M903">
        <v>1124</v>
      </c>
      <c r="N903">
        <v>899.2</v>
      </c>
      <c r="O903" t="s">
        <v>48</v>
      </c>
      <c r="P903">
        <v>2129</v>
      </c>
      <c r="Q903" t="s">
        <v>51</v>
      </c>
      <c r="R903" s="1">
        <v>45644</v>
      </c>
      <c r="S903">
        <v>3</v>
      </c>
      <c r="T903" t="s">
        <v>32</v>
      </c>
      <c r="U903" t="s">
        <v>57</v>
      </c>
      <c r="V903" t="s">
        <v>3049</v>
      </c>
      <c r="W903" t="s">
        <v>1350</v>
      </c>
      <c r="X903">
        <v>5600</v>
      </c>
      <c r="Y903">
        <v>250</v>
      </c>
      <c r="Z903">
        <v>750</v>
      </c>
      <c r="AA903" t="s">
        <v>3050</v>
      </c>
    </row>
    <row r="904" spans="1:27" x14ac:dyDescent="0.2">
      <c r="A904">
        <v>3899</v>
      </c>
      <c r="B904" t="s">
        <v>1160</v>
      </c>
      <c r="C904" t="str">
        <f>_xlfn.CONCAT(Merge[[#This Row],[Customer First Name]]," ",Merge[[#This Row],[Customer Last Name]])</f>
        <v>Stevie Mack</v>
      </c>
      <c r="D904" t="s">
        <v>451</v>
      </c>
      <c r="E904">
        <v>2130</v>
      </c>
      <c r="F904" t="s">
        <v>76</v>
      </c>
      <c r="G904" s="1">
        <v>45465</v>
      </c>
      <c r="H904">
        <v>1</v>
      </c>
      <c r="I904" t="s">
        <v>71</v>
      </c>
      <c r="J904" t="s">
        <v>53</v>
      </c>
      <c r="K904">
        <v>0.25</v>
      </c>
      <c r="L904">
        <v>300</v>
      </c>
      <c r="M904">
        <v>1200</v>
      </c>
      <c r="N904">
        <v>900</v>
      </c>
      <c r="O904" t="s">
        <v>114</v>
      </c>
      <c r="P904">
        <v>2130</v>
      </c>
      <c r="Q904" t="s">
        <v>76</v>
      </c>
      <c r="R904" s="1">
        <v>45465</v>
      </c>
      <c r="S904">
        <v>3</v>
      </c>
      <c r="T904" t="s">
        <v>71</v>
      </c>
      <c r="U904" t="s">
        <v>53</v>
      </c>
      <c r="V904" t="s">
        <v>3051</v>
      </c>
      <c r="W904" t="s">
        <v>1268</v>
      </c>
      <c r="X904">
        <v>4870</v>
      </c>
      <c r="Y904">
        <v>1200</v>
      </c>
      <c r="Z904">
        <v>3600</v>
      </c>
      <c r="AA904" t="s">
        <v>3052</v>
      </c>
    </row>
    <row r="905" spans="1:27" x14ac:dyDescent="0.2">
      <c r="A905">
        <v>3900</v>
      </c>
      <c r="B905" t="s">
        <v>1161</v>
      </c>
      <c r="C905" t="str">
        <f>_xlfn.CONCAT(Merge[[#This Row],[Customer First Name]]," ",Merge[[#This Row],[Customer Last Name]])</f>
        <v>Remi Chung</v>
      </c>
      <c r="D905" t="s">
        <v>1162</v>
      </c>
      <c r="E905">
        <v>2131</v>
      </c>
      <c r="F905" t="s">
        <v>37</v>
      </c>
      <c r="G905" s="1">
        <v>45294</v>
      </c>
      <c r="H905">
        <v>3</v>
      </c>
      <c r="I905" t="s">
        <v>52</v>
      </c>
      <c r="J905" t="s">
        <v>53</v>
      </c>
      <c r="K905">
        <v>0.3</v>
      </c>
      <c r="L905">
        <v>3.3</v>
      </c>
      <c r="M905">
        <v>11</v>
      </c>
      <c r="N905">
        <v>7.7</v>
      </c>
      <c r="O905" t="s">
        <v>54</v>
      </c>
      <c r="P905">
        <v>2131</v>
      </c>
      <c r="Q905" t="s">
        <v>37</v>
      </c>
      <c r="R905" s="1">
        <v>45294</v>
      </c>
      <c r="S905">
        <v>2</v>
      </c>
      <c r="T905" t="s">
        <v>52</v>
      </c>
      <c r="U905" t="s">
        <v>53</v>
      </c>
      <c r="V905" t="s">
        <v>3053</v>
      </c>
      <c r="W905" t="s">
        <v>1250</v>
      </c>
      <c r="X905">
        <v>4217</v>
      </c>
      <c r="Y905">
        <v>800</v>
      </c>
      <c r="Z905">
        <v>1600</v>
      </c>
      <c r="AA905" t="s">
        <v>3054</v>
      </c>
    </row>
    <row r="906" spans="1:27" x14ac:dyDescent="0.2">
      <c r="A906">
        <v>3901</v>
      </c>
      <c r="B906" t="s">
        <v>1163</v>
      </c>
      <c r="C906" t="str">
        <f>_xlfn.CONCAT(Merge[[#This Row],[Customer First Name]]," ",Merge[[#This Row],[Customer Last Name]])</f>
        <v>Eleanor Nixon</v>
      </c>
      <c r="D906" t="s">
        <v>1164</v>
      </c>
      <c r="E906">
        <v>2132</v>
      </c>
      <c r="F906" t="s">
        <v>76</v>
      </c>
      <c r="G906" s="1">
        <v>45322</v>
      </c>
      <c r="H906">
        <v>3</v>
      </c>
      <c r="I906" t="s">
        <v>32</v>
      </c>
      <c r="J906" t="s">
        <v>39</v>
      </c>
      <c r="K906">
        <v>0.25</v>
      </c>
      <c r="L906">
        <v>95</v>
      </c>
      <c r="M906">
        <v>380</v>
      </c>
      <c r="N906">
        <v>285</v>
      </c>
      <c r="O906" t="s">
        <v>54</v>
      </c>
      <c r="P906">
        <v>2132</v>
      </c>
      <c r="Q906" t="s">
        <v>76</v>
      </c>
      <c r="R906" s="1">
        <v>45322</v>
      </c>
      <c r="S906">
        <v>1</v>
      </c>
      <c r="T906" t="s">
        <v>32</v>
      </c>
      <c r="U906" t="s">
        <v>39</v>
      </c>
      <c r="V906" t="s">
        <v>3055</v>
      </c>
      <c r="W906" t="s">
        <v>1241</v>
      </c>
      <c r="X906">
        <v>2600</v>
      </c>
      <c r="Y906">
        <v>1200</v>
      </c>
      <c r="Z906">
        <v>1200</v>
      </c>
      <c r="AA906" t="s">
        <v>3056</v>
      </c>
    </row>
    <row r="907" spans="1:27" x14ac:dyDescent="0.2">
      <c r="A907">
        <v>3902</v>
      </c>
      <c r="B907" t="s">
        <v>839</v>
      </c>
      <c r="C907" t="str">
        <f>_xlfn.CONCAT(Merge[[#This Row],[Customer First Name]]," ",Merge[[#This Row],[Customer Last Name]])</f>
        <v>Sawyer Travis</v>
      </c>
      <c r="D907" t="s">
        <v>107</v>
      </c>
      <c r="E907">
        <v>2133</v>
      </c>
      <c r="F907" t="s">
        <v>76</v>
      </c>
      <c r="G907" s="1">
        <v>45563</v>
      </c>
      <c r="H907">
        <v>3</v>
      </c>
      <c r="I907" t="s">
        <v>32</v>
      </c>
      <c r="J907" t="s">
        <v>81</v>
      </c>
      <c r="K907">
        <v>0.25</v>
      </c>
      <c r="L907">
        <v>458</v>
      </c>
      <c r="M907">
        <v>1832</v>
      </c>
      <c r="N907">
        <v>1374</v>
      </c>
      <c r="O907" t="s">
        <v>34</v>
      </c>
      <c r="P907">
        <v>2133</v>
      </c>
      <c r="Q907" t="s">
        <v>76</v>
      </c>
      <c r="R907" s="1">
        <v>45563</v>
      </c>
      <c r="S907">
        <v>2</v>
      </c>
      <c r="T907" t="s">
        <v>32</v>
      </c>
      <c r="U907" t="s">
        <v>81</v>
      </c>
      <c r="V907" t="s">
        <v>3057</v>
      </c>
      <c r="W907" t="s">
        <v>1361</v>
      </c>
      <c r="X907">
        <v>870</v>
      </c>
      <c r="Y907">
        <v>1200</v>
      </c>
      <c r="Z907">
        <v>2400</v>
      </c>
      <c r="AA907" t="s">
        <v>3058</v>
      </c>
    </row>
    <row r="908" spans="1:27" x14ac:dyDescent="0.2">
      <c r="A908">
        <v>3903</v>
      </c>
      <c r="B908" t="s">
        <v>1165</v>
      </c>
      <c r="C908" t="str">
        <f>_xlfn.CONCAT(Merge[[#This Row],[Customer First Name]]," ",Merge[[#This Row],[Customer Last Name]])</f>
        <v>Aubree Calhoun</v>
      </c>
      <c r="D908" t="s">
        <v>1166</v>
      </c>
      <c r="E908">
        <v>2134</v>
      </c>
      <c r="F908" t="s">
        <v>42</v>
      </c>
      <c r="G908" s="1">
        <v>45460</v>
      </c>
      <c r="H908">
        <v>1</v>
      </c>
      <c r="I908" t="s">
        <v>52</v>
      </c>
      <c r="J908" t="s">
        <v>33</v>
      </c>
      <c r="K908">
        <v>0.25</v>
      </c>
      <c r="L908">
        <v>49.5</v>
      </c>
      <c r="M908">
        <v>198</v>
      </c>
      <c r="N908">
        <v>148.5</v>
      </c>
      <c r="O908" t="s">
        <v>44</v>
      </c>
      <c r="P908">
        <v>2134</v>
      </c>
      <c r="Q908" t="s">
        <v>42</v>
      </c>
      <c r="R908" s="1">
        <v>45460</v>
      </c>
      <c r="S908">
        <v>2</v>
      </c>
      <c r="T908" t="s">
        <v>52</v>
      </c>
      <c r="U908" t="s">
        <v>33</v>
      </c>
      <c r="V908" t="s">
        <v>3059</v>
      </c>
      <c r="W908" t="s">
        <v>1302</v>
      </c>
      <c r="X908">
        <v>6000</v>
      </c>
      <c r="Y908">
        <v>300</v>
      </c>
      <c r="Z908">
        <v>600</v>
      </c>
      <c r="AA908" t="s">
        <v>3060</v>
      </c>
    </row>
    <row r="909" spans="1:27" x14ac:dyDescent="0.2">
      <c r="A909">
        <v>3904</v>
      </c>
      <c r="B909" t="s">
        <v>96</v>
      </c>
      <c r="C909" t="str">
        <f>_xlfn.CONCAT(Merge[[#This Row],[Customer First Name]]," ",Merge[[#This Row],[Customer Last Name]])</f>
        <v>Collin Frank</v>
      </c>
      <c r="D909" t="s">
        <v>102</v>
      </c>
      <c r="E909">
        <v>2135</v>
      </c>
      <c r="F909" t="s">
        <v>31</v>
      </c>
      <c r="G909" s="1">
        <v>45642</v>
      </c>
      <c r="H909">
        <v>3</v>
      </c>
      <c r="I909" t="s">
        <v>52</v>
      </c>
      <c r="J909" t="s">
        <v>43</v>
      </c>
      <c r="K909">
        <v>0.1</v>
      </c>
      <c r="L909">
        <v>159.60000000000002</v>
      </c>
      <c r="M909">
        <v>1596</v>
      </c>
      <c r="N909">
        <v>1436.4</v>
      </c>
      <c r="O909" t="s">
        <v>54</v>
      </c>
      <c r="P909">
        <v>2135</v>
      </c>
      <c r="Q909" t="s">
        <v>31</v>
      </c>
      <c r="R909" s="1">
        <v>45642</v>
      </c>
      <c r="S909">
        <v>3</v>
      </c>
      <c r="T909" t="s">
        <v>52</v>
      </c>
      <c r="U909" t="s">
        <v>43</v>
      </c>
      <c r="V909" t="s">
        <v>3061</v>
      </c>
      <c r="W909" t="s">
        <v>1244</v>
      </c>
      <c r="X909">
        <v>2300</v>
      </c>
      <c r="Y909">
        <v>250</v>
      </c>
      <c r="Z909">
        <v>750</v>
      </c>
      <c r="AA909" t="s">
        <v>3062</v>
      </c>
    </row>
    <row r="910" spans="1:27" x14ac:dyDescent="0.2">
      <c r="A910">
        <v>3905</v>
      </c>
      <c r="B910" t="s">
        <v>1167</v>
      </c>
      <c r="C910" t="str">
        <f>_xlfn.CONCAT(Merge[[#This Row],[Customer First Name]]," ",Merge[[#This Row],[Customer Last Name]])</f>
        <v>Kira Cabrera</v>
      </c>
      <c r="D910" t="s">
        <v>1168</v>
      </c>
      <c r="E910">
        <v>2136</v>
      </c>
      <c r="F910" t="s">
        <v>76</v>
      </c>
      <c r="G910" s="1">
        <v>45523</v>
      </c>
      <c r="H910">
        <v>1</v>
      </c>
      <c r="I910" t="s">
        <v>32</v>
      </c>
      <c r="J910" t="s">
        <v>47</v>
      </c>
      <c r="K910">
        <v>0.25</v>
      </c>
      <c r="L910">
        <v>323.25</v>
      </c>
      <c r="M910">
        <v>1293</v>
      </c>
      <c r="N910">
        <v>969.75</v>
      </c>
      <c r="O910" t="s">
        <v>44</v>
      </c>
      <c r="P910">
        <v>2136</v>
      </c>
      <c r="Q910" t="s">
        <v>76</v>
      </c>
      <c r="R910" s="1">
        <v>45523</v>
      </c>
      <c r="S910">
        <v>2</v>
      </c>
      <c r="T910" t="s">
        <v>32</v>
      </c>
      <c r="U910" t="s">
        <v>47</v>
      </c>
      <c r="V910" t="s">
        <v>3063</v>
      </c>
      <c r="W910" t="s">
        <v>1247</v>
      </c>
      <c r="X910">
        <v>3350</v>
      </c>
      <c r="Y910">
        <v>1200</v>
      </c>
      <c r="Z910">
        <v>2400</v>
      </c>
      <c r="AA910" t="s">
        <v>3064</v>
      </c>
    </row>
    <row r="911" spans="1:27" x14ac:dyDescent="0.2">
      <c r="A911">
        <v>3906</v>
      </c>
      <c r="B911" t="s">
        <v>1169</v>
      </c>
      <c r="C911" t="str">
        <f>_xlfn.CONCAT(Merge[[#This Row],[Customer First Name]]," ",Merge[[#This Row],[Customer Last Name]])</f>
        <v>Alayna Reynolds</v>
      </c>
      <c r="D911" t="s">
        <v>826</v>
      </c>
      <c r="E911">
        <v>2137</v>
      </c>
      <c r="F911" t="s">
        <v>51</v>
      </c>
      <c r="G911" s="1">
        <v>45578</v>
      </c>
      <c r="H911">
        <v>3</v>
      </c>
      <c r="I911" t="s">
        <v>32</v>
      </c>
      <c r="J911" t="s">
        <v>53</v>
      </c>
      <c r="K911">
        <v>0.2</v>
      </c>
      <c r="L911">
        <v>201</v>
      </c>
      <c r="M911">
        <v>1005</v>
      </c>
      <c r="N911">
        <v>804</v>
      </c>
      <c r="O911" t="s">
        <v>34</v>
      </c>
      <c r="P911">
        <v>2137</v>
      </c>
      <c r="Q911" t="s">
        <v>51</v>
      </c>
      <c r="R911" s="1">
        <v>45578</v>
      </c>
      <c r="S911">
        <v>3</v>
      </c>
      <c r="T911" t="s">
        <v>32</v>
      </c>
      <c r="U911" t="s">
        <v>53</v>
      </c>
      <c r="V911" t="s">
        <v>3065</v>
      </c>
      <c r="W911" t="s">
        <v>1250</v>
      </c>
      <c r="X911">
        <v>4217</v>
      </c>
      <c r="Y911">
        <v>250</v>
      </c>
      <c r="Z911">
        <v>750</v>
      </c>
      <c r="AA911" t="s">
        <v>3066</v>
      </c>
    </row>
    <row r="912" spans="1:27" x14ac:dyDescent="0.2">
      <c r="A912">
        <v>3907</v>
      </c>
      <c r="B912" t="s">
        <v>334</v>
      </c>
      <c r="C912" t="str">
        <f>_xlfn.CONCAT(Merge[[#This Row],[Customer First Name]]," ",Merge[[#This Row],[Customer Last Name]])</f>
        <v>Luis Thornton</v>
      </c>
      <c r="D912" t="s">
        <v>1170</v>
      </c>
      <c r="E912">
        <v>2138</v>
      </c>
      <c r="F912" t="s">
        <v>42</v>
      </c>
      <c r="G912" s="1">
        <v>45613</v>
      </c>
      <c r="H912">
        <v>2</v>
      </c>
      <c r="I912" t="s">
        <v>38</v>
      </c>
      <c r="J912" t="s">
        <v>81</v>
      </c>
      <c r="K912">
        <v>0.25</v>
      </c>
      <c r="L912">
        <v>396.25</v>
      </c>
      <c r="M912">
        <v>1585</v>
      </c>
      <c r="N912">
        <v>1188.75</v>
      </c>
      <c r="O912" t="s">
        <v>44</v>
      </c>
      <c r="P912">
        <v>2138</v>
      </c>
      <c r="Q912" t="s">
        <v>42</v>
      </c>
      <c r="R912" s="1">
        <v>45613</v>
      </c>
      <c r="S912">
        <v>3</v>
      </c>
      <c r="T912" t="s">
        <v>38</v>
      </c>
      <c r="U912" t="s">
        <v>81</v>
      </c>
      <c r="V912" t="s">
        <v>3067</v>
      </c>
      <c r="W912" t="s">
        <v>1280</v>
      </c>
      <c r="X912">
        <v>800</v>
      </c>
      <c r="Y912">
        <v>300</v>
      </c>
      <c r="Z912">
        <v>900</v>
      </c>
      <c r="AA912" t="s">
        <v>3068</v>
      </c>
    </row>
    <row r="913" spans="1:27" x14ac:dyDescent="0.2">
      <c r="A913">
        <v>3908</v>
      </c>
      <c r="B913" t="s">
        <v>1171</v>
      </c>
      <c r="C913" t="str">
        <f>_xlfn.CONCAT(Merge[[#This Row],[Customer First Name]]," ",Merge[[#This Row],[Customer Last Name]])</f>
        <v>Sabrina Willis</v>
      </c>
      <c r="D913" t="s">
        <v>1130</v>
      </c>
      <c r="E913">
        <v>2139</v>
      </c>
      <c r="F913" t="s">
        <v>76</v>
      </c>
      <c r="G913" s="1">
        <v>45434</v>
      </c>
      <c r="H913">
        <v>2</v>
      </c>
      <c r="I913" t="s">
        <v>52</v>
      </c>
      <c r="J913" t="s">
        <v>43</v>
      </c>
      <c r="K913">
        <v>0.25</v>
      </c>
      <c r="L913">
        <v>21.25</v>
      </c>
      <c r="M913">
        <v>85</v>
      </c>
      <c r="N913">
        <v>63.75</v>
      </c>
      <c r="O913" t="s">
        <v>34</v>
      </c>
      <c r="P913">
        <v>2139</v>
      </c>
      <c r="Q913" t="s">
        <v>76</v>
      </c>
      <c r="R913" s="1">
        <v>45434</v>
      </c>
      <c r="S913">
        <v>3</v>
      </c>
      <c r="T913" t="s">
        <v>52</v>
      </c>
      <c r="U913" t="s">
        <v>43</v>
      </c>
      <c r="V913" t="s">
        <v>3069</v>
      </c>
      <c r="W913" t="s">
        <v>865</v>
      </c>
      <c r="X913">
        <v>2000</v>
      </c>
      <c r="Y913">
        <v>1200</v>
      </c>
      <c r="Z913">
        <v>3600</v>
      </c>
      <c r="AA913" t="s">
        <v>3070</v>
      </c>
    </row>
    <row r="914" spans="1:27" x14ac:dyDescent="0.2">
      <c r="A914">
        <v>3909</v>
      </c>
      <c r="B914" t="s">
        <v>508</v>
      </c>
      <c r="C914" t="str">
        <f>_xlfn.CONCAT(Merge[[#This Row],[Customer First Name]]," ",Merge[[#This Row],[Customer Last Name]])</f>
        <v>Jasper Crosby</v>
      </c>
      <c r="D914" t="s">
        <v>705</v>
      </c>
      <c r="E914">
        <v>2140</v>
      </c>
      <c r="F914" t="s">
        <v>51</v>
      </c>
      <c r="G914" s="1">
        <v>45592</v>
      </c>
      <c r="H914">
        <v>1</v>
      </c>
      <c r="I914" t="s">
        <v>32</v>
      </c>
      <c r="J914" t="s">
        <v>39</v>
      </c>
      <c r="K914">
        <v>0.2</v>
      </c>
      <c r="L914">
        <v>115.60000000000001</v>
      </c>
      <c r="M914">
        <v>578</v>
      </c>
      <c r="N914">
        <v>462.4</v>
      </c>
      <c r="O914" t="s">
        <v>48</v>
      </c>
      <c r="P914">
        <v>2140</v>
      </c>
      <c r="Q914" t="s">
        <v>51</v>
      </c>
      <c r="R914" s="1">
        <v>45592</v>
      </c>
      <c r="S914">
        <v>3</v>
      </c>
      <c r="T914" t="s">
        <v>32</v>
      </c>
      <c r="U914" t="s">
        <v>39</v>
      </c>
      <c r="V914" t="s">
        <v>3071</v>
      </c>
      <c r="W914" t="s">
        <v>1241</v>
      </c>
      <c r="X914">
        <v>2600</v>
      </c>
      <c r="Y914">
        <v>250</v>
      </c>
      <c r="Z914">
        <v>750</v>
      </c>
      <c r="AA914" t="s">
        <v>3072</v>
      </c>
    </row>
    <row r="915" spans="1:27" x14ac:dyDescent="0.2">
      <c r="A915">
        <v>3910</v>
      </c>
      <c r="B915" t="s">
        <v>1172</v>
      </c>
      <c r="C915" t="str">
        <f>_xlfn.CONCAT(Merge[[#This Row],[Customer First Name]]," ",Merge[[#This Row],[Customer Last Name]])</f>
        <v>Aubrey Marsh</v>
      </c>
      <c r="D915" t="s">
        <v>745</v>
      </c>
      <c r="E915">
        <v>2141</v>
      </c>
      <c r="F915" t="s">
        <v>37</v>
      </c>
      <c r="G915" s="1">
        <v>45612</v>
      </c>
      <c r="H915">
        <v>1</v>
      </c>
      <c r="I915" t="s">
        <v>52</v>
      </c>
      <c r="J915" t="s">
        <v>81</v>
      </c>
      <c r="K915">
        <v>0.3</v>
      </c>
      <c r="L915">
        <v>145.19999999999999</v>
      </c>
      <c r="M915">
        <v>484</v>
      </c>
      <c r="N915">
        <v>338.8</v>
      </c>
      <c r="O915" t="s">
        <v>54</v>
      </c>
      <c r="P915">
        <v>2141</v>
      </c>
      <c r="Q915" t="s">
        <v>37</v>
      </c>
      <c r="R915" s="1">
        <v>45612</v>
      </c>
      <c r="S915">
        <v>3</v>
      </c>
      <c r="T915" t="s">
        <v>52</v>
      </c>
      <c r="U915" t="s">
        <v>81</v>
      </c>
      <c r="V915" t="s">
        <v>3073</v>
      </c>
      <c r="W915" t="s">
        <v>1280</v>
      </c>
      <c r="X915">
        <v>800</v>
      </c>
      <c r="Y915">
        <v>800</v>
      </c>
      <c r="Z915">
        <v>2400</v>
      </c>
      <c r="AA915" t="s">
        <v>3074</v>
      </c>
    </row>
    <row r="916" spans="1:27" x14ac:dyDescent="0.2">
      <c r="A916">
        <v>3911</v>
      </c>
      <c r="B916" t="s">
        <v>1173</v>
      </c>
      <c r="C916" t="str">
        <f>_xlfn.CONCAT(Merge[[#This Row],[Customer First Name]]," ",Merge[[#This Row],[Customer Last Name]])</f>
        <v>Charlotte Whitaker</v>
      </c>
      <c r="D916" t="s">
        <v>519</v>
      </c>
      <c r="E916">
        <v>2142</v>
      </c>
      <c r="F916" t="s">
        <v>51</v>
      </c>
      <c r="G916" s="1">
        <v>45531</v>
      </c>
      <c r="H916">
        <v>2</v>
      </c>
      <c r="I916" t="s">
        <v>32</v>
      </c>
      <c r="J916" t="s">
        <v>57</v>
      </c>
      <c r="K916">
        <v>0.2</v>
      </c>
      <c r="L916">
        <v>109</v>
      </c>
      <c r="M916">
        <v>545</v>
      </c>
      <c r="N916">
        <v>436</v>
      </c>
      <c r="O916" t="s">
        <v>44</v>
      </c>
      <c r="P916">
        <v>2142</v>
      </c>
      <c r="Q916" t="s">
        <v>51</v>
      </c>
      <c r="R916" s="1">
        <v>45531</v>
      </c>
      <c r="S916">
        <v>3</v>
      </c>
      <c r="T916" t="s">
        <v>32</v>
      </c>
      <c r="U916" t="s">
        <v>57</v>
      </c>
      <c r="V916" t="s">
        <v>3075</v>
      </c>
      <c r="W916" t="s">
        <v>1350</v>
      </c>
      <c r="X916">
        <v>5600</v>
      </c>
      <c r="Y916">
        <v>250</v>
      </c>
      <c r="Z916">
        <v>750</v>
      </c>
      <c r="AA916" t="s">
        <v>3076</v>
      </c>
    </row>
    <row r="917" spans="1:27" x14ac:dyDescent="0.2">
      <c r="A917">
        <v>3912</v>
      </c>
      <c r="B917" t="s">
        <v>408</v>
      </c>
      <c r="C917" t="str">
        <f>_xlfn.CONCAT(Merge[[#This Row],[Customer First Name]]," ",Merge[[#This Row],[Customer Last Name]])</f>
        <v>Abel Raymond</v>
      </c>
      <c r="D917" t="s">
        <v>327</v>
      </c>
      <c r="E917">
        <v>2143</v>
      </c>
      <c r="F917" t="s">
        <v>42</v>
      </c>
      <c r="G917" s="1">
        <v>45472</v>
      </c>
      <c r="H917">
        <v>2</v>
      </c>
      <c r="I917" t="s">
        <v>32</v>
      </c>
      <c r="J917" t="s">
        <v>53</v>
      </c>
      <c r="K917">
        <v>0.25</v>
      </c>
      <c r="L917">
        <v>208.5</v>
      </c>
      <c r="M917">
        <v>834</v>
      </c>
      <c r="N917">
        <v>625.5</v>
      </c>
      <c r="O917" t="s">
        <v>48</v>
      </c>
      <c r="P917">
        <v>2143</v>
      </c>
      <c r="Q917" t="s">
        <v>42</v>
      </c>
      <c r="R917" s="1">
        <v>45472</v>
      </c>
      <c r="S917">
        <v>3</v>
      </c>
      <c r="T917" t="s">
        <v>32</v>
      </c>
      <c r="U917" t="s">
        <v>53</v>
      </c>
      <c r="V917" t="s">
        <v>3077</v>
      </c>
      <c r="W917" t="s">
        <v>1250</v>
      </c>
      <c r="X917">
        <v>4217</v>
      </c>
      <c r="Y917">
        <v>300</v>
      </c>
      <c r="Z917">
        <v>900</v>
      </c>
      <c r="AA917" t="s">
        <v>3078</v>
      </c>
    </row>
    <row r="918" spans="1:27" x14ac:dyDescent="0.2">
      <c r="A918">
        <v>3913</v>
      </c>
      <c r="B918" t="s">
        <v>106</v>
      </c>
      <c r="C918" t="str">
        <f>_xlfn.CONCAT(Merge[[#This Row],[Customer First Name]]," ",Merge[[#This Row],[Customer Last Name]])</f>
        <v>Everett Arias</v>
      </c>
      <c r="D918" t="s">
        <v>375</v>
      </c>
      <c r="E918">
        <v>2144</v>
      </c>
      <c r="F918" t="s">
        <v>92</v>
      </c>
      <c r="G918" s="1">
        <v>45588</v>
      </c>
      <c r="H918">
        <v>1</v>
      </c>
      <c r="I918" t="s">
        <v>52</v>
      </c>
      <c r="J918" t="s">
        <v>33</v>
      </c>
      <c r="K918">
        <v>0.3</v>
      </c>
      <c r="L918">
        <v>4.8</v>
      </c>
      <c r="M918">
        <v>16</v>
      </c>
      <c r="N918">
        <v>11.2</v>
      </c>
      <c r="O918" t="s">
        <v>54</v>
      </c>
      <c r="P918">
        <v>2144</v>
      </c>
      <c r="Q918" t="s">
        <v>92</v>
      </c>
      <c r="R918" s="1">
        <v>45588</v>
      </c>
      <c r="S918">
        <v>1</v>
      </c>
      <c r="T918" t="s">
        <v>52</v>
      </c>
      <c r="U918" t="s">
        <v>33</v>
      </c>
      <c r="V918" t="s">
        <v>3079</v>
      </c>
      <c r="W918" t="s">
        <v>1259</v>
      </c>
      <c r="X918">
        <v>6160</v>
      </c>
      <c r="Y918">
        <v>600</v>
      </c>
      <c r="Z918">
        <v>600</v>
      </c>
      <c r="AA918" t="s">
        <v>3080</v>
      </c>
    </row>
    <row r="919" spans="1:27" x14ac:dyDescent="0.2">
      <c r="A919">
        <v>3914</v>
      </c>
      <c r="B919" t="s">
        <v>1021</v>
      </c>
      <c r="C919" t="str">
        <f>_xlfn.CONCAT(Merge[[#This Row],[Customer First Name]]," ",Merge[[#This Row],[Customer Last Name]])</f>
        <v>Esme Morrison</v>
      </c>
      <c r="D919" t="s">
        <v>614</v>
      </c>
      <c r="E919">
        <v>2145</v>
      </c>
      <c r="F919" t="s">
        <v>76</v>
      </c>
      <c r="G919" s="1">
        <v>45456</v>
      </c>
      <c r="H919">
        <v>3</v>
      </c>
      <c r="I919" t="s">
        <v>52</v>
      </c>
      <c r="J919" t="s">
        <v>81</v>
      </c>
      <c r="K919">
        <v>0.25</v>
      </c>
      <c r="L919">
        <v>192</v>
      </c>
      <c r="M919">
        <v>768</v>
      </c>
      <c r="N919">
        <v>576</v>
      </c>
      <c r="O919" t="s">
        <v>34</v>
      </c>
      <c r="P919">
        <v>2145</v>
      </c>
      <c r="Q919" t="s">
        <v>76</v>
      </c>
      <c r="R919" s="1">
        <v>45456</v>
      </c>
      <c r="S919">
        <v>3</v>
      </c>
      <c r="T919" t="s">
        <v>52</v>
      </c>
      <c r="U919" t="s">
        <v>81</v>
      </c>
      <c r="V919" t="s">
        <v>3081</v>
      </c>
      <c r="W919" t="s">
        <v>1280</v>
      </c>
      <c r="X919">
        <v>800</v>
      </c>
      <c r="Y919">
        <v>1200</v>
      </c>
      <c r="Z919">
        <v>3600</v>
      </c>
      <c r="AA919" t="s">
        <v>3082</v>
      </c>
    </row>
    <row r="920" spans="1:27" x14ac:dyDescent="0.2">
      <c r="A920">
        <v>3915</v>
      </c>
      <c r="B920" t="s">
        <v>1174</v>
      </c>
      <c r="C920" t="str">
        <f>_xlfn.CONCAT(Merge[[#This Row],[Customer First Name]]," ",Merge[[#This Row],[Customer Last Name]])</f>
        <v>Delaney Jefferson</v>
      </c>
      <c r="D920" t="s">
        <v>1175</v>
      </c>
      <c r="E920">
        <v>2146</v>
      </c>
      <c r="F920" t="s">
        <v>37</v>
      </c>
      <c r="G920" s="1">
        <v>45517</v>
      </c>
      <c r="H920">
        <v>3</v>
      </c>
      <c r="I920" t="s">
        <v>32</v>
      </c>
      <c r="J920" t="s">
        <v>53</v>
      </c>
      <c r="K920">
        <v>0.3</v>
      </c>
      <c r="L920">
        <v>37.5</v>
      </c>
      <c r="M920">
        <v>125</v>
      </c>
      <c r="N920">
        <v>87.5</v>
      </c>
      <c r="O920" t="s">
        <v>48</v>
      </c>
      <c r="P920">
        <v>2146</v>
      </c>
      <c r="Q920" t="s">
        <v>37</v>
      </c>
      <c r="R920" s="1">
        <v>45517</v>
      </c>
      <c r="S920">
        <v>3</v>
      </c>
      <c r="T920" t="s">
        <v>32</v>
      </c>
      <c r="U920" t="s">
        <v>53</v>
      </c>
      <c r="V920" t="s">
        <v>3083</v>
      </c>
      <c r="W920" t="s">
        <v>1305</v>
      </c>
      <c r="X920">
        <v>4000</v>
      </c>
      <c r="Y920">
        <v>800</v>
      </c>
      <c r="Z920">
        <v>2400</v>
      </c>
      <c r="AA920" t="s">
        <v>3084</v>
      </c>
    </row>
    <row r="921" spans="1:27" x14ac:dyDescent="0.2">
      <c r="A921">
        <v>3916</v>
      </c>
      <c r="B921" t="s">
        <v>240</v>
      </c>
      <c r="C921" t="str">
        <f>_xlfn.CONCAT(Merge[[#This Row],[Customer First Name]]," ",Merge[[#This Row],[Customer Last Name]])</f>
        <v>Callan Ellis</v>
      </c>
      <c r="D921" t="s">
        <v>1176</v>
      </c>
      <c r="E921">
        <v>2147</v>
      </c>
      <c r="F921" t="s">
        <v>31</v>
      </c>
      <c r="G921" s="1">
        <v>45647</v>
      </c>
      <c r="H921">
        <v>3</v>
      </c>
      <c r="I921" t="s">
        <v>52</v>
      </c>
      <c r="J921" t="s">
        <v>53</v>
      </c>
      <c r="K921">
        <v>0.1</v>
      </c>
      <c r="L921">
        <v>37</v>
      </c>
      <c r="M921">
        <v>370</v>
      </c>
      <c r="N921">
        <v>333</v>
      </c>
      <c r="O921" t="s">
        <v>44</v>
      </c>
      <c r="P921">
        <v>2147</v>
      </c>
      <c r="Q921" t="s">
        <v>31</v>
      </c>
      <c r="R921" s="1">
        <v>45647</v>
      </c>
      <c r="S921">
        <v>3</v>
      </c>
      <c r="T921" t="s">
        <v>52</v>
      </c>
      <c r="U921" t="s">
        <v>53</v>
      </c>
      <c r="V921" t="s">
        <v>3085</v>
      </c>
      <c r="W921" t="s">
        <v>1268</v>
      </c>
      <c r="X921">
        <v>4870</v>
      </c>
      <c r="Y921">
        <v>250</v>
      </c>
      <c r="Z921">
        <v>750</v>
      </c>
      <c r="AA921" t="s">
        <v>3086</v>
      </c>
    </row>
    <row r="922" spans="1:27" x14ac:dyDescent="0.2">
      <c r="A922">
        <v>3917</v>
      </c>
      <c r="B922" t="s">
        <v>292</v>
      </c>
      <c r="C922" t="str">
        <f>_xlfn.CONCAT(Merge[[#This Row],[Customer First Name]]," ",Merge[[#This Row],[Customer Last Name]])</f>
        <v>Griffin Kirby</v>
      </c>
      <c r="D922" t="s">
        <v>284</v>
      </c>
      <c r="E922">
        <v>2148</v>
      </c>
      <c r="F922" t="s">
        <v>92</v>
      </c>
      <c r="G922" s="1">
        <v>45448</v>
      </c>
      <c r="H922">
        <v>3</v>
      </c>
      <c r="I922" t="s">
        <v>52</v>
      </c>
      <c r="J922" t="s">
        <v>53</v>
      </c>
      <c r="K922">
        <v>0.3</v>
      </c>
      <c r="L922">
        <v>461.4</v>
      </c>
      <c r="M922">
        <v>1538</v>
      </c>
      <c r="N922">
        <v>1076.5999999999999</v>
      </c>
      <c r="O922" t="s">
        <v>44</v>
      </c>
      <c r="P922">
        <v>2148</v>
      </c>
      <c r="Q922" t="s">
        <v>92</v>
      </c>
      <c r="R922" s="1">
        <v>45448</v>
      </c>
      <c r="S922">
        <v>2</v>
      </c>
      <c r="T922" t="s">
        <v>52</v>
      </c>
      <c r="U922" t="s">
        <v>53</v>
      </c>
      <c r="V922" t="s">
        <v>3087</v>
      </c>
      <c r="W922" t="s">
        <v>1305</v>
      </c>
      <c r="X922">
        <v>4000</v>
      </c>
      <c r="Y922">
        <v>600</v>
      </c>
      <c r="Z922">
        <v>1200</v>
      </c>
      <c r="AA922" t="s">
        <v>3088</v>
      </c>
    </row>
    <row r="923" spans="1:27" x14ac:dyDescent="0.2">
      <c r="A923">
        <v>3918</v>
      </c>
      <c r="B923" t="s">
        <v>1132</v>
      </c>
      <c r="C923" t="str">
        <f>_xlfn.CONCAT(Merge[[#This Row],[Customer First Name]]," ",Merge[[#This Row],[Customer Last Name]])</f>
        <v>Danielle Burns</v>
      </c>
      <c r="D923" t="s">
        <v>1177</v>
      </c>
      <c r="E923">
        <v>2149</v>
      </c>
      <c r="F923" t="s">
        <v>51</v>
      </c>
      <c r="G923" s="1">
        <v>45605</v>
      </c>
      <c r="H923">
        <v>1</v>
      </c>
      <c r="I923" t="s">
        <v>52</v>
      </c>
      <c r="J923" t="s">
        <v>43</v>
      </c>
      <c r="K923">
        <v>0.2</v>
      </c>
      <c r="L923">
        <v>56.6</v>
      </c>
      <c r="M923">
        <v>283</v>
      </c>
      <c r="N923">
        <v>226.4</v>
      </c>
      <c r="O923" t="s">
        <v>44</v>
      </c>
      <c r="P923">
        <v>2149</v>
      </c>
      <c r="Q923" t="s">
        <v>51</v>
      </c>
      <c r="R923" s="1">
        <v>45605</v>
      </c>
      <c r="S923">
        <v>2</v>
      </c>
      <c r="T923" t="s">
        <v>52</v>
      </c>
      <c r="U923" t="s">
        <v>43</v>
      </c>
      <c r="V923" t="s">
        <v>3089</v>
      </c>
      <c r="W923" t="s">
        <v>1244</v>
      </c>
      <c r="X923">
        <v>2300</v>
      </c>
      <c r="Y923">
        <v>250</v>
      </c>
      <c r="Z923">
        <v>500</v>
      </c>
      <c r="AA923" t="s">
        <v>3090</v>
      </c>
    </row>
    <row r="924" spans="1:27" x14ac:dyDescent="0.2">
      <c r="A924">
        <v>3919</v>
      </c>
      <c r="B924" t="s">
        <v>1178</v>
      </c>
      <c r="C924" t="str">
        <f>_xlfn.CONCAT(Merge[[#This Row],[Customer First Name]]," ",Merge[[#This Row],[Customer Last Name]])</f>
        <v>Kashton West</v>
      </c>
      <c r="D924" t="s">
        <v>437</v>
      </c>
      <c r="E924">
        <v>2150</v>
      </c>
      <c r="F924" t="s">
        <v>37</v>
      </c>
      <c r="G924" s="1">
        <v>45502</v>
      </c>
      <c r="H924">
        <v>3</v>
      </c>
      <c r="I924" t="s">
        <v>32</v>
      </c>
      <c r="J924" t="s">
        <v>81</v>
      </c>
      <c r="K924">
        <v>0.3</v>
      </c>
      <c r="L924">
        <v>165.29999999999998</v>
      </c>
      <c r="M924">
        <v>551</v>
      </c>
      <c r="N924">
        <v>385.70000000000005</v>
      </c>
      <c r="O924" t="s">
        <v>54</v>
      </c>
      <c r="P924">
        <v>2150</v>
      </c>
      <c r="Q924" t="s">
        <v>37</v>
      </c>
      <c r="R924" s="1">
        <v>45502</v>
      </c>
      <c r="S924">
        <v>3</v>
      </c>
      <c r="T924" t="s">
        <v>32</v>
      </c>
      <c r="U924" t="s">
        <v>81</v>
      </c>
      <c r="V924" t="s">
        <v>3091</v>
      </c>
      <c r="W924" t="s">
        <v>1361</v>
      </c>
      <c r="X924">
        <v>870</v>
      </c>
      <c r="Y924">
        <v>800</v>
      </c>
      <c r="Z924">
        <v>2400</v>
      </c>
      <c r="AA924" t="s">
        <v>3092</v>
      </c>
    </row>
    <row r="925" spans="1:27" x14ac:dyDescent="0.2">
      <c r="A925">
        <v>3920</v>
      </c>
      <c r="B925" t="s">
        <v>1179</v>
      </c>
      <c r="C925" t="str">
        <f>_xlfn.CONCAT(Merge[[#This Row],[Customer First Name]]," ",Merge[[#This Row],[Customer Last Name]])</f>
        <v>Poppy Mueller</v>
      </c>
      <c r="D925" t="s">
        <v>1180</v>
      </c>
      <c r="E925">
        <v>2151</v>
      </c>
      <c r="F925" t="s">
        <v>42</v>
      </c>
      <c r="G925" s="1">
        <v>45616</v>
      </c>
      <c r="H925">
        <v>3</v>
      </c>
      <c r="I925" t="s">
        <v>32</v>
      </c>
      <c r="J925" t="s">
        <v>43</v>
      </c>
      <c r="K925">
        <v>0.25</v>
      </c>
      <c r="L925">
        <v>346</v>
      </c>
      <c r="M925">
        <v>1384</v>
      </c>
      <c r="N925">
        <v>1038</v>
      </c>
      <c r="O925" t="s">
        <v>48</v>
      </c>
      <c r="P925">
        <v>2151</v>
      </c>
      <c r="Q925" t="s">
        <v>42</v>
      </c>
      <c r="R925" s="1">
        <v>45616</v>
      </c>
      <c r="S925">
        <v>3</v>
      </c>
      <c r="T925" t="s">
        <v>32</v>
      </c>
      <c r="U925" t="s">
        <v>43</v>
      </c>
      <c r="V925" t="s">
        <v>3093</v>
      </c>
      <c r="W925" t="s">
        <v>1299</v>
      </c>
      <c r="X925">
        <v>2500</v>
      </c>
      <c r="Y925">
        <v>300</v>
      </c>
      <c r="Z925">
        <v>900</v>
      </c>
      <c r="AA925" t="s">
        <v>3094</v>
      </c>
    </row>
    <row r="926" spans="1:27" x14ac:dyDescent="0.2">
      <c r="A926">
        <v>3921</v>
      </c>
      <c r="B926" t="s">
        <v>1181</v>
      </c>
      <c r="C926" t="str">
        <f>_xlfn.CONCAT(Merge[[#This Row],[Customer First Name]]," ",Merge[[#This Row],[Customer Last Name]])</f>
        <v>Cody Mann</v>
      </c>
      <c r="D926" t="s">
        <v>1182</v>
      </c>
      <c r="E926">
        <v>2152</v>
      </c>
      <c r="F926" t="s">
        <v>76</v>
      </c>
      <c r="G926" s="1">
        <v>45591</v>
      </c>
      <c r="H926">
        <v>3</v>
      </c>
      <c r="I926" t="s">
        <v>32</v>
      </c>
      <c r="J926" t="s">
        <v>33</v>
      </c>
      <c r="K926">
        <v>0.25</v>
      </c>
      <c r="L926">
        <v>354.5</v>
      </c>
      <c r="M926">
        <v>1418</v>
      </c>
      <c r="N926">
        <v>1063.5</v>
      </c>
      <c r="O926" t="s">
        <v>54</v>
      </c>
      <c r="P926">
        <v>2152</v>
      </c>
      <c r="Q926" t="s">
        <v>76</v>
      </c>
      <c r="R926" s="1">
        <v>45591</v>
      </c>
      <c r="S926">
        <v>2</v>
      </c>
      <c r="T926" t="s">
        <v>32</v>
      </c>
      <c r="U926" t="s">
        <v>33</v>
      </c>
      <c r="V926" t="s">
        <v>3095</v>
      </c>
      <c r="W926" t="s">
        <v>1259</v>
      </c>
      <c r="X926">
        <v>6160</v>
      </c>
      <c r="Y926">
        <v>1200</v>
      </c>
      <c r="Z926">
        <v>2400</v>
      </c>
      <c r="AA926" t="s">
        <v>3096</v>
      </c>
    </row>
    <row r="927" spans="1:27" x14ac:dyDescent="0.2">
      <c r="A927">
        <v>3922</v>
      </c>
      <c r="B927" t="s">
        <v>1183</v>
      </c>
      <c r="C927" t="str">
        <f>_xlfn.CONCAT(Merge[[#This Row],[Customer First Name]]," ",Merge[[#This Row],[Customer Last Name]])</f>
        <v>Emiliano Simmons</v>
      </c>
      <c r="D927" t="s">
        <v>1013</v>
      </c>
      <c r="E927">
        <v>2153</v>
      </c>
      <c r="F927" t="s">
        <v>37</v>
      </c>
      <c r="G927" s="1">
        <v>45491</v>
      </c>
      <c r="H927">
        <v>2</v>
      </c>
      <c r="I927" t="s">
        <v>38</v>
      </c>
      <c r="J927" t="s">
        <v>43</v>
      </c>
      <c r="K927">
        <v>0.3</v>
      </c>
      <c r="L927">
        <v>184.79999999999998</v>
      </c>
      <c r="M927">
        <v>616</v>
      </c>
      <c r="N927">
        <v>431.20000000000005</v>
      </c>
      <c r="O927" t="s">
        <v>34</v>
      </c>
      <c r="P927">
        <v>2153</v>
      </c>
      <c r="Q927" t="s">
        <v>37</v>
      </c>
      <c r="R927" s="1">
        <v>45491</v>
      </c>
      <c r="S927">
        <v>1</v>
      </c>
      <c r="T927" t="s">
        <v>38</v>
      </c>
      <c r="U927" t="s">
        <v>43</v>
      </c>
      <c r="V927" t="s">
        <v>3097</v>
      </c>
      <c r="W927" t="s">
        <v>1244</v>
      </c>
      <c r="X927">
        <v>2300</v>
      </c>
      <c r="Y927">
        <v>800</v>
      </c>
      <c r="Z927">
        <v>800</v>
      </c>
      <c r="AA927" t="s">
        <v>3098</v>
      </c>
    </row>
    <row r="928" spans="1:27" x14ac:dyDescent="0.2">
      <c r="A928">
        <v>3923</v>
      </c>
      <c r="B928" t="s">
        <v>813</v>
      </c>
      <c r="C928" t="str">
        <f>_xlfn.CONCAT(Merge[[#This Row],[Customer First Name]]," ",Merge[[#This Row],[Customer Last Name]])</f>
        <v>Joy Bennett</v>
      </c>
      <c r="D928" t="s">
        <v>475</v>
      </c>
      <c r="E928">
        <v>2154</v>
      </c>
      <c r="F928" t="s">
        <v>42</v>
      </c>
      <c r="G928" s="1">
        <v>45439</v>
      </c>
      <c r="H928">
        <v>3</v>
      </c>
      <c r="I928" t="s">
        <v>71</v>
      </c>
      <c r="J928" t="s">
        <v>47</v>
      </c>
      <c r="K928">
        <v>0.25</v>
      </c>
      <c r="L928">
        <v>332.5</v>
      </c>
      <c r="M928">
        <v>1330</v>
      </c>
      <c r="N928">
        <v>997.5</v>
      </c>
      <c r="O928" t="s">
        <v>44</v>
      </c>
      <c r="P928">
        <v>2154</v>
      </c>
      <c r="Q928" t="s">
        <v>42</v>
      </c>
      <c r="R928" s="1">
        <v>45439</v>
      </c>
      <c r="S928">
        <v>2</v>
      </c>
      <c r="T928" t="s">
        <v>71</v>
      </c>
      <c r="U928" t="s">
        <v>47</v>
      </c>
      <c r="V928" t="s">
        <v>3099</v>
      </c>
      <c r="W928" t="s">
        <v>1275</v>
      </c>
      <c r="X928">
        <v>3000</v>
      </c>
      <c r="Y928">
        <v>300</v>
      </c>
      <c r="Z928">
        <v>600</v>
      </c>
      <c r="AA928" t="s">
        <v>3100</v>
      </c>
    </row>
    <row r="929" spans="1:27" x14ac:dyDescent="0.2">
      <c r="A929">
        <v>3924</v>
      </c>
      <c r="B929" t="s">
        <v>215</v>
      </c>
      <c r="C929" t="str">
        <f>_xlfn.CONCAT(Merge[[#This Row],[Customer First Name]]," ",Merge[[#This Row],[Customer Last Name]])</f>
        <v>Millie Saunders</v>
      </c>
      <c r="D929" t="s">
        <v>1083</v>
      </c>
      <c r="E929">
        <v>2155</v>
      </c>
      <c r="F929" t="s">
        <v>92</v>
      </c>
      <c r="G929" s="1">
        <v>45558</v>
      </c>
      <c r="H929">
        <v>2</v>
      </c>
      <c r="I929" t="s">
        <v>32</v>
      </c>
      <c r="J929" t="s">
        <v>64</v>
      </c>
      <c r="K929">
        <v>0.3</v>
      </c>
      <c r="L929">
        <v>531</v>
      </c>
      <c r="M929">
        <v>1770</v>
      </c>
      <c r="N929">
        <v>1239</v>
      </c>
      <c r="O929" t="s">
        <v>44</v>
      </c>
      <c r="P929">
        <v>2155</v>
      </c>
      <c r="Q929" t="s">
        <v>92</v>
      </c>
      <c r="R929" s="1">
        <v>45558</v>
      </c>
      <c r="S929">
        <v>2</v>
      </c>
      <c r="T929" t="s">
        <v>32</v>
      </c>
      <c r="U929" t="s">
        <v>64</v>
      </c>
      <c r="V929" t="s">
        <v>3101</v>
      </c>
      <c r="W929" t="s">
        <v>1400</v>
      </c>
      <c r="X929">
        <v>7310</v>
      </c>
      <c r="Y929">
        <v>600</v>
      </c>
      <c r="Z929">
        <v>1200</v>
      </c>
      <c r="AA929" t="s">
        <v>3102</v>
      </c>
    </row>
    <row r="930" spans="1:27" x14ac:dyDescent="0.2">
      <c r="A930">
        <v>3925</v>
      </c>
      <c r="B930" t="s">
        <v>1070</v>
      </c>
      <c r="C930" t="str">
        <f>_xlfn.CONCAT(Merge[[#This Row],[Customer First Name]]," ",Merge[[#This Row],[Customer Last Name]])</f>
        <v>Warren Duffy</v>
      </c>
      <c r="D930" t="s">
        <v>966</v>
      </c>
      <c r="E930">
        <v>2156</v>
      </c>
      <c r="F930" t="s">
        <v>92</v>
      </c>
      <c r="G930" s="1">
        <v>45343</v>
      </c>
      <c r="H930">
        <v>3</v>
      </c>
      <c r="I930" t="s">
        <v>52</v>
      </c>
      <c r="J930" t="s">
        <v>81</v>
      </c>
      <c r="K930">
        <v>0.3</v>
      </c>
      <c r="L930">
        <v>309.3</v>
      </c>
      <c r="M930">
        <v>1031</v>
      </c>
      <c r="N930">
        <v>721.7</v>
      </c>
      <c r="O930" t="s">
        <v>34</v>
      </c>
      <c r="P930">
        <v>2156</v>
      </c>
      <c r="Q930" t="s">
        <v>92</v>
      </c>
      <c r="R930" s="1">
        <v>45343</v>
      </c>
      <c r="S930">
        <v>1</v>
      </c>
      <c r="T930" t="s">
        <v>52</v>
      </c>
      <c r="U930" t="s">
        <v>81</v>
      </c>
      <c r="V930" t="s">
        <v>3103</v>
      </c>
      <c r="W930" t="s">
        <v>1361</v>
      </c>
      <c r="X930">
        <v>870</v>
      </c>
      <c r="Y930">
        <v>600</v>
      </c>
      <c r="Z930">
        <v>600</v>
      </c>
      <c r="AA930" t="s">
        <v>3104</v>
      </c>
    </row>
    <row r="931" spans="1:27" x14ac:dyDescent="0.2">
      <c r="A931">
        <v>3926</v>
      </c>
      <c r="B931" t="s">
        <v>1184</v>
      </c>
      <c r="C931" t="str">
        <f>_xlfn.CONCAT(Merge[[#This Row],[Customer First Name]]," ",Merge[[#This Row],[Customer Last Name]])</f>
        <v>Spencer Davila</v>
      </c>
      <c r="D931" t="s">
        <v>318</v>
      </c>
      <c r="E931">
        <v>2157</v>
      </c>
      <c r="F931" t="s">
        <v>76</v>
      </c>
      <c r="G931" s="1">
        <v>45488</v>
      </c>
      <c r="H931">
        <v>1</v>
      </c>
      <c r="I931" t="s">
        <v>32</v>
      </c>
      <c r="J931" t="s">
        <v>53</v>
      </c>
      <c r="K931">
        <v>0.25</v>
      </c>
      <c r="L931">
        <v>248.75</v>
      </c>
      <c r="M931">
        <v>995</v>
      </c>
      <c r="N931">
        <v>746.25</v>
      </c>
      <c r="O931" t="s">
        <v>34</v>
      </c>
      <c r="P931">
        <v>2157</v>
      </c>
      <c r="Q931" t="s">
        <v>76</v>
      </c>
      <c r="R931" s="1">
        <v>45488</v>
      </c>
      <c r="S931">
        <v>1</v>
      </c>
      <c r="T931" t="s">
        <v>32</v>
      </c>
      <c r="U931" t="s">
        <v>53</v>
      </c>
      <c r="V931" t="s">
        <v>3105</v>
      </c>
      <c r="W931" t="s">
        <v>1268</v>
      </c>
      <c r="X931">
        <v>4870</v>
      </c>
      <c r="Y931">
        <v>1200</v>
      </c>
      <c r="Z931">
        <v>1200</v>
      </c>
      <c r="AA931" t="s">
        <v>3106</v>
      </c>
    </row>
    <row r="932" spans="1:27" x14ac:dyDescent="0.2">
      <c r="A932">
        <v>3927</v>
      </c>
      <c r="B932" t="s">
        <v>203</v>
      </c>
      <c r="C932" t="str">
        <f>_xlfn.CONCAT(Merge[[#This Row],[Customer First Name]]," ",Merge[[#This Row],[Customer Last Name]])</f>
        <v>Tristan Cooper</v>
      </c>
      <c r="D932" t="s">
        <v>1185</v>
      </c>
      <c r="E932">
        <v>2158</v>
      </c>
      <c r="F932" t="s">
        <v>76</v>
      </c>
      <c r="G932" s="1">
        <v>45620</v>
      </c>
      <c r="H932">
        <v>2</v>
      </c>
      <c r="I932" t="s">
        <v>38</v>
      </c>
      <c r="J932" t="s">
        <v>81</v>
      </c>
      <c r="K932">
        <v>0.25</v>
      </c>
      <c r="L932">
        <v>387.25</v>
      </c>
      <c r="M932">
        <v>1549</v>
      </c>
      <c r="N932">
        <v>1161.75</v>
      </c>
      <c r="O932" t="s">
        <v>34</v>
      </c>
      <c r="P932">
        <v>2158</v>
      </c>
      <c r="Q932" t="s">
        <v>76</v>
      </c>
      <c r="R932" s="1">
        <v>45620</v>
      </c>
      <c r="S932">
        <v>3</v>
      </c>
      <c r="T932" t="s">
        <v>38</v>
      </c>
      <c r="U932" t="s">
        <v>81</v>
      </c>
      <c r="V932" t="s">
        <v>3107</v>
      </c>
      <c r="W932" t="s">
        <v>1361</v>
      </c>
      <c r="X932">
        <v>870</v>
      </c>
      <c r="Y932">
        <v>1200</v>
      </c>
      <c r="Z932">
        <v>3600</v>
      </c>
      <c r="AA932" t="s">
        <v>3108</v>
      </c>
    </row>
    <row r="933" spans="1:27" x14ac:dyDescent="0.2">
      <c r="A933">
        <v>3928</v>
      </c>
      <c r="B933" t="s">
        <v>746</v>
      </c>
      <c r="C933" t="str">
        <f>_xlfn.CONCAT(Merge[[#This Row],[Customer First Name]]," ",Merge[[#This Row],[Customer Last Name]])</f>
        <v>Sawyer Barrett</v>
      </c>
      <c r="D933" t="s">
        <v>107</v>
      </c>
      <c r="E933">
        <v>2159</v>
      </c>
      <c r="F933" t="s">
        <v>37</v>
      </c>
      <c r="G933" s="1">
        <v>45529</v>
      </c>
      <c r="H933">
        <v>3</v>
      </c>
      <c r="I933" t="s">
        <v>32</v>
      </c>
      <c r="J933" t="s">
        <v>53</v>
      </c>
      <c r="K933">
        <v>0.3</v>
      </c>
      <c r="L933">
        <v>171.9</v>
      </c>
      <c r="M933">
        <v>573</v>
      </c>
      <c r="N933">
        <v>401.1</v>
      </c>
      <c r="O933" t="s">
        <v>34</v>
      </c>
      <c r="P933">
        <v>2159</v>
      </c>
      <c r="Q933" t="s">
        <v>37</v>
      </c>
      <c r="R933" s="1">
        <v>45529</v>
      </c>
      <c r="S933">
        <v>1</v>
      </c>
      <c r="T933" t="s">
        <v>32</v>
      </c>
      <c r="U933" t="s">
        <v>53</v>
      </c>
      <c r="V933" t="s">
        <v>3109</v>
      </c>
      <c r="W933" t="s">
        <v>1268</v>
      </c>
      <c r="X933">
        <v>4870</v>
      </c>
      <c r="Y933">
        <v>800</v>
      </c>
      <c r="Z933">
        <v>800</v>
      </c>
      <c r="AA933" t="s">
        <v>3110</v>
      </c>
    </row>
    <row r="934" spans="1:27" x14ac:dyDescent="0.2">
      <c r="A934">
        <v>3929</v>
      </c>
      <c r="B934" t="s">
        <v>1043</v>
      </c>
      <c r="C934" t="str">
        <f>_xlfn.CONCAT(Merge[[#This Row],[Customer First Name]]," ",Merge[[#This Row],[Customer Last Name]])</f>
        <v>Mckenzie Drake</v>
      </c>
      <c r="D934" t="s">
        <v>1186</v>
      </c>
      <c r="E934">
        <v>2160</v>
      </c>
      <c r="F934" t="s">
        <v>76</v>
      </c>
      <c r="G934" s="1">
        <v>45350</v>
      </c>
      <c r="H934">
        <v>3</v>
      </c>
      <c r="I934" t="s">
        <v>32</v>
      </c>
      <c r="J934" t="s">
        <v>33</v>
      </c>
      <c r="K934">
        <v>0.25</v>
      </c>
      <c r="L934">
        <v>356.5</v>
      </c>
      <c r="M934">
        <v>1426</v>
      </c>
      <c r="N934">
        <v>1069.5</v>
      </c>
      <c r="O934" t="s">
        <v>48</v>
      </c>
      <c r="P934">
        <v>2160</v>
      </c>
      <c r="Q934" t="s">
        <v>76</v>
      </c>
      <c r="R934" s="1">
        <v>45350</v>
      </c>
      <c r="S934">
        <v>3</v>
      </c>
      <c r="T934" t="s">
        <v>32</v>
      </c>
      <c r="U934" t="s">
        <v>33</v>
      </c>
      <c r="V934" t="s">
        <v>3111</v>
      </c>
      <c r="W934" t="s">
        <v>1259</v>
      </c>
      <c r="X934">
        <v>6160</v>
      </c>
      <c r="Y934">
        <v>1200</v>
      </c>
      <c r="Z934">
        <v>3600</v>
      </c>
      <c r="AA934" t="s">
        <v>3112</v>
      </c>
    </row>
    <row r="935" spans="1:27" x14ac:dyDescent="0.2">
      <c r="A935">
        <v>3930</v>
      </c>
      <c r="B935" t="s">
        <v>229</v>
      </c>
      <c r="C935" t="str">
        <f>_xlfn.CONCAT(Merge[[#This Row],[Customer First Name]]," ",Merge[[#This Row],[Customer Last Name]])</f>
        <v>Ryker Crawford</v>
      </c>
      <c r="D935" t="s">
        <v>494</v>
      </c>
      <c r="E935">
        <v>2161</v>
      </c>
      <c r="F935" t="s">
        <v>76</v>
      </c>
      <c r="G935" s="1">
        <v>45358</v>
      </c>
      <c r="H935">
        <v>2</v>
      </c>
      <c r="I935" t="s">
        <v>32</v>
      </c>
      <c r="J935" t="s">
        <v>43</v>
      </c>
      <c r="K935">
        <v>0.25</v>
      </c>
      <c r="L935">
        <v>374</v>
      </c>
      <c r="M935">
        <v>1496</v>
      </c>
      <c r="N935">
        <v>1122</v>
      </c>
      <c r="O935" t="s">
        <v>34</v>
      </c>
      <c r="P935">
        <v>2161</v>
      </c>
      <c r="Q935" t="s">
        <v>76</v>
      </c>
      <c r="R935" s="1">
        <v>45358</v>
      </c>
      <c r="S935">
        <v>2</v>
      </c>
      <c r="T935" t="s">
        <v>32</v>
      </c>
      <c r="U935" t="s">
        <v>43</v>
      </c>
      <c r="V935" t="s">
        <v>3113</v>
      </c>
      <c r="W935" t="s">
        <v>1244</v>
      </c>
      <c r="X935">
        <v>2300</v>
      </c>
      <c r="Y935">
        <v>1200</v>
      </c>
      <c r="Z935">
        <v>2400</v>
      </c>
      <c r="AA935" t="s">
        <v>3114</v>
      </c>
    </row>
    <row r="936" spans="1:27" x14ac:dyDescent="0.2">
      <c r="A936">
        <v>3931</v>
      </c>
      <c r="B936" t="s">
        <v>1187</v>
      </c>
      <c r="C936" t="str">
        <f>_xlfn.CONCAT(Merge[[#This Row],[Customer First Name]]," ",Merge[[#This Row],[Customer Last Name]])</f>
        <v>Frances Khan</v>
      </c>
      <c r="D936" t="s">
        <v>750</v>
      </c>
      <c r="E936">
        <v>2162</v>
      </c>
      <c r="F936" t="s">
        <v>51</v>
      </c>
      <c r="G936" s="1">
        <v>45551</v>
      </c>
      <c r="H936">
        <v>2</v>
      </c>
      <c r="I936" t="s">
        <v>52</v>
      </c>
      <c r="J936" t="s">
        <v>53</v>
      </c>
      <c r="K936">
        <v>0.2</v>
      </c>
      <c r="L936">
        <v>151.80000000000001</v>
      </c>
      <c r="M936">
        <v>759</v>
      </c>
      <c r="N936">
        <v>607.20000000000005</v>
      </c>
      <c r="O936" t="s">
        <v>114</v>
      </c>
      <c r="P936">
        <v>2162</v>
      </c>
      <c r="Q936" t="s">
        <v>51</v>
      </c>
      <c r="R936" s="1">
        <v>45551</v>
      </c>
      <c r="S936">
        <v>1</v>
      </c>
      <c r="T936" t="s">
        <v>52</v>
      </c>
      <c r="U936" t="s">
        <v>53</v>
      </c>
      <c r="V936" t="s">
        <v>3115</v>
      </c>
      <c r="W936" t="s">
        <v>1268</v>
      </c>
      <c r="X936">
        <v>4870</v>
      </c>
      <c r="Y936">
        <v>250</v>
      </c>
      <c r="Z936">
        <v>250</v>
      </c>
      <c r="AA936" t="s">
        <v>3116</v>
      </c>
    </row>
    <row r="937" spans="1:27" x14ac:dyDescent="0.2">
      <c r="A937">
        <v>3932</v>
      </c>
      <c r="B937" t="s">
        <v>864</v>
      </c>
      <c r="C937" t="str">
        <f>_xlfn.CONCAT(Merge[[#This Row],[Customer First Name]]," ",Merge[[#This Row],[Customer Last Name]])</f>
        <v>Armani Greer</v>
      </c>
      <c r="D937" t="s">
        <v>646</v>
      </c>
      <c r="E937">
        <v>2163</v>
      </c>
      <c r="F937" t="s">
        <v>37</v>
      </c>
      <c r="G937" s="1">
        <v>45297</v>
      </c>
      <c r="H937">
        <v>2</v>
      </c>
      <c r="I937" t="s">
        <v>52</v>
      </c>
      <c r="J937" t="s">
        <v>39</v>
      </c>
      <c r="K937">
        <v>0.3</v>
      </c>
      <c r="L937">
        <v>405.9</v>
      </c>
      <c r="M937">
        <v>1353</v>
      </c>
      <c r="N937">
        <v>947.1</v>
      </c>
      <c r="O937" t="s">
        <v>34</v>
      </c>
      <c r="P937">
        <v>2163</v>
      </c>
      <c r="Q937" t="s">
        <v>37</v>
      </c>
      <c r="R937" s="1">
        <v>45297</v>
      </c>
      <c r="S937">
        <v>3</v>
      </c>
      <c r="T937" t="s">
        <v>52</v>
      </c>
      <c r="U937" t="s">
        <v>39</v>
      </c>
      <c r="V937" t="s">
        <v>3117</v>
      </c>
      <c r="W937" t="s">
        <v>1241</v>
      </c>
      <c r="X937">
        <v>2600</v>
      </c>
      <c r="Y937">
        <v>800</v>
      </c>
      <c r="Z937">
        <v>2400</v>
      </c>
      <c r="AA937" t="s">
        <v>3118</v>
      </c>
    </row>
    <row r="938" spans="1:27" x14ac:dyDescent="0.2">
      <c r="A938">
        <v>3933</v>
      </c>
      <c r="B938" t="s">
        <v>1188</v>
      </c>
      <c r="C938" t="str">
        <f>_xlfn.CONCAT(Merge[[#This Row],[Customer First Name]]," ",Merge[[#This Row],[Customer Last Name]])</f>
        <v>Aylin Caldwell</v>
      </c>
      <c r="D938" t="s">
        <v>599</v>
      </c>
      <c r="E938">
        <v>2164</v>
      </c>
      <c r="F938" t="s">
        <v>76</v>
      </c>
      <c r="G938" s="1">
        <v>45625</v>
      </c>
      <c r="H938">
        <v>3</v>
      </c>
      <c r="I938" t="s">
        <v>38</v>
      </c>
      <c r="J938" t="s">
        <v>33</v>
      </c>
      <c r="K938">
        <v>0.25</v>
      </c>
      <c r="L938">
        <v>319.75</v>
      </c>
      <c r="M938">
        <v>1279</v>
      </c>
      <c r="N938">
        <v>959.25</v>
      </c>
      <c r="O938" t="s">
        <v>114</v>
      </c>
      <c r="P938">
        <v>2164</v>
      </c>
      <c r="Q938" t="s">
        <v>76</v>
      </c>
      <c r="R938" s="1">
        <v>45625</v>
      </c>
      <c r="S938">
        <v>2</v>
      </c>
      <c r="T938" t="s">
        <v>38</v>
      </c>
      <c r="U938" t="s">
        <v>33</v>
      </c>
      <c r="V938" t="s">
        <v>3119</v>
      </c>
      <c r="W938" t="s">
        <v>1259</v>
      </c>
      <c r="X938">
        <v>6160</v>
      </c>
      <c r="Y938">
        <v>1200</v>
      </c>
      <c r="Z938">
        <v>2400</v>
      </c>
      <c r="AA938" t="s">
        <v>3120</v>
      </c>
    </row>
    <row r="939" spans="1:27" x14ac:dyDescent="0.2">
      <c r="A939">
        <v>3934</v>
      </c>
      <c r="B939" t="s">
        <v>1189</v>
      </c>
      <c r="C939" t="str">
        <f>_xlfn.CONCAT(Merge[[#This Row],[Customer First Name]]," ",Merge[[#This Row],[Customer Last Name]])</f>
        <v>Dax Fernandez</v>
      </c>
      <c r="D939" t="s">
        <v>368</v>
      </c>
      <c r="E939">
        <v>2165</v>
      </c>
      <c r="F939" t="s">
        <v>31</v>
      </c>
      <c r="G939" s="1">
        <v>45474</v>
      </c>
      <c r="H939">
        <v>1</v>
      </c>
      <c r="I939" t="s">
        <v>71</v>
      </c>
      <c r="J939" t="s">
        <v>57</v>
      </c>
      <c r="K939">
        <v>0.1</v>
      </c>
      <c r="L939">
        <v>90.600000000000009</v>
      </c>
      <c r="M939">
        <v>906</v>
      </c>
      <c r="N939">
        <v>815.4</v>
      </c>
      <c r="O939" t="s">
        <v>114</v>
      </c>
      <c r="P939">
        <v>2165</v>
      </c>
      <c r="Q939" t="s">
        <v>31</v>
      </c>
      <c r="R939" s="1">
        <v>45474</v>
      </c>
      <c r="S939">
        <v>2</v>
      </c>
      <c r="T939" t="s">
        <v>71</v>
      </c>
      <c r="U939" t="s">
        <v>57</v>
      </c>
      <c r="V939" t="s">
        <v>3121</v>
      </c>
      <c r="W939" t="s">
        <v>1095</v>
      </c>
      <c r="X939">
        <v>5000</v>
      </c>
      <c r="Y939">
        <v>250</v>
      </c>
      <c r="Z939">
        <v>500</v>
      </c>
      <c r="AA939" t="s">
        <v>3122</v>
      </c>
    </row>
    <row r="940" spans="1:27" x14ac:dyDescent="0.2">
      <c r="A940">
        <v>3935</v>
      </c>
      <c r="B940" t="s">
        <v>751</v>
      </c>
      <c r="C940" t="str">
        <f>_xlfn.CONCAT(Merge[[#This Row],[Customer First Name]]," ",Merge[[#This Row],[Customer Last Name]])</f>
        <v>Catherine Brown</v>
      </c>
      <c r="D940" t="s">
        <v>1190</v>
      </c>
      <c r="E940">
        <v>2166</v>
      </c>
      <c r="F940" t="s">
        <v>92</v>
      </c>
      <c r="G940" s="1">
        <v>45365</v>
      </c>
      <c r="H940">
        <v>1</v>
      </c>
      <c r="I940" t="s">
        <v>52</v>
      </c>
      <c r="J940" t="s">
        <v>57</v>
      </c>
      <c r="K940">
        <v>0.3</v>
      </c>
      <c r="L940">
        <v>388.8</v>
      </c>
      <c r="M940">
        <v>1296</v>
      </c>
      <c r="N940">
        <v>907.2</v>
      </c>
      <c r="O940" t="s">
        <v>114</v>
      </c>
      <c r="P940">
        <v>2166</v>
      </c>
      <c r="Q940" t="s">
        <v>92</v>
      </c>
      <c r="R940" s="1">
        <v>45365</v>
      </c>
      <c r="S940">
        <v>2</v>
      </c>
      <c r="T940" t="s">
        <v>52</v>
      </c>
      <c r="U940" t="s">
        <v>57</v>
      </c>
      <c r="V940" t="s">
        <v>3123</v>
      </c>
      <c r="W940" t="s">
        <v>1253</v>
      </c>
      <c r="X940">
        <v>5290</v>
      </c>
      <c r="Y940">
        <v>600</v>
      </c>
      <c r="Z940">
        <v>1200</v>
      </c>
      <c r="AA940" t="s">
        <v>3124</v>
      </c>
    </row>
    <row r="941" spans="1:27" x14ac:dyDescent="0.2">
      <c r="A941">
        <v>3936</v>
      </c>
      <c r="B941" t="s">
        <v>161</v>
      </c>
      <c r="C941" t="str">
        <f>_xlfn.CONCAT(Merge[[#This Row],[Customer First Name]]," ",Merge[[#This Row],[Customer Last Name]])</f>
        <v>Beckett Maldonado</v>
      </c>
      <c r="D941" t="s">
        <v>1191</v>
      </c>
      <c r="E941">
        <v>2167</v>
      </c>
      <c r="F941" t="s">
        <v>92</v>
      </c>
      <c r="G941" s="1">
        <v>45463</v>
      </c>
      <c r="H941">
        <v>3</v>
      </c>
      <c r="I941" t="s">
        <v>52</v>
      </c>
      <c r="J941" t="s">
        <v>81</v>
      </c>
      <c r="K941">
        <v>0.3</v>
      </c>
      <c r="L941">
        <v>366.3</v>
      </c>
      <c r="M941">
        <v>1221</v>
      </c>
      <c r="N941">
        <v>854.7</v>
      </c>
      <c r="O941" t="s">
        <v>54</v>
      </c>
      <c r="P941">
        <v>2167</v>
      </c>
      <c r="Q941" t="s">
        <v>92</v>
      </c>
      <c r="R941" s="1">
        <v>45463</v>
      </c>
      <c r="S941">
        <v>3</v>
      </c>
      <c r="T941" t="s">
        <v>52</v>
      </c>
      <c r="U941" t="s">
        <v>81</v>
      </c>
      <c r="V941" t="s">
        <v>3125</v>
      </c>
      <c r="W941" t="s">
        <v>1280</v>
      </c>
      <c r="X941">
        <v>800</v>
      </c>
      <c r="Y941">
        <v>600</v>
      </c>
      <c r="Z941">
        <v>1800</v>
      </c>
      <c r="AA941" t="s">
        <v>3126</v>
      </c>
    </row>
    <row r="942" spans="1:27" x14ac:dyDescent="0.2">
      <c r="A942">
        <v>3937</v>
      </c>
      <c r="B942" t="s">
        <v>734</v>
      </c>
      <c r="C942" t="str">
        <f>_xlfn.CONCAT(Merge[[#This Row],[Customer First Name]]," ",Merge[[#This Row],[Customer Last Name]])</f>
        <v>Muhammad Greene</v>
      </c>
      <c r="D942" t="s">
        <v>1192</v>
      </c>
      <c r="E942">
        <v>2168</v>
      </c>
      <c r="F942" t="s">
        <v>42</v>
      </c>
      <c r="G942" s="1">
        <v>45592</v>
      </c>
      <c r="H942">
        <v>1</v>
      </c>
      <c r="I942" t="s">
        <v>71</v>
      </c>
      <c r="J942" t="s">
        <v>43</v>
      </c>
      <c r="K942">
        <v>0.25</v>
      </c>
      <c r="L942">
        <v>211</v>
      </c>
      <c r="M942">
        <v>844</v>
      </c>
      <c r="N942">
        <v>633</v>
      </c>
      <c r="O942" t="s">
        <v>48</v>
      </c>
      <c r="P942">
        <v>2168</v>
      </c>
      <c r="Q942" t="s">
        <v>42</v>
      </c>
      <c r="R942" s="1">
        <v>45592</v>
      </c>
      <c r="S942">
        <v>1</v>
      </c>
      <c r="T942" t="s">
        <v>71</v>
      </c>
      <c r="U942" t="s">
        <v>43</v>
      </c>
      <c r="V942" t="s">
        <v>3127</v>
      </c>
      <c r="W942" t="s">
        <v>1244</v>
      </c>
      <c r="X942">
        <v>2300</v>
      </c>
      <c r="Y942">
        <v>300</v>
      </c>
      <c r="Z942">
        <v>300</v>
      </c>
      <c r="AA942" t="s">
        <v>3128</v>
      </c>
    </row>
    <row r="943" spans="1:27" x14ac:dyDescent="0.2">
      <c r="A943">
        <v>3938</v>
      </c>
      <c r="B943" t="s">
        <v>1193</v>
      </c>
      <c r="C943" t="str">
        <f>_xlfn.CONCAT(Merge[[#This Row],[Customer First Name]]," ",Merge[[#This Row],[Customer Last Name]])</f>
        <v>Angelina Hampton</v>
      </c>
      <c r="D943" t="s">
        <v>582</v>
      </c>
      <c r="E943">
        <v>2169</v>
      </c>
      <c r="F943" t="s">
        <v>51</v>
      </c>
      <c r="G943" s="1">
        <v>45642</v>
      </c>
      <c r="H943">
        <v>2</v>
      </c>
      <c r="I943" t="s">
        <v>32</v>
      </c>
      <c r="J943" t="s">
        <v>43</v>
      </c>
      <c r="K943">
        <v>0.2</v>
      </c>
      <c r="L943">
        <v>268.40000000000003</v>
      </c>
      <c r="M943">
        <v>1342</v>
      </c>
      <c r="N943">
        <v>1073.5999999999999</v>
      </c>
      <c r="O943" t="s">
        <v>48</v>
      </c>
      <c r="P943">
        <v>2169</v>
      </c>
      <c r="Q943" t="s">
        <v>51</v>
      </c>
      <c r="R943" s="1">
        <v>45642</v>
      </c>
      <c r="S943">
        <v>2</v>
      </c>
      <c r="T943" t="s">
        <v>32</v>
      </c>
      <c r="U943" t="s">
        <v>43</v>
      </c>
      <c r="V943" t="s">
        <v>3129</v>
      </c>
      <c r="W943" t="s">
        <v>1244</v>
      </c>
      <c r="X943">
        <v>2300</v>
      </c>
      <c r="Y943">
        <v>250</v>
      </c>
      <c r="Z943">
        <v>500</v>
      </c>
      <c r="AA943" t="s">
        <v>3130</v>
      </c>
    </row>
    <row r="944" spans="1:27" x14ac:dyDescent="0.2">
      <c r="A944">
        <v>3939</v>
      </c>
      <c r="B944" t="s">
        <v>1186</v>
      </c>
      <c r="C944" t="str">
        <f>_xlfn.CONCAT(Merge[[#This Row],[Customer First Name]]," ",Merge[[#This Row],[Customer Last Name]])</f>
        <v>Ivan Mckenzie</v>
      </c>
      <c r="D944" t="s">
        <v>786</v>
      </c>
      <c r="E944">
        <v>2170</v>
      </c>
      <c r="F944" t="s">
        <v>92</v>
      </c>
      <c r="G944" s="1">
        <v>45353</v>
      </c>
      <c r="H944">
        <v>3</v>
      </c>
      <c r="I944" t="s">
        <v>32</v>
      </c>
      <c r="J944" t="s">
        <v>39</v>
      </c>
      <c r="K944">
        <v>0.3</v>
      </c>
      <c r="L944">
        <v>5.0999999999999996</v>
      </c>
      <c r="M944">
        <v>17</v>
      </c>
      <c r="N944">
        <v>11.9</v>
      </c>
      <c r="O944" t="s">
        <v>114</v>
      </c>
      <c r="P944">
        <v>2170</v>
      </c>
      <c r="Q944" t="s">
        <v>92</v>
      </c>
      <c r="R944" s="1">
        <v>45353</v>
      </c>
      <c r="S944">
        <v>2</v>
      </c>
      <c r="T944" t="s">
        <v>32</v>
      </c>
      <c r="U944" t="s">
        <v>39</v>
      </c>
      <c r="V944" t="s">
        <v>3131</v>
      </c>
      <c r="W944" t="s">
        <v>1241</v>
      </c>
      <c r="X944">
        <v>2600</v>
      </c>
      <c r="Y944">
        <v>600</v>
      </c>
      <c r="Z944">
        <v>1200</v>
      </c>
      <c r="AA944" t="s">
        <v>3132</v>
      </c>
    </row>
    <row r="945" spans="1:27" x14ac:dyDescent="0.2">
      <c r="A945">
        <v>3940</v>
      </c>
      <c r="B945" t="s">
        <v>1194</v>
      </c>
      <c r="C945" t="str">
        <f>_xlfn.CONCAT(Merge[[#This Row],[Customer First Name]]," ",Merge[[#This Row],[Customer Last Name]])</f>
        <v>Carmen Muñoz</v>
      </c>
      <c r="D945" t="s">
        <v>1195</v>
      </c>
      <c r="E945">
        <v>2171</v>
      </c>
      <c r="F945" t="s">
        <v>76</v>
      </c>
      <c r="G945" s="1">
        <v>45358</v>
      </c>
      <c r="H945">
        <v>2</v>
      </c>
      <c r="I945" t="s">
        <v>52</v>
      </c>
      <c r="J945" t="s">
        <v>33</v>
      </c>
      <c r="K945">
        <v>0.25</v>
      </c>
      <c r="L945">
        <v>275</v>
      </c>
      <c r="M945">
        <v>1100</v>
      </c>
      <c r="N945">
        <v>825</v>
      </c>
      <c r="O945" t="s">
        <v>34</v>
      </c>
      <c r="P945">
        <v>2171</v>
      </c>
      <c r="Q945" t="s">
        <v>76</v>
      </c>
      <c r="R945" s="1">
        <v>45358</v>
      </c>
      <c r="S945">
        <v>1</v>
      </c>
      <c r="T945" t="s">
        <v>52</v>
      </c>
      <c r="U945" t="s">
        <v>33</v>
      </c>
      <c r="V945" t="s">
        <v>3133</v>
      </c>
      <c r="W945" t="s">
        <v>1302</v>
      </c>
      <c r="X945">
        <v>6000</v>
      </c>
      <c r="Y945">
        <v>1200</v>
      </c>
      <c r="Z945">
        <v>1200</v>
      </c>
      <c r="AA945" t="s">
        <v>3134</v>
      </c>
    </row>
    <row r="946" spans="1:27" x14ac:dyDescent="0.2">
      <c r="A946">
        <v>3941</v>
      </c>
      <c r="B946" t="s">
        <v>982</v>
      </c>
      <c r="C946" t="str">
        <f>_xlfn.CONCAT(Merge[[#This Row],[Customer First Name]]," ",Merge[[#This Row],[Customer Last Name]])</f>
        <v>Myles Cantrell</v>
      </c>
      <c r="D946" t="s">
        <v>236</v>
      </c>
      <c r="E946">
        <v>2172</v>
      </c>
      <c r="F946" t="s">
        <v>42</v>
      </c>
      <c r="G946" s="1">
        <v>45343</v>
      </c>
      <c r="H946">
        <v>3</v>
      </c>
      <c r="I946" t="s">
        <v>52</v>
      </c>
      <c r="J946" t="s">
        <v>53</v>
      </c>
      <c r="K946">
        <v>0.25</v>
      </c>
      <c r="L946">
        <v>4.25</v>
      </c>
      <c r="M946">
        <v>17</v>
      </c>
      <c r="N946">
        <v>12.75</v>
      </c>
      <c r="O946" t="s">
        <v>44</v>
      </c>
      <c r="P946">
        <v>2172</v>
      </c>
      <c r="Q946" t="s">
        <v>42</v>
      </c>
      <c r="R946" s="1">
        <v>45343</v>
      </c>
      <c r="S946">
        <v>2</v>
      </c>
      <c r="T946" t="s">
        <v>52</v>
      </c>
      <c r="U946" t="s">
        <v>53</v>
      </c>
      <c r="V946" t="s">
        <v>3135</v>
      </c>
      <c r="W946" t="s">
        <v>1268</v>
      </c>
      <c r="X946">
        <v>4870</v>
      </c>
      <c r="Y946">
        <v>300</v>
      </c>
      <c r="Z946">
        <v>600</v>
      </c>
      <c r="AA946" t="s">
        <v>3136</v>
      </c>
    </row>
    <row r="947" spans="1:27" x14ac:dyDescent="0.2">
      <c r="A947">
        <v>3942</v>
      </c>
      <c r="B947" t="s">
        <v>1064</v>
      </c>
      <c r="C947" t="str">
        <f>_xlfn.CONCAT(Merge[[#This Row],[Customer First Name]]," ",Merge[[#This Row],[Customer Last Name]])</f>
        <v>Blake Curtis</v>
      </c>
      <c r="D947" t="s">
        <v>616</v>
      </c>
      <c r="E947">
        <v>2173</v>
      </c>
      <c r="F947" t="s">
        <v>51</v>
      </c>
      <c r="G947" s="1">
        <v>45657</v>
      </c>
      <c r="H947">
        <v>3</v>
      </c>
      <c r="I947" t="s">
        <v>32</v>
      </c>
      <c r="J947" t="s">
        <v>47</v>
      </c>
      <c r="K947">
        <v>0.2</v>
      </c>
      <c r="L947">
        <v>276.8</v>
      </c>
      <c r="M947">
        <v>1384</v>
      </c>
      <c r="N947">
        <v>1107.2</v>
      </c>
      <c r="O947" t="s">
        <v>44</v>
      </c>
      <c r="P947">
        <v>2173</v>
      </c>
      <c r="Q947" t="s">
        <v>51</v>
      </c>
      <c r="R947" s="1">
        <v>45657</v>
      </c>
      <c r="S947">
        <v>3</v>
      </c>
      <c r="T947" t="s">
        <v>32</v>
      </c>
      <c r="U947" t="s">
        <v>47</v>
      </c>
      <c r="V947" t="s">
        <v>3137</v>
      </c>
      <c r="W947" t="s">
        <v>1275</v>
      </c>
      <c r="X947">
        <v>3000</v>
      </c>
      <c r="Y947">
        <v>250</v>
      </c>
      <c r="Z947">
        <v>750</v>
      </c>
      <c r="AA947" t="s">
        <v>3138</v>
      </c>
    </row>
    <row r="948" spans="1:27" x14ac:dyDescent="0.2">
      <c r="A948">
        <v>3943</v>
      </c>
      <c r="B948" t="s">
        <v>712</v>
      </c>
      <c r="C948" t="str">
        <f>_xlfn.CONCAT(Merge[[#This Row],[Customer First Name]]," ",Merge[[#This Row],[Customer Last Name]])</f>
        <v>Cole Molina</v>
      </c>
      <c r="D948" t="s">
        <v>922</v>
      </c>
      <c r="E948">
        <v>2174</v>
      </c>
      <c r="F948" t="s">
        <v>92</v>
      </c>
      <c r="G948" s="1">
        <v>45643</v>
      </c>
      <c r="H948">
        <v>3</v>
      </c>
      <c r="I948" t="s">
        <v>71</v>
      </c>
      <c r="J948" t="s">
        <v>53</v>
      </c>
      <c r="K948">
        <v>0.3</v>
      </c>
      <c r="L948">
        <v>282.59999999999997</v>
      </c>
      <c r="M948">
        <v>942</v>
      </c>
      <c r="N948">
        <v>659.40000000000009</v>
      </c>
      <c r="O948" t="s">
        <v>34</v>
      </c>
      <c r="P948">
        <v>2174</v>
      </c>
      <c r="Q948" t="s">
        <v>92</v>
      </c>
      <c r="R948" s="1">
        <v>45643</v>
      </c>
      <c r="S948">
        <v>2</v>
      </c>
      <c r="T948" t="s">
        <v>71</v>
      </c>
      <c r="U948" t="s">
        <v>53</v>
      </c>
      <c r="V948" t="s">
        <v>3139</v>
      </c>
      <c r="W948" t="s">
        <v>1268</v>
      </c>
      <c r="X948">
        <v>4870</v>
      </c>
      <c r="Y948">
        <v>600</v>
      </c>
      <c r="Z948">
        <v>1200</v>
      </c>
      <c r="AA948" t="s">
        <v>3140</v>
      </c>
    </row>
    <row r="949" spans="1:27" x14ac:dyDescent="0.2">
      <c r="A949">
        <v>3944</v>
      </c>
      <c r="B949" t="s">
        <v>29</v>
      </c>
      <c r="C949" t="str">
        <f>_xlfn.CONCAT(Merge[[#This Row],[Customer First Name]]," ",Merge[[#This Row],[Customer Last Name]])</f>
        <v>Kenneth Hughes</v>
      </c>
      <c r="D949" t="s">
        <v>1196</v>
      </c>
      <c r="E949">
        <v>2175</v>
      </c>
      <c r="F949" t="s">
        <v>76</v>
      </c>
      <c r="G949" s="1">
        <v>45395</v>
      </c>
      <c r="H949">
        <v>2</v>
      </c>
      <c r="I949" t="s">
        <v>38</v>
      </c>
      <c r="J949" t="s">
        <v>43</v>
      </c>
      <c r="K949">
        <v>0.25</v>
      </c>
      <c r="L949">
        <v>25</v>
      </c>
      <c r="M949">
        <v>100</v>
      </c>
      <c r="N949">
        <v>75</v>
      </c>
      <c r="O949" t="s">
        <v>34</v>
      </c>
      <c r="P949">
        <v>2175</v>
      </c>
      <c r="Q949" t="s">
        <v>76</v>
      </c>
      <c r="R949" s="1">
        <v>45395</v>
      </c>
      <c r="S949">
        <v>1</v>
      </c>
      <c r="T949" t="s">
        <v>38</v>
      </c>
      <c r="U949" t="s">
        <v>43</v>
      </c>
      <c r="V949" t="s">
        <v>3141</v>
      </c>
      <c r="W949" t="s">
        <v>865</v>
      </c>
      <c r="X949">
        <v>2000</v>
      </c>
      <c r="Y949">
        <v>1200</v>
      </c>
      <c r="Z949">
        <v>1200</v>
      </c>
      <c r="AA949" t="s">
        <v>3142</v>
      </c>
    </row>
    <row r="950" spans="1:27" x14ac:dyDescent="0.2">
      <c r="A950">
        <v>3945</v>
      </c>
      <c r="B950" t="s">
        <v>233</v>
      </c>
      <c r="C950" t="str">
        <f>_xlfn.CONCAT(Merge[[#This Row],[Customer First Name]]," ",Merge[[#This Row],[Customer Last Name]])</f>
        <v>Fatima Weiss</v>
      </c>
      <c r="D950" t="s">
        <v>1045</v>
      </c>
      <c r="E950">
        <v>2176</v>
      </c>
      <c r="F950" t="s">
        <v>92</v>
      </c>
      <c r="G950" s="1">
        <v>45572</v>
      </c>
      <c r="H950">
        <v>2</v>
      </c>
      <c r="I950" t="s">
        <v>32</v>
      </c>
      <c r="J950" t="s">
        <v>81</v>
      </c>
      <c r="K950">
        <v>0.3</v>
      </c>
      <c r="L950">
        <v>374.4</v>
      </c>
      <c r="M950">
        <v>1248</v>
      </c>
      <c r="N950">
        <v>873.6</v>
      </c>
      <c r="O950" t="s">
        <v>34</v>
      </c>
      <c r="P950">
        <v>2176</v>
      </c>
      <c r="Q950" t="s">
        <v>92</v>
      </c>
      <c r="R950" s="1">
        <v>45572</v>
      </c>
      <c r="S950">
        <v>3</v>
      </c>
      <c r="T950" t="s">
        <v>32</v>
      </c>
      <c r="U950" t="s">
        <v>81</v>
      </c>
      <c r="V950" t="s">
        <v>3143</v>
      </c>
      <c r="W950" t="s">
        <v>1280</v>
      </c>
      <c r="X950">
        <v>800</v>
      </c>
      <c r="Y950">
        <v>600</v>
      </c>
      <c r="Z950">
        <v>1800</v>
      </c>
      <c r="AA950" t="s">
        <v>3144</v>
      </c>
    </row>
    <row r="951" spans="1:27" x14ac:dyDescent="0.2">
      <c r="A951">
        <v>3946</v>
      </c>
      <c r="B951" t="s">
        <v>198</v>
      </c>
      <c r="C951" t="str">
        <f>_xlfn.CONCAT(Merge[[#This Row],[Customer First Name]]," ",Merge[[#This Row],[Customer Last Name]])</f>
        <v>Maddox Dean</v>
      </c>
      <c r="D951" t="s">
        <v>1048</v>
      </c>
      <c r="E951">
        <v>2177</v>
      </c>
      <c r="F951" t="s">
        <v>42</v>
      </c>
      <c r="G951" s="1">
        <v>45447</v>
      </c>
      <c r="H951">
        <v>1</v>
      </c>
      <c r="I951" t="s">
        <v>52</v>
      </c>
      <c r="J951" t="s">
        <v>57</v>
      </c>
      <c r="K951">
        <v>0.25</v>
      </c>
      <c r="L951">
        <v>341.5</v>
      </c>
      <c r="M951">
        <v>1366</v>
      </c>
      <c r="N951">
        <v>1024.5</v>
      </c>
      <c r="O951" t="s">
        <v>44</v>
      </c>
      <c r="P951">
        <v>2177</v>
      </c>
      <c r="Q951" t="s">
        <v>42</v>
      </c>
      <c r="R951" s="1">
        <v>45447</v>
      </c>
      <c r="S951">
        <v>1</v>
      </c>
      <c r="T951" t="s">
        <v>52</v>
      </c>
      <c r="U951" t="s">
        <v>57</v>
      </c>
      <c r="V951" t="s">
        <v>3145</v>
      </c>
      <c r="W951" t="s">
        <v>1350</v>
      </c>
      <c r="X951">
        <v>5600</v>
      </c>
      <c r="Y951">
        <v>300</v>
      </c>
      <c r="Z951">
        <v>300</v>
      </c>
      <c r="AA951" t="s">
        <v>3146</v>
      </c>
    </row>
    <row r="952" spans="1:27" x14ac:dyDescent="0.2">
      <c r="A952">
        <v>3947</v>
      </c>
      <c r="B952" t="s">
        <v>1197</v>
      </c>
      <c r="C952" t="str">
        <f>_xlfn.CONCAT(Merge[[#This Row],[Customer First Name]]," ",Merge[[#This Row],[Customer Last Name]])</f>
        <v>Joshua Gutierrez</v>
      </c>
      <c r="D952" t="s">
        <v>262</v>
      </c>
      <c r="E952">
        <v>2178</v>
      </c>
      <c r="F952" t="s">
        <v>76</v>
      </c>
      <c r="G952" s="1">
        <v>45652</v>
      </c>
      <c r="H952">
        <v>2</v>
      </c>
      <c r="I952" t="s">
        <v>32</v>
      </c>
      <c r="J952" t="s">
        <v>53</v>
      </c>
      <c r="K952">
        <v>0.25</v>
      </c>
      <c r="L952">
        <v>184.5</v>
      </c>
      <c r="M952">
        <v>738</v>
      </c>
      <c r="N952">
        <v>553.5</v>
      </c>
      <c r="O952" t="s">
        <v>34</v>
      </c>
      <c r="P952">
        <v>2178</v>
      </c>
      <c r="Q952" t="s">
        <v>76</v>
      </c>
      <c r="R952" s="1">
        <v>45652</v>
      </c>
      <c r="S952">
        <v>2</v>
      </c>
      <c r="T952" t="s">
        <v>32</v>
      </c>
      <c r="U952" t="s">
        <v>53</v>
      </c>
      <c r="V952" t="s">
        <v>3147</v>
      </c>
      <c r="W952" t="s">
        <v>1268</v>
      </c>
      <c r="X952">
        <v>4870</v>
      </c>
      <c r="Y952">
        <v>1200</v>
      </c>
      <c r="Z952">
        <v>2400</v>
      </c>
      <c r="AA952" t="s">
        <v>3148</v>
      </c>
    </row>
    <row r="953" spans="1:27" x14ac:dyDescent="0.2">
      <c r="A953">
        <v>3948</v>
      </c>
      <c r="B953" t="s">
        <v>74</v>
      </c>
      <c r="C953" t="str">
        <f>_xlfn.CONCAT(Merge[[#This Row],[Customer First Name]]," ",Merge[[#This Row],[Customer Last Name]])</f>
        <v>Andy Briggs</v>
      </c>
      <c r="D953" t="s">
        <v>1198</v>
      </c>
      <c r="E953">
        <v>2179</v>
      </c>
      <c r="F953" t="s">
        <v>76</v>
      </c>
      <c r="G953" s="1">
        <v>45583</v>
      </c>
      <c r="H953">
        <v>2</v>
      </c>
      <c r="I953" t="s">
        <v>52</v>
      </c>
      <c r="J953" t="s">
        <v>57</v>
      </c>
      <c r="K953">
        <v>0.25</v>
      </c>
      <c r="L953">
        <v>251</v>
      </c>
      <c r="M953">
        <v>1004</v>
      </c>
      <c r="N953">
        <v>753</v>
      </c>
      <c r="O953" t="s">
        <v>34</v>
      </c>
      <c r="P953">
        <v>2179</v>
      </c>
      <c r="Q953" t="s">
        <v>76</v>
      </c>
      <c r="R953" s="1">
        <v>45583</v>
      </c>
      <c r="S953">
        <v>2</v>
      </c>
      <c r="T953" t="s">
        <v>52</v>
      </c>
      <c r="U953" t="s">
        <v>57</v>
      </c>
      <c r="V953" t="s">
        <v>3149</v>
      </c>
      <c r="W953" t="s">
        <v>1350</v>
      </c>
      <c r="X953">
        <v>5600</v>
      </c>
      <c r="Y953">
        <v>1200</v>
      </c>
      <c r="Z953">
        <v>2400</v>
      </c>
      <c r="AA953" t="s">
        <v>3150</v>
      </c>
    </row>
    <row r="954" spans="1:27" x14ac:dyDescent="0.2">
      <c r="A954">
        <v>3949</v>
      </c>
      <c r="B954" t="s">
        <v>65</v>
      </c>
      <c r="C954" t="str">
        <f>_xlfn.CONCAT(Merge[[#This Row],[Customer First Name]]," ",Merge[[#This Row],[Customer Last Name]])</f>
        <v>Connor Pierce</v>
      </c>
      <c r="D954" t="s">
        <v>806</v>
      </c>
      <c r="E954">
        <v>2180</v>
      </c>
      <c r="F954" t="s">
        <v>92</v>
      </c>
      <c r="G954" s="1">
        <v>45528</v>
      </c>
      <c r="H954">
        <v>1</v>
      </c>
      <c r="I954" t="s">
        <v>32</v>
      </c>
      <c r="J954" t="s">
        <v>53</v>
      </c>
      <c r="K954">
        <v>0.3</v>
      </c>
      <c r="L954">
        <v>414</v>
      </c>
      <c r="M954">
        <v>1380</v>
      </c>
      <c r="N954">
        <v>966</v>
      </c>
      <c r="O954" t="s">
        <v>34</v>
      </c>
      <c r="P954">
        <v>2180</v>
      </c>
      <c r="Q954" t="s">
        <v>92</v>
      </c>
      <c r="R954" s="1">
        <v>45528</v>
      </c>
      <c r="S954">
        <v>1</v>
      </c>
      <c r="T954" t="s">
        <v>32</v>
      </c>
      <c r="U954" t="s">
        <v>53</v>
      </c>
      <c r="V954" t="s">
        <v>3151</v>
      </c>
      <c r="W954" t="s">
        <v>1268</v>
      </c>
      <c r="X954">
        <v>4870</v>
      </c>
      <c r="Y954">
        <v>600</v>
      </c>
      <c r="Z954">
        <v>600</v>
      </c>
      <c r="AA954" t="s">
        <v>3152</v>
      </c>
    </row>
    <row r="955" spans="1:27" x14ac:dyDescent="0.2">
      <c r="A955">
        <v>3950</v>
      </c>
      <c r="B955" t="s">
        <v>1199</v>
      </c>
      <c r="C955" t="str">
        <f>_xlfn.CONCAT(Merge[[#This Row],[Customer First Name]]," ",Merge[[#This Row],[Customer Last Name]])</f>
        <v>Evangeline Boyd</v>
      </c>
      <c r="D955" t="s">
        <v>1200</v>
      </c>
      <c r="E955">
        <v>2181</v>
      </c>
      <c r="F955" t="s">
        <v>76</v>
      </c>
      <c r="G955" s="1">
        <v>45461</v>
      </c>
      <c r="H955">
        <v>2</v>
      </c>
      <c r="I955" t="s">
        <v>38</v>
      </c>
      <c r="J955" t="s">
        <v>43</v>
      </c>
      <c r="K955">
        <v>0.25</v>
      </c>
      <c r="L955">
        <v>65.75</v>
      </c>
      <c r="M955">
        <v>263</v>
      </c>
      <c r="N955">
        <v>197.25</v>
      </c>
      <c r="O955" t="s">
        <v>54</v>
      </c>
      <c r="P955">
        <v>2181</v>
      </c>
      <c r="Q955" t="s">
        <v>76</v>
      </c>
      <c r="R955" s="1">
        <v>45461</v>
      </c>
      <c r="S955">
        <v>1</v>
      </c>
      <c r="T955" t="s">
        <v>38</v>
      </c>
      <c r="U955" t="s">
        <v>43</v>
      </c>
      <c r="V955" t="s">
        <v>3153</v>
      </c>
      <c r="W955" t="s">
        <v>1244</v>
      </c>
      <c r="X955">
        <v>2300</v>
      </c>
      <c r="Y955">
        <v>1200</v>
      </c>
      <c r="Z955">
        <v>1200</v>
      </c>
      <c r="AA955" t="s">
        <v>3154</v>
      </c>
    </row>
    <row r="956" spans="1:27" x14ac:dyDescent="0.2">
      <c r="A956">
        <v>3951</v>
      </c>
      <c r="B956" t="s">
        <v>878</v>
      </c>
      <c r="C956" t="str">
        <f>_xlfn.CONCAT(Merge[[#This Row],[Customer First Name]]," ",Merge[[#This Row],[Customer Last Name]])</f>
        <v>Aubrey Arellano</v>
      </c>
      <c r="D956" t="s">
        <v>745</v>
      </c>
      <c r="E956">
        <v>2182</v>
      </c>
      <c r="F956" t="s">
        <v>31</v>
      </c>
      <c r="G956" s="1">
        <v>45465</v>
      </c>
      <c r="H956">
        <v>1</v>
      </c>
      <c r="I956" t="s">
        <v>52</v>
      </c>
      <c r="J956" t="s">
        <v>43</v>
      </c>
      <c r="K956">
        <v>0.1</v>
      </c>
      <c r="L956">
        <v>100.9</v>
      </c>
      <c r="M956">
        <v>1009</v>
      </c>
      <c r="N956">
        <v>908.1</v>
      </c>
      <c r="O956" t="s">
        <v>48</v>
      </c>
      <c r="P956">
        <v>2182</v>
      </c>
      <c r="Q956" t="s">
        <v>31</v>
      </c>
      <c r="R956" s="1">
        <v>45465</v>
      </c>
      <c r="S956">
        <v>2</v>
      </c>
      <c r="T956" t="s">
        <v>52</v>
      </c>
      <c r="U956" t="s">
        <v>43</v>
      </c>
      <c r="V956" t="s">
        <v>3155</v>
      </c>
      <c r="W956" t="s">
        <v>1299</v>
      </c>
      <c r="X956">
        <v>2500</v>
      </c>
      <c r="Y956">
        <v>250</v>
      </c>
      <c r="Z956">
        <v>500</v>
      </c>
      <c r="AA956" t="s">
        <v>3156</v>
      </c>
    </row>
    <row r="957" spans="1:27" x14ac:dyDescent="0.2">
      <c r="A957">
        <v>3952</v>
      </c>
      <c r="B957" t="s">
        <v>1201</v>
      </c>
      <c r="C957" t="str">
        <f>_xlfn.CONCAT(Merge[[#This Row],[Customer First Name]]," ",Merge[[#This Row],[Customer Last Name]])</f>
        <v>Gabriella Moses</v>
      </c>
      <c r="D957" t="s">
        <v>1202</v>
      </c>
      <c r="E957">
        <v>2183</v>
      </c>
      <c r="F957" t="s">
        <v>31</v>
      </c>
      <c r="G957" s="1">
        <v>45503</v>
      </c>
      <c r="H957">
        <v>3</v>
      </c>
      <c r="I957" t="s">
        <v>71</v>
      </c>
      <c r="J957" t="s">
        <v>43</v>
      </c>
      <c r="K957">
        <v>0.1</v>
      </c>
      <c r="L957">
        <v>127</v>
      </c>
      <c r="M957">
        <v>1270</v>
      </c>
      <c r="N957">
        <v>1143</v>
      </c>
      <c r="O957" t="s">
        <v>48</v>
      </c>
      <c r="P957">
        <v>2183</v>
      </c>
      <c r="Q957" t="s">
        <v>31</v>
      </c>
      <c r="R957" s="1">
        <v>45503</v>
      </c>
      <c r="S957">
        <v>1</v>
      </c>
      <c r="T957" t="s">
        <v>71</v>
      </c>
      <c r="U957" t="s">
        <v>43</v>
      </c>
      <c r="V957" t="s">
        <v>3157</v>
      </c>
      <c r="W957" t="s">
        <v>1244</v>
      </c>
      <c r="X957">
        <v>2300</v>
      </c>
      <c r="Y957">
        <v>250</v>
      </c>
      <c r="Z957">
        <v>250</v>
      </c>
      <c r="AA957" t="s">
        <v>3158</v>
      </c>
    </row>
    <row r="958" spans="1:27" x14ac:dyDescent="0.2">
      <c r="A958">
        <v>3953</v>
      </c>
      <c r="B958" t="s">
        <v>225</v>
      </c>
      <c r="C958" t="str">
        <f>_xlfn.CONCAT(Merge[[#This Row],[Customer First Name]]," ",Merge[[#This Row],[Customer Last Name]])</f>
        <v>Wyatt Luna</v>
      </c>
      <c r="D958" t="s">
        <v>140</v>
      </c>
      <c r="E958">
        <v>2184</v>
      </c>
      <c r="F958" t="s">
        <v>76</v>
      </c>
      <c r="G958" s="1">
        <v>45376</v>
      </c>
      <c r="H958">
        <v>3</v>
      </c>
      <c r="I958" t="s">
        <v>52</v>
      </c>
      <c r="J958" t="s">
        <v>53</v>
      </c>
      <c r="K958">
        <v>0.25</v>
      </c>
      <c r="L958">
        <v>190.75</v>
      </c>
      <c r="M958">
        <v>763</v>
      </c>
      <c r="N958">
        <v>572.25</v>
      </c>
      <c r="O958" t="s">
        <v>114</v>
      </c>
      <c r="P958">
        <v>2184</v>
      </c>
      <c r="Q958" t="s">
        <v>76</v>
      </c>
      <c r="R958" s="1">
        <v>45376</v>
      </c>
      <c r="S958">
        <v>1</v>
      </c>
      <c r="T958" t="s">
        <v>52</v>
      </c>
      <c r="U958" t="s">
        <v>53</v>
      </c>
      <c r="V958" t="s">
        <v>3159</v>
      </c>
      <c r="W958" t="s">
        <v>1250</v>
      </c>
      <c r="X958">
        <v>4217</v>
      </c>
      <c r="Y958">
        <v>1200</v>
      </c>
      <c r="Z958">
        <v>1200</v>
      </c>
      <c r="AA958" t="s">
        <v>3160</v>
      </c>
    </row>
    <row r="959" spans="1:27" x14ac:dyDescent="0.2">
      <c r="A959">
        <v>3954</v>
      </c>
      <c r="B959" t="s">
        <v>876</v>
      </c>
      <c r="C959" t="str">
        <f>_xlfn.CONCAT(Merge[[#This Row],[Customer First Name]]," ",Merge[[#This Row],[Customer Last Name]])</f>
        <v>Camille Clayton</v>
      </c>
      <c r="D959" t="s">
        <v>1086</v>
      </c>
      <c r="E959">
        <v>2185</v>
      </c>
      <c r="F959" t="s">
        <v>51</v>
      </c>
      <c r="G959" s="1">
        <v>45340</v>
      </c>
      <c r="H959">
        <v>2</v>
      </c>
      <c r="I959" t="s">
        <v>52</v>
      </c>
      <c r="J959" t="s">
        <v>57</v>
      </c>
      <c r="K959">
        <v>0.2</v>
      </c>
      <c r="L959">
        <v>291.2</v>
      </c>
      <c r="M959">
        <v>1456</v>
      </c>
      <c r="N959">
        <v>1164.8</v>
      </c>
      <c r="O959" t="s">
        <v>48</v>
      </c>
      <c r="P959">
        <v>2185</v>
      </c>
      <c r="Q959" t="s">
        <v>51</v>
      </c>
      <c r="R959" s="1">
        <v>45340</v>
      </c>
      <c r="S959">
        <v>3</v>
      </c>
      <c r="T959" t="s">
        <v>52</v>
      </c>
      <c r="U959" t="s">
        <v>57</v>
      </c>
      <c r="V959" t="s">
        <v>3161</v>
      </c>
      <c r="W959" t="s">
        <v>1095</v>
      </c>
      <c r="X959">
        <v>5000</v>
      </c>
      <c r="Y959">
        <v>250</v>
      </c>
      <c r="Z959">
        <v>750</v>
      </c>
      <c r="AA959" t="s">
        <v>3162</v>
      </c>
    </row>
    <row r="960" spans="1:27" x14ac:dyDescent="0.2">
      <c r="A960">
        <v>3955</v>
      </c>
      <c r="B960" t="s">
        <v>1203</v>
      </c>
      <c r="C960" t="str">
        <f>_xlfn.CONCAT(Merge[[#This Row],[Customer First Name]]," ",Merge[[#This Row],[Customer Last Name]])</f>
        <v>Connor Esparza</v>
      </c>
      <c r="D960" t="s">
        <v>806</v>
      </c>
      <c r="E960">
        <v>2186</v>
      </c>
      <c r="F960" t="s">
        <v>76</v>
      </c>
      <c r="G960" s="1">
        <v>45605</v>
      </c>
      <c r="H960">
        <v>2</v>
      </c>
      <c r="I960" t="s">
        <v>71</v>
      </c>
      <c r="J960" t="s">
        <v>64</v>
      </c>
      <c r="K960">
        <v>0.25</v>
      </c>
      <c r="L960">
        <v>299.75</v>
      </c>
      <c r="M960">
        <v>1199</v>
      </c>
      <c r="N960">
        <v>899.25</v>
      </c>
      <c r="O960" t="s">
        <v>44</v>
      </c>
      <c r="P960">
        <v>2186</v>
      </c>
      <c r="Q960" t="s">
        <v>76</v>
      </c>
      <c r="R960" s="1">
        <v>45605</v>
      </c>
      <c r="S960">
        <v>2</v>
      </c>
      <c r="T960" t="s">
        <v>71</v>
      </c>
      <c r="U960" t="s">
        <v>64</v>
      </c>
      <c r="V960" t="s">
        <v>3163</v>
      </c>
      <c r="W960" t="s">
        <v>1400</v>
      </c>
      <c r="X960">
        <v>7310</v>
      </c>
      <c r="Y960">
        <v>1200</v>
      </c>
      <c r="Z960">
        <v>2400</v>
      </c>
      <c r="AA960" t="s">
        <v>3164</v>
      </c>
    </row>
    <row r="961" spans="1:27" x14ac:dyDescent="0.2">
      <c r="A961">
        <v>3956</v>
      </c>
      <c r="B961" t="s">
        <v>889</v>
      </c>
      <c r="C961" t="str">
        <f>_xlfn.CONCAT(Merge[[#This Row],[Customer First Name]]," ",Merge[[#This Row],[Customer Last Name]])</f>
        <v>Garrett Cordova</v>
      </c>
      <c r="D961" t="s">
        <v>672</v>
      </c>
      <c r="E961">
        <v>2187</v>
      </c>
      <c r="F961" t="s">
        <v>76</v>
      </c>
      <c r="G961" s="1">
        <v>45505</v>
      </c>
      <c r="H961">
        <v>2</v>
      </c>
      <c r="I961" t="s">
        <v>32</v>
      </c>
      <c r="J961" t="s">
        <v>64</v>
      </c>
      <c r="K961">
        <v>0.25</v>
      </c>
      <c r="L961">
        <v>43.75</v>
      </c>
      <c r="M961">
        <v>175</v>
      </c>
      <c r="N961">
        <v>131.25</v>
      </c>
      <c r="O961" t="s">
        <v>44</v>
      </c>
      <c r="P961">
        <v>2187</v>
      </c>
      <c r="Q961" t="s">
        <v>76</v>
      </c>
      <c r="R961" s="1">
        <v>45505</v>
      </c>
      <c r="S961">
        <v>1</v>
      </c>
      <c r="T961" t="s">
        <v>32</v>
      </c>
      <c r="U961" t="s">
        <v>64</v>
      </c>
      <c r="V961" t="s">
        <v>3165</v>
      </c>
      <c r="W961" t="s">
        <v>1400</v>
      </c>
      <c r="X961">
        <v>7310</v>
      </c>
      <c r="Y961">
        <v>1200</v>
      </c>
      <c r="Z961">
        <v>1200</v>
      </c>
      <c r="AA961" t="s">
        <v>3166</v>
      </c>
    </row>
    <row r="962" spans="1:27" x14ac:dyDescent="0.2">
      <c r="A962">
        <v>3957</v>
      </c>
      <c r="B962" t="s">
        <v>776</v>
      </c>
      <c r="C962" t="str">
        <f>_xlfn.CONCAT(Merge[[#This Row],[Customer First Name]]," ",Merge[[#This Row],[Customer Last Name]])</f>
        <v>Erick Duncan</v>
      </c>
      <c r="D962" t="s">
        <v>312</v>
      </c>
      <c r="E962">
        <v>2188</v>
      </c>
      <c r="F962" t="s">
        <v>92</v>
      </c>
      <c r="G962" s="1">
        <v>45387</v>
      </c>
      <c r="H962">
        <v>3</v>
      </c>
      <c r="I962" t="s">
        <v>71</v>
      </c>
      <c r="J962" t="s">
        <v>47</v>
      </c>
      <c r="K962">
        <v>0.3</v>
      </c>
      <c r="L962">
        <v>313.5</v>
      </c>
      <c r="M962">
        <v>1045</v>
      </c>
      <c r="N962">
        <v>731.5</v>
      </c>
      <c r="O962" t="s">
        <v>114</v>
      </c>
      <c r="P962">
        <v>2188</v>
      </c>
      <c r="Q962" t="s">
        <v>92</v>
      </c>
      <c r="R962" s="1">
        <v>45387</v>
      </c>
      <c r="S962">
        <v>3</v>
      </c>
      <c r="T962" t="s">
        <v>71</v>
      </c>
      <c r="U962" t="s">
        <v>47</v>
      </c>
      <c r="V962" t="s">
        <v>3167</v>
      </c>
      <c r="W962" t="s">
        <v>1275</v>
      </c>
      <c r="X962">
        <v>3000</v>
      </c>
      <c r="Y962">
        <v>600</v>
      </c>
      <c r="Z962">
        <v>1800</v>
      </c>
      <c r="AA962" t="s">
        <v>3168</v>
      </c>
    </row>
    <row r="963" spans="1:27" x14ac:dyDescent="0.2">
      <c r="A963">
        <v>3958</v>
      </c>
      <c r="B963" t="s">
        <v>401</v>
      </c>
      <c r="C963" t="str">
        <f>_xlfn.CONCAT(Merge[[#This Row],[Customer First Name]]," ",Merge[[#This Row],[Customer Last Name]])</f>
        <v>Tobias Kirk</v>
      </c>
      <c r="D963" t="s">
        <v>1204</v>
      </c>
      <c r="E963">
        <v>2189</v>
      </c>
      <c r="F963" t="s">
        <v>76</v>
      </c>
      <c r="G963" s="1">
        <v>45352</v>
      </c>
      <c r="H963">
        <v>3</v>
      </c>
      <c r="I963" t="s">
        <v>52</v>
      </c>
      <c r="J963" t="s">
        <v>57</v>
      </c>
      <c r="K963">
        <v>0.25</v>
      </c>
      <c r="L963">
        <v>353.75</v>
      </c>
      <c r="M963">
        <v>1415</v>
      </c>
      <c r="N963">
        <v>1061.25</v>
      </c>
      <c r="O963" t="s">
        <v>48</v>
      </c>
      <c r="P963">
        <v>2189</v>
      </c>
      <c r="Q963" t="s">
        <v>76</v>
      </c>
      <c r="R963" s="1">
        <v>45352</v>
      </c>
      <c r="S963">
        <v>1</v>
      </c>
      <c r="T963" t="s">
        <v>52</v>
      </c>
      <c r="U963" t="s">
        <v>57</v>
      </c>
      <c r="V963" t="s">
        <v>3169</v>
      </c>
      <c r="W963" t="s">
        <v>1095</v>
      </c>
      <c r="X963">
        <v>5000</v>
      </c>
      <c r="Y963">
        <v>1200</v>
      </c>
      <c r="Z963">
        <v>1200</v>
      </c>
      <c r="AA963" t="s">
        <v>3170</v>
      </c>
    </row>
    <row r="964" spans="1:27" x14ac:dyDescent="0.2">
      <c r="A964">
        <v>3959</v>
      </c>
      <c r="B964" t="s">
        <v>1205</v>
      </c>
      <c r="C964" t="str">
        <f>_xlfn.CONCAT(Merge[[#This Row],[Customer First Name]]," ",Merge[[#This Row],[Customer Last Name]])</f>
        <v>Colin Floyd</v>
      </c>
      <c r="D964" t="s">
        <v>707</v>
      </c>
      <c r="E964">
        <v>2190</v>
      </c>
      <c r="F964" t="s">
        <v>37</v>
      </c>
      <c r="G964" s="1">
        <v>45476</v>
      </c>
      <c r="H964">
        <v>1</v>
      </c>
      <c r="I964" t="s">
        <v>32</v>
      </c>
      <c r="J964" t="s">
        <v>81</v>
      </c>
      <c r="K964">
        <v>0.3</v>
      </c>
      <c r="L964">
        <v>24</v>
      </c>
      <c r="M964">
        <v>80</v>
      </c>
      <c r="N964">
        <v>56</v>
      </c>
      <c r="O964" t="s">
        <v>54</v>
      </c>
      <c r="P964">
        <v>2190</v>
      </c>
      <c r="Q964" t="s">
        <v>37</v>
      </c>
      <c r="R964" s="1">
        <v>45476</v>
      </c>
      <c r="S964">
        <v>3</v>
      </c>
      <c r="T964" t="s">
        <v>32</v>
      </c>
      <c r="U964" t="s">
        <v>81</v>
      </c>
      <c r="V964" t="s">
        <v>3171</v>
      </c>
      <c r="W964" t="s">
        <v>1361</v>
      </c>
      <c r="X964">
        <v>870</v>
      </c>
      <c r="Y964">
        <v>800</v>
      </c>
      <c r="Z964">
        <v>2400</v>
      </c>
      <c r="AA964" t="s">
        <v>3172</v>
      </c>
    </row>
    <row r="965" spans="1:27" x14ac:dyDescent="0.2">
      <c r="A965">
        <v>3960</v>
      </c>
      <c r="B965" t="s">
        <v>1206</v>
      </c>
      <c r="C965" t="str">
        <f>_xlfn.CONCAT(Merge[[#This Row],[Customer First Name]]," ",Merge[[#This Row],[Customer Last Name]])</f>
        <v>Eliza Rojas</v>
      </c>
      <c r="D965" t="s">
        <v>158</v>
      </c>
      <c r="E965">
        <v>2191</v>
      </c>
      <c r="F965" t="s">
        <v>31</v>
      </c>
      <c r="G965" s="1">
        <v>45396</v>
      </c>
      <c r="H965">
        <v>3</v>
      </c>
      <c r="I965" t="s">
        <v>32</v>
      </c>
      <c r="J965" t="s">
        <v>43</v>
      </c>
      <c r="K965">
        <v>0.1</v>
      </c>
      <c r="L965">
        <v>136.20000000000002</v>
      </c>
      <c r="M965">
        <v>1362</v>
      </c>
      <c r="N965">
        <v>1225.8</v>
      </c>
      <c r="O965" t="s">
        <v>54</v>
      </c>
      <c r="P965">
        <v>2191</v>
      </c>
      <c r="Q965" t="s">
        <v>31</v>
      </c>
      <c r="R965" s="1">
        <v>45396</v>
      </c>
      <c r="S965">
        <v>1</v>
      </c>
      <c r="T965" t="s">
        <v>32</v>
      </c>
      <c r="U965" t="s">
        <v>43</v>
      </c>
      <c r="V965" t="s">
        <v>3173</v>
      </c>
      <c r="W965" t="s">
        <v>1244</v>
      </c>
      <c r="X965">
        <v>2300</v>
      </c>
      <c r="Y965">
        <v>250</v>
      </c>
      <c r="Z965">
        <v>250</v>
      </c>
      <c r="AA965" t="s">
        <v>3174</v>
      </c>
    </row>
    <row r="966" spans="1:27" x14ac:dyDescent="0.2">
      <c r="A966">
        <v>3961</v>
      </c>
      <c r="B966" t="s">
        <v>241</v>
      </c>
      <c r="C966" t="str">
        <f>_xlfn.CONCAT(Merge[[#This Row],[Customer First Name]]," ",Merge[[#This Row],[Customer Last Name]])</f>
        <v>Elise Singh</v>
      </c>
      <c r="D966" t="s">
        <v>266</v>
      </c>
      <c r="E966">
        <v>2192</v>
      </c>
      <c r="F966" t="s">
        <v>92</v>
      </c>
      <c r="G966" s="1">
        <v>45596</v>
      </c>
      <c r="H966">
        <v>3</v>
      </c>
      <c r="I966" t="s">
        <v>52</v>
      </c>
      <c r="J966" t="s">
        <v>53</v>
      </c>
      <c r="K966">
        <v>0.3</v>
      </c>
      <c r="L966">
        <v>531</v>
      </c>
      <c r="M966">
        <v>1770</v>
      </c>
      <c r="N966">
        <v>1239</v>
      </c>
      <c r="O966" t="s">
        <v>114</v>
      </c>
      <c r="P966">
        <v>2192</v>
      </c>
      <c r="Q966" t="s">
        <v>92</v>
      </c>
      <c r="R966" s="1">
        <v>45596</v>
      </c>
      <c r="S966">
        <v>2</v>
      </c>
      <c r="T966" t="s">
        <v>52</v>
      </c>
      <c r="U966" t="s">
        <v>53</v>
      </c>
      <c r="V966" t="s">
        <v>3175</v>
      </c>
      <c r="W966" t="s">
        <v>1305</v>
      </c>
      <c r="X966">
        <v>4000</v>
      </c>
      <c r="Y966">
        <v>600</v>
      </c>
      <c r="Z966">
        <v>1200</v>
      </c>
      <c r="AA966" t="s">
        <v>3176</v>
      </c>
    </row>
    <row r="967" spans="1:27" x14ac:dyDescent="0.2">
      <c r="A967">
        <v>3962</v>
      </c>
      <c r="B967" t="s">
        <v>744</v>
      </c>
      <c r="C967" t="str">
        <f>_xlfn.CONCAT(Merge[[#This Row],[Customer First Name]]," ",Merge[[#This Row],[Customer Last Name]])</f>
        <v>Allison Best</v>
      </c>
      <c r="D967" t="s">
        <v>1006</v>
      </c>
      <c r="E967">
        <v>2193</v>
      </c>
      <c r="F967" t="s">
        <v>76</v>
      </c>
      <c r="G967" s="1">
        <v>45605</v>
      </c>
      <c r="H967">
        <v>3</v>
      </c>
      <c r="I967" t="s">
        <v>52</v>
      </c>
      <c r="J967" t="s">
        <v>81</v>
      </c>
      <c r="K967">
        <v>0.25</v>
      </c>
      <c r="L967">
        <v>298</v>
      </c>
      <c r="M967">
        <v>1192</v>
      </c>
      <c r="N967">
        <v>894</v>
      </c>
      <c r="O967" t="s">
        <v>48</v>
      </c>
      <c r="P967">
        <v>2193</v>
      </c>
      <c r="Q967" t="s">
        <v>76</v>
      </c>
      <c r="R967" s="1">
        <v>45605</v>
      </c>
      <c r="S967">
        <v>2</v>
      </c>
      <c r="T967" t="s">
        <v>52</v>
      </c>
      <c r="U967" t="s">
        <v>81</v>
      </c>
      <c r="V967" t="s">
        <v>3177</v>
      </c>
      <c r="W967" t="s">
        <v>1361</v>
      </c>
      <c r="X967">
        <v>870</v>
      </c>
      <c r="Y967">
        <v>1200</v>
      </c>
      <c r="Z967">
        <v>2400</v>
      </c>
      <c r="AA967" t="s">
        <v>3178</v>
      </c>
    </row>
    <row r="968" spans="1:27" x14ac:dyDescent="0.2">
      <c r="A968">
        <v>3963</v>
      </c>
      <c r="B968" t="s">
        <v>897</v>
      </c>
      <c r="C968" t="str">
        <f>_xlfn.CONCAT(Merge[[#This Row],[Customer First Name]]," ",Merge[[#This Row],[Customer Last Name]])</f>
        <v>Manuel Ferguson</v>
      </c>
      <c r="D968" t="s">
        <v>177</v>
      </c>
      <c r="E968">
        <v>2194</v>
      </c>
      <c r="F968" t="s">
        <v>42</v>
      </c>
      <c r="G968" s="1">
        <v>45444</v>
      </c>
      <c r="H968">
        <v>2</v>
      </c>
      <c r="I968" t="s">
        <v>32</v>
      </c>
      <c r="J968" t="s">
        <v>57</v>
      </c>
      <c r="K968">
        <v>0.25</v>
      </c>
      <c r="L968">
        <v>301</v>
      </c>
      <c r="M968">
        <v>1204</v>
      </c>
      <c r="N968">
        <v>903</v>
      </c>
      <c r="O968" t="s">
        <v>34</v>
      </c>
      <c r="P968">
        <v>2194</v>
      </c>
      <c r="Q968" t="s">
        <v>42</v>
      </c>
      <c r="R968" s="1">
        <v>45444</v>
      </c>
      <c r="S968">
        <v>1</v>
      </c>
      <c r="T968" t="s">
        <v>32</v>
      </c>
      <c r="U968" t="s">
        <v>57</v>
      </c>
      <c r="V968" t="s">
        <v>3179</v>
      </c>
      <c r="W968" t="s">
        <v>1350</v>
      </c>
      <c r="X968">
        <v>5600</v>
      </c>
      <c r="Y968">
        <v>300</v>
      </c>
      <c r="Z968">
        <v>300</v>
      </c>
      <c r="AA968" t="s">
        <v>3180</v>
      </c>
    </row>
    <row r="969" spans="1:27" x14ac:dyDescent="0.2">
      <c r="A969">
        <v>3964</v>
      </c>
      <c r="B969" t="s">
        <v>1111</v>
      </c>
      <c r="C969" t="str">
        <f>_xlfn.CONCAT(Merge[[#This Row],[Customer First Name]]," ",Merge[[#This Row],[Customer Last Name]])</f>
        <v>Rosie Sanford</v>
      </c>
      <c r="D969" t="s">
        <v>185</v>
      </c>
      <c r="E969">
        <v>2195</v>
      </c>
      <c r="F969" t="s">
        <v>92</v>
      </c>
      <c r="G969" s="1">
        <v>45581</v>
      </c>
      <c r="H969">
        <v>1</v>
      </c>
      <c r="I969" t="s">
        <v>52</v>
      </c>
      <c r="J969" t="s">
        <v>33</v>
      </c>
      <c r="K969">
        <v>0.3</v>
      </c>
      <c r="L969">
        <v>446.4</v>
      </c>
      <c r="M969">
        <v>1488</v>
      </c>
      <c r="N969">
        <v>1041.5999999999999</v>
      </c>
      <c r="O969" t="s">
        <v>114</v>
      </c>
      <c r="P969">
        <v>2195</v>
      </c>
      <c r="Q969" t="s">
        <v>92</v>
      </c>
      <c r="R969" s="1">
        <v>45581</v>
      </c>
      <c r="S969">
        <v>2</v>
      </c>
      <c r="T969" t="s">
        <v>52</v>
      </c>
      <c r="U969" t="s">
        <v>33</v>
      </c>
      <c r="V969" t="s">
        <v>3181</v>
      </c>
      <c r="W969" t="s">
        <v>1238</v>
      </c>
      <c r="X969">
        <v>6725</v>
      </c>
      <c r="Y969">
        <v>600</v>
      </c>
      <c r="Z969">
        <v>1200</v>
      </c>
      <c r="AA969" t="s">
        <v>3182</v>
      </c>
    </row>
    <row r="970" spans="1:27" x14ac:dyDescent="0.2">
      <c r="A970">
        <v>3965</v>
      </c>
      <c r="B970" t="s">
        <v>1207</v>
      </c>
      <c r="C970" t="str">
        <f>_xlfn.CONCAT(Merge[[#This Row],[Customer First Name]]," ",Merge[[#This Row],[Customer Last Name]])</f>
        <v>Finley Dunn</v>
      </c>
      <c r="D970" t="s">
        <v>323</v>
      </c>
      <c r="E970">
        <v>2196</v>
      </c>
      <c r="F970" t="s">
        <v>51</v>
      </c>
      <c r="G970" s="1">
        <v>45427</v>
      </c>
      <c r="H970">
        <v>3</v>
      </c>
      <c r="I970" t="s">
        <v>52</v>
      </c>
      <c r="J970" t="s">
        <v>47</v>
      </c>
      <c r="K970">
        <v>0.2</v>
      </c>
      <c r="L970">
        <v>194</v>
      </c>
      <c r="M970">
        <v>970</v>
      </c>
      <c r="N970">
        <v>776</v>
      </c>
      <c r="O970" t="s">
        <v>48</v>
      </c>
      <c r="P970">
        <v>2196</v>
      </c>
      <c r="Q970" t="s">
        <v>51</v>
      </c>
      <c r="R970" s="1">
        <v>45427</v>
      </c>
      <c r="S970">
        <v>3</v>
      </c>
      <c r="T970" t="s">
        <v>52</v>
      </c>
      <c r="U970" t="s">
        <v>47</v>
      </c>
      <c r="V970" t="s">
        <v>3183</v>
      </c>
      <c r="W970" t="s">
        <v>1256</v>
      </c>
      <c r="X970">
        <v>3220</v>
      </c>
      <c r="Y970">
        <v>250</v>
      </c>
      <c r="Z970">
        <v>750</v>
      </c>
      <c r="AA970" t="s">
        <v>3184</v>
      </c>
    </row>
    <row r="971" spans="1:27" x14ac:dyDescent="0.2">
      <c r="A971">
        <v>3966</v>
      </c>
      <c r="B971" t="s">
        <v>1208</v>
      </c>
      <c r="C971" t="str">
        <f>_xlfn.CONCAT(Merge[[#This Row],[Customer First Name]]," ",Merge[[#This Row],[Customer Last Name]])</f>
        <v>Aurora Kelley</v>
      </c>
      <c r="D971" t="s">
        <v>1099</v>
      </c>
      <c r="E971">
        <v>2197</v>
      </c>
      <c r="F971" t="s">
        <v>42</v>
      </c>
      <c r="G971" s="1">
        <v>45622</v>
      </c>
      <c r="H971">
        <v>1</v>
      </c>
      <c r="I971" t="s">
        <v>52</v>
      </c>
      <c r="J971" t="s">
        <v>53</v>
      </c>
      <c r="K971">
        <v>0.25</v>
      </c>
      <c r="L971">
        <v>463</v>
      </c>
      <c r="M971">
        <v>1852</v>
      </c>
      <c r="N971">
        <v>1389</v>
      </c>
      <c r="O971" t="s">
        <v>48</v>
      </c>
      <c r="P971">
        <v>2197</v>
      </c>
      <c r="Q971" t="s">
        <v>42</v>
      </c>
      <c r="R971" s="1">
        <v>45622</v>
      </c>
      <c r="S971">
        <v>2</v>
      </c>
      <c r="T971" t="s">
        <v>52</v>
      </c>
      <c r="U971" t="s">
        <v>53</v>
      </c>
      <c r="V971" t="s">
        <v>3185</v>
      </c>
      <c r="W971" t="s">
        <v>1305</v>
      </c>
      <c r="X971">
        <v>4000</v>
      </c>
      <c r="Y971">
        <v>300</v>
      </c>
      <c r="Z971">
        <v>600</v>
      </c>
      <c r="AA971" t="s">
        <v>3186</v>
      </c>
    </row>
    <row r="972" spans="1:27" x14ac:dyDescent="0.2">
      <c r="A972">
        <v>3967</v>
      </c>
      <c r="B972" t="s">
        <v>690</v>
      </c>
      <c r="C972" t="str">
        <f>_xlfn.CONCAT(Merge[[#This Row],[Customer First Name]]," ",Merge[[#This Row],[Customer Last Name]])</f>
        <v>Dominic Livingston</v>
      </c>
      <c r="D972" t="s">
        <v>787</v>
      </c>
      <c r="E972">
        <v>2198</v>
      </c>
      <c r="F972" t="s">
        <v>92</v>
      </c>
      <c r="G972" s="1">
        <v>45390</v>
      </c>
      <c r="H972">
        <v>3</v>
      </c>
      <c r="I972" t="s">
        <v>52</v>
      </c>
      <c r="J972" t="s">
        <v>81</v>
      </c>
      <c r="K972">
        <v>0.3</v>
      </c>
      <c r="L972">
        <v>104.7</v>
      </c>
      <c r="M972">
        <v>349</v>
      </c>
      <c r="N972">
        <v>244.3</v>
      </c>
      <c r="O972" t="s">
        <v>44</v>
      </c>
      <c r="P972">
        <v>2198</v>
      </c>
      <c r="Q972" t="s">
        <v>92</v>
      </c>
      <c r="R972" s="1">
        <v>45390</v>
      </c>
      <c r="S972">
        <v>2</v>
      </c>
      <c r="T972" t="s">
        <v>52</v>
      </c>
      <c r="U972" t="s">
        <v>81</v>
      </c>
      <c r="V972" t="s">
        <v>3187</v>
      </c>
      <c r="W972" t="s">
        <v>1361</v>
      </c>
      <c r="X972">
        <v>870</v>
      </c>
      <c r="Y972">
        <v>600</v>
      </c>
      <c r="Z972">
        <v>1200</v>
      </c>
      <c r="AA972" t="s">
        <v>3188</v>
      </c>
    </row>
    <row r="973" spans="1:27" x14ac:dyDescent="0.2">
      <c r="A973">
        <v>3968</v>
      </c>
      <c r="B973" t="s">
        <v>170</v>
      </c>
      <c r="C973" t="str">
        <f>_xlfn.CONCAT(Merge[[#This Row],[Customer First Name]]," ",Merge[[#This Row],[Customer Last Name]])</f>
        <v>Kevin Bailey</v>
      </c>
      <c r="D973" t="s">
        <v>1209</v>
      </c>
      <c r="E973">
        <v>2199</v>
      </c>
      <c r="F973" t="s">
        <v>31</v>
      </c>
      <c r="G973" s="1">
        <v>45591</v>
      </c>
      <c r="H973">
        <v>1</v>
      </c>
      <c r="I973" t="s">
        <v>52</v>
      </c>
      <c r="J973" t="s">
        <v>57</v>
      </c>
      <c r="K973">
        <v>0.1</v>
      </c>
      <c r="L973">
        <v>99.4</v>
      </c>
      <c r="M973">
        <v>994</v>
      </c>
      <c r="N973">
        <v>894.6</v>
      </c>
      <c r="O973" t="s">
        <v>48</v>
      </c>
      <c r="P973">
        <v>2199</v>
      </c>
      <c r="Q973" t="s">
        <v>31</v>
      </c>
      <c r="R973" s="1">
        <v>45591</v>
      </c>
      <c r="S973">
        <v>3</v>
      </c>
      <c r="T973" t="s">
        <v>52</v>
      </c>
      <c r="U973" t="s">
        <v>57</v>
      </c>
      <c r="V973" t="s">
        <v>3189</v>
      </c>
      <c r="W973" t="s">
        <v>1253</v>
      </c>
      <c r="X973">
        <v>5290</v>
      </c>
      <c r="Y973">
        <v>250</v>
      </c>
      <c r="Z973">
        <v>750</v>
      </c>
      <c r="AA973" t="s">
        <v>3190</v>
      </c>
    </row>
    <row r="974" spans="1:27" x14ac:dyDescent="0.2">
      <c r="A974">
        <v>3969</v>
      </c>
      <c r="B974" t="s">
        <v>1210</v>
      </c>
      <c r="C974" t="str">
        <f>_xlfn.CONCAT(Merge[[#This Row],[Customer First Name]]," ",Merge[[#This Row],[Customer Last Name]])</f>
        <v>Karson Gardner</v>
      </c>
      <c r="D974" t="s">
        <v>569</v>
      </c>
      <c r="E974">
        <v>2200</v>
      </c>
      <c r="F974" t="s">
        <v>51</v>
      </c>
      <c r="G974" s="1">
        <v>45640</v>
      </c>
      <c r="H974">
        <v>1</v>
      </c>
      <c r="I974" t="s">
        <v>52</v>
      </c>
      <c r="J974" t="s">
        <v>39</v>
      </c>
      <c r="K974">
        <v>0.2</v>
      </c>
      <c r="L974">
        <v>230.60000000000002</v>
      </c>
      <c r="M974">
        <v>1153</v>
      </c>
      <c r="N974">
        <v>922.4</v>
      </c>
      <c r="O974" t="s">
        <v>54</v>
      </c>
      <c r="P974">
        <v>2200</v>
      </c>
      <c r="Q974" t="s">
        <v>51</v>
      </c>
      <c r="R974" s="1">
        <v>45640</v>
      </c>
      <c r="S974">
        <v>2</v>
      </c>
      <c r="T974" t="s">
        <v>52</v>
      </c>
      <c r="U974" t="s">
        <v>39</v>
      </c>
      <c r="V974" t="s">
        <v>3191</v>
      </c>
      <c r="W974" t="s">
        <v>1241</v>
      </c>
      <c r="X974">
        <v>2600</v>
      </c>
      <c r="Y974">
        <v>250</v>
      </c>
      <c r="Z974">
        <v>500</v>
      </c>
      <c r="AA974" t="s">
        <v>3192</v>
      </c>
    </row>
    <row r="975" spans="1:27" x14ac:dyDescent="0.2">
      <c r="A975">
        <v>3970</v>
      </c>
      <c r="B975" t="s">
        <v>658</v>
      </c>
      <c r="C975" t="str">
        <f>_xlfn.CONCAT(Merge[[#This Row],[Customer First Name]]," ",Merge[[#This Row],[Customer Last Name]])</f>
        <v>Winter Frost</v>
      </c>
      <c r="D975" t="s">
        <v>1211</v>
      </c>
      <c r="E975">
        <v>2201</v>
      </c>
      <c r="F975" t="s">
        <v>31</v>
      </c>
      <c r="G975" s="1">
        <v>45541</v>
      </c>
      <c r="H975">
        <v>3</v>
      </c>
      <c r="I975" t="s">
        <v>32</v>
      </c>
      <c r="J975" t="s">
        <v>53</v>
      </c>
      <c r="K975">
        <v>0.1</v>
      </c>
      <c r="L975">
        <v>126.9</v>
      </c>
      <c r="M975">
        <v>1269</v>
      </c>
      <c r="N975">
        <v>1142.0999999999999</v>
      </c>
      <c r="O975" t="s">
        <v>34</v>
      </c>
      <c r="P975">
        <v>2201</v>
      </c>
      <c r="Q975" t="s">
        <v>31</v>
      </c>
      <c r="R975" s="1">
        <v>45541</v>
      </c>
      <c r="S975">
        <v>3</v>
      </c>
      <c r="T975" t="s">
        <v>32</v>
      </c>
      <c r="U975" t="s">
        <v>53</v>
      </c>
      <c r="V975" t="s">
        <v>3193</v>
      </c>
      <c r="W975" t="s">
        <v>1305</v>
      </c>
      <c r="X975">
        <v>4000</v>
      </c>
      <c r="Y975">
        <v>250</v>
      </c>
      <c r="Z975">
        <v>750</v>
      </c>
      <c r="AA975" t="s">
        <v>3194</v>
      </c>
    </row>
    <row r="976" spans="1:27" x14ac:dyDescent="0.2">
      <c r="A976">
        <v>3971</v>
      </c>
      <c r="B976" t="s">
        <v>850</v>
      </c>
      <c r="C976" t="str">
        <f>_xlfn.CONCAT(Merge[[#This Row],[Customer First Name]]," ",Merge[[#This Row],[Customer Last Name]])</f>
        <v>Vivian Palacios</v>
      </c>
      <c r="D976" t="s">
        <v>875</v>
      </c>
      <c r="E976">
        <v>2202</v>
      </c>
      <c r="F976" t="s">
        <v>76</v>
      </c>
      <c r="G976" s="1">
        <v>45295</v>
      </c>
      <c r="H976">
        <v>2</v>
      </c>
      <c r="I976" t="s">
        <v>32</v>
      </c>
      <c r="J976" t="s">
        <v>64</v>
      </c>
      <c r="K976">
        <v>0.25</v>
      </c>
      <c r="L976">
        <v>137</v>
      </c>
      <c r="M976">
        <v>548</v>
      </c>
      <c r="N976">
        <v>411</v>
      </c>
      <c r="O976" t="s">
        <v>34</v>
      </c>
      <c r="P976">
        <v>2202</v>
      </c>
      <c r="Q976" t="s">
        <v>76</v>
      </c>
      <c r="R976" s="1">
        <v>45295</v>
      </c>
      <c r="S976">
        <v>2</v>
      </c>
      <c r="T976" t="s">
        <v>32</v>
      </c>
      <c r="U976" t="s">
        <v>64</v>
      </c>
      <c r="V976" t="s">
        <v>3195</v>
      </c>
      <c r="W976" t="s">
        <v>1262</v>
      </c>
      <c r="X976">
        <v>7250</v>
      </c>
      <c r="Y976">
        <v>1200</v>
      </c>
      <c r="Z976">
        <v>2400</v>
      </c>
      <c r="AA976" t="s">
        <v>3196</v>
      </c>
    </row>
    <row r="977" spans="1:27" x14ac:dyDescent="0.2">
      <c r="A977">
        <v>3972</v>
      </c>
      <c r="B977" t="s">
        <v>1212</v>
      </c>
      <c r="C977" t="str">
        <f>_xlfn.CONCAT(Merge[[#This Row],[Customer First Name]]," ",Merge[[#This Row],[Customer Last Name]])</f>
        <v>Kyle Melton</v>
      </c>
      <c r="D977" t="s">
        <v>703</v>
      </c>
      <c r="E977">
        <v>2203</v>
      </c>
      <c r="F977" t="s">
        <v>92</v>
      </c>
      <c r="G977" s="1">
        <v>45441</v>
      </c>
      <c r="H977">
        <v>1</v>
      </c>
      <c r="I977" t="s">
        <v>52</v>
      </c>
      <c r="J977" t="s">
        <v>43</v>
      </c>
      <c r="K977">
        <v>0.3</v>
      </c>
      <c r="L977">
        <v>194.7</v>
      </c>
      <c r="M977">
        <v>649</v>
      </c>
      <c r="N977">
        <v>454.3</v>
      </c>
      <c r="O977" t="s">
        <v>48</v>
      </c>
      <c r="P977">
        <v>2203</v>
      </c>
      <c r="Q977" t="s">
        <v>92</v>
      </c>
      <c r="R977" s="1">
        <v>45441</v>
      </c>
      <c r="S977">
        <v>3</v>
      </c>
      <c r="T977" t="s">
        <v>52</v>
      </c>
      <c r="U977" t="s">
        <v>43</v>
      </c>
      <c r="V977" t="s">
        <v>3197</v>
      </c>
      <c r="W977" t="s">
        <v>1299</v>
      </c>
      <c r="X977">
        <v>2500</v>
      </c>
      <c r="Y977">
        <v>600</v>
      </c>
      <c r="Z977">
        <v>1800</v>
      </c>
      <c r="AA977" t="s">
        <v>3198</v>
      </c>
    </row>
    <row r="978" spans="1:27" x14ac:dyDescent="0.2">
      <c r="A978">
        <v>3973</v>
      </c>
      <c r="B978" t="s">
        <v>1213</v>
      </c>
      <c r="C978" t="str">
        <f>_xlfn.CONCAT(Merge[[#This Row],[Customer First Name]]," ",Merge[[#This Row],[Customer Last Name]])</f>
        <v>Kate Suarez</v>
      </c>
      <c r="D978" t="s">
        <v>263</v>
      </c>
      <c r="E978">
        <v>2204</v>
      </c>
      <c r="F978" t="s">
        <v>92</v>
      </c>
      <c r="G978" s="1">
        <v>45322</v>
      </c>
      <c r="H978">
        <v>1</v>
      </c>
      <c r="I978" t="s">
        <v>71</v>
      </c>
      <c r="J978" t="s">
        <v>43</v>
      </c>
      <c r="K978">
        <v>0.3</v>
      </c>
      <c r="L978">
        <v>335.7</v>
      </c>
      <c r="M978">
        <v>1119</v>
      </c>
      <c r="N978">
        <v>783.3</v>
      </c>
      <c r="O978" t="s">
        <v>114</v>
      </c>
      <c r="P978">
        <v>2204</v>
      </c>
      <c r="Q978" t="s">
        <v>92</v>
      </c>
      <c r="R978" s="1">
        <v>45322</v>
      </c>
      <c r="S978">
        <v>1</v>
      </c>
      <c r="T978" t="s">
        <v>71</v>
      </c>
      <c r="U978" t="s">
        <v>43</v>
      </c>
      <c r="V978" t="s">
        <v>3199</v>
      </c>
      <c r="W978" t="s">
        <v>865</v>
      </c>
      <c r="X978">
        <v>2000</v>
      </c>
      <c r="Y978">
        <v>600</v>
      </c>
      <c r="Z978">
        <v>600</v>
      </c>
      <c r="AA978" t="s">
        <v>3200</v>
      </c>
    </row>
    <row r="979" spans="1:27" x14ac:dyDescent="0.2">
      <c r="A979">
        <v>3974</v>
      </c>
      <c r="B979" t="s">
        <v>1214</v>
      </c>
      <c r="C979" t="str">
        <f>_xlfn.CONCAT(Merge[[#This Row],[Customer First Name]]," ",Merge[[#This Row],[Customer Last Name]])</f>
        <v>Ezra Merritt</v>
      </c>
      <c r="D979" t="s">
        <v>1215</v>
      </c>
      <c r="E979">
        <v>2205</v>
      </c>
      <c r="F979" t="s">
        <v>51</v>
      </c>
      <c r="G979" s="1">
        <v>45432</v>
      </c>
      <c r="H979">
        <v>2</v>
      </c>
      <c r="I979" t="s">
        <v>38</v>
      </c>
      <c r="J979" t="s">
        <v>47</v>
      </c>
      <c r="K979">
        <v>0.2</v>
      </c>
      <c r="L979">
        <v>160</v>
      </c>
      <c r="M979">
        <v>800</v>
      </c>
      <c r="N979">
        <v>640</v>
      </c>
      <c r="O979" t="s">
        <v>34</v>
      </c>
      <c r="P979">
        <v>2205</v>
      </c>
      <c r="Q979" t="s">
        <v>51</v>
      </c>
      <c r="R979" s="1">
        <v>45432</v>
      </c>
      <c r="S979">
        <v>2</v>
      </c>
      <c r="T979" t="s">
        <v>38</v>
      </c>
      <c r="U979" t="s">
        <v>47</v>
      </c>
      <c r="V979" t="s">
        <v>3201</v>
      </c>
      <c r="W979" t="s">
        <v>1256</v>
      </c>
      <c r="X979">
        <v>3220</v>
      </c>
      <c r="Y979">
        <v>250</v>
      </c>
      <c r="Z979">
        <v>500</v>
      </c>
      <c r="AA979" t="s">
        <v>3202</v>
      </c>
    </row>
    <row r="980" spans="1:27" x14ac:dyDescent="0.2">
      <c r="A980">
        <v>3975</v>
      </c>
      <c r="B980" t="s">
        <v>970</v>
      </c>
      <c r="C980" t="str">
        <f>_xlfn.CONCAT(Merge[[#This Row],[Customer First Name]]," ",Merge[[#This Row],[Customer Last Name]])</f>
        <v>River Hodge</v>
      </c>
      <c r="D980" t="s">
        <v>447</v>
      </c>
      <c r="E980">
        <v>2206</v>
      </c>
      <c r="F980" t="s">
        <v>76</v>
      </c>
      <c r="G980" s="1">
        <v>45486</v>
      </c>
      <c r="H980">
        <v>3</v>
      </c>
      <c r="I980" t="s">
        <v>32</v>
      </c>
      <c r="J980" t="s">
        <v>57</v>
      </c>
      <c r="K980">
        <v>0.25</v>
      </c>
      <c r="L980">
        <v>179.5</v>
      </c>
      <c r="M980">
        <v>718</v>
      </c>
      <c r="N980">
        <v>538.5</v>
      </c>
      <c r="O980" t="s">
        <v>44</v>
      </c>
      <c r="P980">
        <v>2206</v>
      </c>
      <c r="Q980" t="s">
        <v>76</v>
      </c>
      <c r="R980" s="1">
        <v>45486</v>
      </c>
      <c r="S980">
        <v>2</v>
      </c>
      <c r="T980" t="s">
        <v>32</v>
      </c>
      <c r="U980" t="s">
        <v>57</v>
      </c>
      <c r="V980" t="s">
        <v>3203</v>
      </c>
      <c r="W980" t="s">
        <v>1350</v>
      </c>
      <c r="X980">
        <v>5600</v>
      </c>
      <c r="Y980">
        <v>1200</v>
      </c>
      <c r="Z980">
        <v>2400</v>
      </c>
      <c r="AA980" t="s">
        <v>3204</v>
      </c>
    </row>
    <row r="981" spans="1:27" x14ac:dyDescent="0.2">
      <c r="A981">
        <v>3976</v>
      </c>
      <c r="B981" t="s">
        <v>211</v>
      </c>
      <c r="C981" t="str">
        <f>_xlfn.CONCAT(Merge[[#This Row],[Customer First Name]]," ",Merge[[#This Row],[Customer Last Name]])</f>
        <v>Lennox Clay</v>
      </c>
      <c r="D981" t="s">
        <v>531</v>
      </c>
      <c r="E981">
        <v>2207</v>
      </c>
      <c r="F981" t="s">
        <v>76</v>
      </c>
      <c r="G981" s="1">
        <v>45492</v>
      </c>
      <c r="H981">
        <v>1</v>
      </c>
      <c r="I981" t="s">
        <v>52</v>
      </c>
      <c r="J981" t="s">
        <v>33</v>
      </c>
      <c r="K981">
        <v>0.25</v>
      </c>
      <c r="L981">
        <v>43.75</v>
      </c>
      <c r="M981">
        <v>175</v>
      </c>
      <c r="N981">
        <v>131.25</v>
      </c>
      <c r="O981" t="s">
        <v>54</v>
      </c>
      <c r="P981">
        <v>2207</v>
      </c>
      <c r="Q981" t="s">
        <v>76</v>
      </c>
      <c r="R981" s="1">
        <v>45492</v>
      </c>
      <c r="S981">
        <v>1</v>
      </c>
      <c r="T981" t="s">
        <v>52</v>
      </c>
      <c r="U981" t="s">
        <v>33</v>
      </c>
      <c r="V981" t="s">
        <v>3205</v>
      </c>
      <c r="W981" t="s">
        <v>1238</v>
      </c>
      <c r="X981">
        <v>6725</v>
      </c>
      <c r="Y981">
        <v>1200</v>
      </c>
      <c r="Z981">
        <v>1200</v>
      </c>
      <c r="AA981" t="s">
        <v>3206</v>
      </c>
    </row>
    <row r="982" spans="1:27" x14ac:dyDescent="0.2">
      <c r="A982">
        <v>3977</v>
      </c>
      <c r="B982" t="s">
        <v>1148</v>
      </c>
      <c r="C982" t="str">
        <f>_xlfn.CONCAT(Merge[[#This Row],[Customer First Name]]," ",Merge[[#This Row],[Customer Last Name]])</f>
        <v>Uriel Knapp</v>
      </c>
      <c r="D982" t="s">
        <v>1216</v>
      </c>
      <c r="E982">
        <v>2208</v>
      </c>
      <c r="F982" t="s">
        <v>42</v>
      </c>
      <c r="G982" s="1">
        <v>45444</v>
      </c>
      <c r="H982">
        <v>3</v>
      </c>
      <c r="I982" t="s">
        <v>32</v>
      </c>
      <c r="J982" t="s">
        <v>81</v>
      </c>
      <c r="K982">
        <v>0.25</v>
      </c>
      <c r="L982">
        <v>78.5</v>
      </c>
      <c r="M982">
        <v>314</v>
      </c>
      <c r="N982">
        <v>235.5</v>
      </c>
      <c r="O982" t="s">
        <v>54</v>
      </c>
      <c r="P982">
        <v>2208</v>
      </c>
      <c r="Q982" t="s">
        <v>42</v>
      </c>
      <c r="R982" s="1">
        <v>45444</v>
      </c>
      <c r="S982">
        <v>3</v>
      </c>
      <c r="T982" t="s">
        <v>32</v>
      </c>
      <c r="U982" t="s">
        <v>81</v>
      </c>
      <c r="V982" t="s">
        <v>3207</v>
      </c>
      <c r="W982" t="s">
        <v>1280</v>
      </c>
      <c r="X982">
        <v>800</v>
      </c>
      <c r="Y982">
        <v>300</v>
      </c>
      <c r="Z982">
        <v>900</v>
      </c>
      <c r="AA982" t="s">
        <v>3208</v>
      </c>
    </row>
    <row r="983" spans="1:27" x14ac:dyDescent="0.2">
      <c r="A983">
        <v>3978</v>
      </c>
      <c r="B983" t="s">
        <v>467</v>
      </c>
      <c r="C983" t="str">
        <f>_xlfn.CONCAT(Merge[[#This Row],[Customer First Name]]," ",Merge[[#This Row],[Customer Last Name]])</f>
        <v>Stella Sexton</v>
      </c>
      <c r="D983" t="s">
        <v>1217</v>
      </c>
      <c r="E983">
        <v>2209</v>
      </c>
      <c r="F983" t="s">
        <v>51</v>
      </c>
      <c r="G983" s="1">
        <v>45305</v>
      </c>
      <c r="H983">
        <v>2</v>
      </c>
      <c r="I983" t="s">
        <v>32</v>
      </c>
      <c r="J983" t="s">
        <v>43</v>
      </c>
      <c r="K983">
        <v>0.2</v>
      </c>
      <c r="L983">
        <v>82</v>
      </c>
      <c r="M983">
        <v>410</v>
      </c>
      <c r="N983">
        <v>328</v>
      </c>
      <c r="O983" t="s">
        <v>34</v>
      </c>
      <c r="P983">
        <v>2209</v>
      </c>
      <c r="Q983" t="s">
        <v>51</v>
      </c>
      <c r="R983" s="1">
        <v>45305</v>
      </c>
      <c r="S983">
        <v>3</v>
      </c>
      <c r="T983" t="s">
        <v>32</v>
      </c>
      <c r="U983" t="s">
        <v>43</v>
      </c>
      <c r="V983" t="s">
        <v>3209</v>
      </c>
      <c r="W983" t="s">
        <v>865</v>
      </c>
      <c r="X983">
        <v>2000</v>
      </c>
      <c r="Y983">
        <v>250</v>
      </c>
      <c r="Z983">
        <v>750</v>
      </c>
      <c r="AA983" t="s">
        <v>3210</v>
      </c>
    </row>
    <row r="984" spans="1:27" x14ac:dyDescent="0.2">
      <c r="A984">
        <v>3979</v>
      </c>
      <c r="B984" t="s">
        <v>225</v>
      </c>
      <c r="C984" t="str">
        <f>_xlfn.CONCAT(Merge[[#This Row],[Customer First Name]]," ",Merge[[#This Row],[Customer Last Name]])</f>
        <v>Sebastian Luna</v>
      </c>
      <c r="D984" t="s">
        <v>883</v>
      </c>
      <c r="E984">
        <v>2210</v>
      </c>
      <c r="F984" t="s">
        <v>76</v>
      </c>
      <c r="G984" s="1">
        <v>45392</v>
      </c>
      <c r="H984">
        <v>3</v>
      </c>
      <c r="I984" t="s">
        <v>32</v>
      </c>
      <c r="J984" t="s">
        <v>57</v>
      </c>
      <c r="K984">
        <v>0.25</v>
      </c>
      <c r="L984">
        <v>430.75</v>
      </c>
      <c r="M984">
        <v>1723</v>
      </c>
      <c r="N984">
        <v>1292.25</v>
      </c>
      <c r="O984" t="s">
        <v>34</v>
      </c>
      <c r="P984">
        <v>2210</v>
      </c>
      <c r="Q984" t="s">
        <v>76</v>
      </c>
      <c r="R984" s="1">
        <v>45392</v>
      </c>
      <c r="S984">
        <v>3</v>
      </c>
      <c r="T984" t="s">
        <v>32</v>
      </c>
      <c r="U984" t="s">
        <v>57</v>
      </c>
      <c r="V984" t="s">
        <v>3211</v>
      </c>
      <c r="W984" t="s">
        <v>1253</v>
      </c>
      <c r="X984">
        <v>5290</v>
      </c>
      <c r="Y984">
        <v>1200</v>
      </c>
      <c r="Z984">
        <v>3600</v>
      </c>
      <c r="AA984" t="s">
        <v>3212</v>
      </c>
    </row>
    <row r="985" spans="1:27" x14ac:dyDescent="0.2">
      <c r="A985">
        <v>3980</v>
      </c>
      <c r="B985" t="s">
        <v>292</v>
      </c>
      <c r="C985" t="str">
        <f>_xlfn.CONCAT(Merge[[#This Row],[Customer First Name]]," ",Merge[[#This Row],[Customer Last Name]])</f>
        <v>Sarai Kirby</v>
      </c>
      <c r="D985" t="s">
        <v>120</v>
      </c>
      <c r="E985">
        <v>2211</v>
      </c>
      <c r="F985" t="s">
        <v>92</v>
      </c>
      <c r="G985" s="1">
        <v>45561</v>
      </c>
      <c r="H985">
        <v>2</v>
      </c>
      <c r="I985" t="s">
        <v>52</v>
      </c>
      <c r="J985" t="s">
        <v>64</v>
      </c>
      <c r="K985">
        <v>0.3</v>
      </c>
      <c r="L985">
        <v>350.09999999999997</v>
      </c>
      <c r="M985">
        <v>1167</v>
      </c>
      <c r="N985">
        <v>816.90000000000009</v>
      </c>
      <c r="O985" t="s">
        <v>44</v>
      </c>
      <c r="P985">
        <v>2211</v>
      </c>
      <c r="Q985" t="s">
        <v>92</v>
      </c>
      <c r="R985" s="1">
        <v>45561</v>
      </c>
      <c r="S985">
        <v>1</v>
      </c>
      <c r="T985" t="s">
        <v>52</v>
      </c>
      <c r="U985" t="s">
        <v>64</v>
      </c>
      <c r="V985" t="s">
        <v>3213</v>
      </c>
      <c r="W985" t="s">
        <v>1265</v>
      </c>
      <c r="X985">
        <v>7000</v>
      </c>
      <c r="Y985">
        <v>600</v>
      </c>
      <c r="Z985">
        <v>600</v>
      </c>
      <c r="AA985" t="s">
        <v>3214</v>
      </c>
    </row>
    <row r="986" spans="1:27" x14ac:dyDescent="0.2">
      <c r="A986">
        <v>3981</v>
      </c>
      <c r="B986" t="s">
        <v>686</v>
      </c>
      <c r="C986" t="str">
        <f>_xlfn.CONCAT(Merge[[#This Row],[Customer First Name]]," ",Merge[[#This Row],[Customer Last Name]])</f>
        <v>Aaliyah Daugherty</v>
      </c>
      <c r="D986" t="s">
        <v>1009</v>
      </c>
      <c r="E986">
        <v>2212</v>
      </c>
      <c r="F986" t="s">
        <v>37</v>
      </c>
      <c r="G986" s="1">
        <v>45484</v>
      </c>
      <c r="H986">
        <v>3</v>
      </c>
      <c r="I986" t="s">
        <v>52</v>
      </c>
      <c r="J986" t="s">
        <v>64</v>
      </c>
      <c r="K986">
        <v>0.3</v>
      </c>
      <c r="L986">
        <v>551.1</v>
      </c>
      <c r="M986">
        <v>1837</v>
      </c>
      <c r="N986">
        <v>1285.9000000000001</v>
      </c>
      <c r="O986" t="s">
        <v>54</v>
      </c>
      <c r="P986">
        <v>2212</v>
      </c>
      <c r="Q986" t="s">
        <v>37</v>
      </c>
      <c r="R986" s="1">
        <v>45484</v>
      </c>
      <c r="S986">
        <v>2</v>
      </c>
      <c r="T986" t="s">
        <v>52</v>
      </c>
      <c r="U986" t="s">
        <v>64</v>
      </c>
      <c r="V986" t="s">
        <v>3215</v>
      </c>
      <c r="W986" t="s">
        <v>1400</v>
      </c>
      <c r="X986">
        <v>7310</v>
      </c>
      <c r="Y986">
        <v>800</v>
      </c>
      <c r="Z986">
        <v>1600</v>
      </c>
      <c r="AA986" t="s">
        <v>3216</v>
      </c>
    </row>
    <row r="987" spans="1:27" x14ac:dyDescent="0.2">
      <c r="A987">
        <v>3982</v>
      </c>
      <c r="B987" t="s">
        <v>1218</v>
      </c>
      <c r="C987" t="str">
        <f>_xlfn.CONCAT(Merge[[#This Row],[Customer First Name]]," ",Merge[[#This Row],[Customer Last Name]])</f>
        <v>King Armstrong</v>
      </c>
      <c r="D987" t="s">
        <v>433</v>
      </c>
      <c r="E987">
        <v>2213</v>
      </c>
      <c r="F987" t="s">
        <v>76</v>
      </c>
      <c r="G987" s="1">
        <v>45307</v>
      </c>
      <c r="H987">
        <v>2</v>
      </c>
      <c r="I987" t="s">
        <v>71</v>
      </c>
      <c r="J987" t="s">
        <v>81</v>
      </c>
      <c r="K987">
        <v>0.25</v>
      </c>
      <c r="L987">
        <v>405.5</v>
      </c>
      <c r="M987">
        <v>1622</v>
      </c>
      <c r="N987">
        <v>1216.5</v>
      </c>
      <c r="O987" t="s">
        <v>34</v>
      </c>
      <c r="P987">
        <v>2213</v>
      </c>
      <c r="Q987" t="s">
        <v>76</v>
      </c>
      <c r="R987" s="1">
        <v>45307</v>
      </c>
      <c r="S987">
        <v>2</v>
      </c>
      <c r="T987" t="s">
        <v>71</v>
      </c>
      <c r="U987" t="s">
        <v>81</v>
      </c>
      <c r="V987" t="s">
        <v>3217</v>
      </c>
      <c r="W987" t="s">
        <v>1280</v>
      </c>
      <c r="X987">
        <v>800</v>
      </c>
      <c r="Y987">
        <v>1200</v>
      </c>
      <c r="Z987">
        <v>2400</v>
      </c>
      <c r="AA987" t="s">
        <v>3218</v>
      </c>
    </row>
    <row r="988" spans="1:27" x14ac:dyDescent="0.2">
      <c r="A988">
        <v>3983</v>
      </c>
      <c r="B988" t="s">
        <v>658</v>
      </c>
      <c r="C988" t="str">
        <f>_xlfn.CONCAT(Merge[[#This Row],[Customer First Name]]," ",Merge[[#This Row],[Customer Last Name]])</f>
        <v>Jordan Frost</v>
      </c>
      <c r="D988" t="s">
        <v>348</v>
      </c>
      <c r="E988">
        <v>2214</v>
      </c>
      <c r="F988" t="s">
        <v>37</v>
      </c>
      <c r="G988" s="1">
        <v>45353</v>
      </c>
      <c r="H988">
        <v>2</v>
      </c>
      <c r="I988" t="s">
        <v>52</v>
      </c>
      <c r="J988" t="s">
        <v>57</v>
      </c>
      <c r="K988">
        <v>0.3</v>
      </c>
      <c r="L988">
        <v>423.3</v>
      </c>
      <c r="M988">
        <v>1411</v>
      </c>
      <c r="N988">
        <v>987.7</v>
      </c>
      <c r="O988" t="s">
        <v>34</v>
      </c>
      <c r="P988">
        <v>2214</v>
      </c>
      <c r="Q988" t="s">
        <v>37</v>
      </c>
      <c r="R988" s="1">
        <v>45353</v>
      </c>
      <c r="S988">
        <v>1</v>
      </c>
      <c r="T988" t="s">
        <v>52</v>
      </c>
      <c r="U988" t="s">
        <v>57</v>
      </c>
      <c r="V988" t="s">
        <v>3219</v>
      </c>
      <c r="W988" t="s">
        <v>1350</v>
      </c>
      <c r="X988">
        <v>5600</v>
      </c>
      <c r="Y988">
        <v>800</v>
      </c>
      <c r="Z988">
        <v>800</v>
      </c>
      <c r="AA988" t="s">
        <v>3220</v>
      </c>
    </row>
    <row r="989" spans="1:27" x14ac:dyDescent="0.2">
      <c r="A989">
        <v>3984</v>
      </c>
      <c r="B989" t="s">
        <v>979</v>
      </c>
      <c r="C989" t="str">
        <f>_xlfn.CONCAT(Merge[[#This Row],[Customer First Name]]," ",Merge[[#This Row],[Customer Last Name]])</f>
        <v>Angelo Rhodes</v>
      </c>
      <c r="D989" t="s">
        <v>1219</v>
      </c>
      <c r="E989">
        <v>2215</v>
      </c>
      <c r="F989" t="s">
        <v>31</v>
      </c>
      <c r="G989" s="1">
        <v>45351</v>
      </c>
      <c r="H989">
        <v>1</v>
      </c>
      <c r="I989" t="s">
        <v>52</v>
      </c>
      <c r="J989" t="s">
        <v>47</v>
      </c>
      <c r="K989">
        <v>0.1</v>
      </c>
      <c r="L989">
        <v>30.5</v>
      </c>
      <c r="M989">
        <v>305</v>
      </c>
      <c r="N989">
        <v>274.5</v>
      </c>
      <c r="O989" t="s">
        <v>54</v>
      </c>
      <c r="P989">
        <v>2215</v>
      </c>
      <c r="Q989" t="s">
        <v>31</v>
      </c>
      <c r="R989" s="1">
        <v>45351</v>
      </c>
      <c r="S989">
        <v>2</v>
      </c>
      <c r="T989" t="s">
        <v>52</v>
      </c>
      <c r="U989" t="s">
        <v>47</v>
      </c>
      <c r="V989" t="s">
        <v>3221</v>
      </c>
      <c r="W989" t="s">
        <v>1275</v>
      </c>
      <c r="X989">
        <v>3000</v>
      </c>
      <c r="Y989">
        <v>250</v>
      </c>
      <c r="Z989">
        <v>500</v>
      </c>
      <c r="AA989" t="s">
        <v>3222</v>
      </c>
    </row>
    <row r="990" spans="1:27" x14ac:dyDescent="0.2">
      <c r="A990">
        <v>3985</v>
      </c>
      <c r="B990" t="s">
        <v>760</v>
      </c>
      <c r="C990" t="str">
        <f>_xlfn.CONCAT(Merge[[#This Row],[Customer First Name]]," ",Merge[[#This Row],[Customer Last Name]])</f>
        <v>Ruth Lucas</v>
      </c>
      <c r="D990" t="s">
        <v>1220</v>
      </c>
      <c r="E990">
        <v>2216</v>
      </c>
      <c r="F990" t="s">
        <v>42</v>
      </c>
      <c r="G990" s="1">
        <v>45645</v>
      </c>
      <c r="H990">
        <v>3</v>
      </c>
      <c r="I990" t="s">
        <v>52</v>
      </c>
      <c r="J990" t="s">
        <v>33</v>
      </c>
      <c r="K990">
        <v>0.25</v>
      </c>
      <c r="L990">
        <v>379</v>
      </c>
      <c r="M990">
        <v>1516</v>
      </c>
      <c r="N990">
        <v>1137</v>
      </c>
      <c r="O990" t="s">
        <v>114</v>
      </c>
      <c r="P990">
        <v>2216</v>
      </c>
      <c r="Q990" t="s">
        <v>42</v>
      </c>
      <c r="R990" s="1">
        <v>45645</v>
      </c>
      <c r="S990">
        <v>3</v>
      </c>
      <c r="T990" t="s">
        <v>52</v>
      </c>
      <c r="U990" t="s">
        <v>33</v>
      </c>
      <c r="V990" t="s">
        <v>3223</v>
      </c>
      <c r="W990" t="s">
        <v>1259</v>
      </c>
      <c r="X990">
        <v>6160</v>
      </c>
      <c r="Y990">
        <v>300</v>
      </c>
      <c r="Z990">
        <v>900</v>
      </c>
      <c r="AA990" t="s">
        <v>3224</v>
      </c>
    </row>
    <row r="991" spans="1:27" x14ac:dyDescent="0.2">
      <c r="A991">
        <v>3986</v>
      </c>
      <c r="B991" t="s">
        <v>60</v>
      </c>
      <c r="C991" t="str">
        <f>_xlfn.CONCAT(Merge[[#This Row],[Customer First Name]]," ",Merge[[#This Row],[Customer Last Name]])</f>
        <v>Zayne Rice</v>
      </c>
      <c r="D991" t="s">
        <v>831</v>
      </c>
      <c r="E991">
        <v>2217</v>
      </c>
      <c r="F991" t="s">
        <v>76</v>
      </c>
      <c r="G991" s="1">
        <v>45646</v>
      </c>
      <c r="H991">
        <v>1</v>
      </c>
      <c r="I991" t="s">
        <v>52</v>
      </c>
      <c r="J991" t="s">
        <v>39</v>
      </c>
      <c r="K991">
        <v>0.25</v>
      </c>
      <c r="L991">
        <v>247.75</v>
      </c>
      <c r="M991">
        <v>991</v>
      </c>
      <c r="N991">
        <v>743.25</v>
      </c>
      <c r="O991" t="s">
        <v>48</v>
      </c>
      <c r="P991">
        <v>2217</v>
      </c>
      <c r="Q991" t="s">
        <v>76</v>
      </c>
      <c r="R991" s="1">
        <v>45646</v>
      </c>
      <c r="S991">
        <v>2</v>
      </c>
      <c r="T991" t="s">
        <v>52</v>
      </c>
      <c r="U991" t="s">
        <v>39</v>
      </c>
      <c r="V991" t="s">
        <v>3225</v>
      </c>
      <c r="W991" t="s">
        <v>1241</v>
      </c>
      <c r="X991">
        <v>2600</v>
      </c>
      <c r="Y991">
        <v>1200</v>
      </c>
      <c r="Z991">
        <v>2400</v>
      </c>
      <c r="AA991" t="s">
        <v>3226</v>
      </c>
    </row>
    <row r="992" spans="1:27" x14ac:dyDescent="0.2">
      <c r="A992">
        <v>3987</v>
      </c>
      <c r="B992" t="s">
        <v>801</v>
      </c>
      <c r="C992" t="str">
        <f>_xlfn.CONCAT(Merge[[#This Row],[Customer First Name]]," ",Merge[[#This Row],[Customer Last Name]])</f>
        <v>Miracle Zuniga</v>
      </c>
      <c r="D992" t="s">
        <v>684</v>
      </c>
      <c r="E992">
        <v>2218</v>
      </c>
      <c r="F992" t="s">
        <v>76</v>
      </c>
      <c r="G992" s="1">
        <v>45551</v>
      </c>
      <c r="H992">
        <v>3</v>
      </c>
      <c r="I992" t="s">
        <v>32</v>
      </c>
      <c r="J992" t="s">
        <v>39</v>
      </c>
      <c r="K992">
        <v>0.25</v>
      </c>
      <c r="L992">
        <v>217.75</v>
      </c>
      <c r="M992">
        <v>871</v>
      </c>
      <c r="N992">
        <v>653.25</v>
      </c>
      <c r="O992" t="s">
        <v>44</v>
      </c>
      <c r="P992">
        <v>2218</v>
      </c>
      <c r="Q992" t="s">
        <v>76</v>
      </c>
      <c r="R992" s="1">
        <v>45551</v>
      </c>
      <c r="S992">
        <v>1</v>
      </c>
      <c r="T992" t="s">
        <v>32</v>
      </c>
      <c r="U992" t="s">
        <v>39</v>
      </c>
      <c r="V992" t="s">
        <v>3227</v>
      </c>
      <c r="W992" t="s">
        <v>1241</v>
      </c>
      <c r="X992">
        <v>2600</v>
      </c>
      <c r="Y992">
        <v>1200</v>
      </c>
      <c r="Z992">
        <v>1200</v>
      </c>
      <c r="AA992" t="s">
        <v>3228</v>
      </c>
    </row>
    <row r="993" spans="1:27" x14ac:dyDescent="0.2">
      <c r="A993">
        <v>3988</v>
      </c>
      <c r="B993" t="s">
        <v>1221</v>
      </c>
      <c r="C993" t="str">
        <f>_xlfn.CONCAT(Merge[[#This Row],[Customer First Name]]," ",Merge[[#This Row],[Customer Last Name]])</f>
        <v>Blair Clements</v>
      </c>
      <c r="D993" t="s">
        <v>1222</v>
      </c>
      <c r="E993">
        <v>2219</v>
      </c>
      <c r="F993" t="s">
        <v>76</v>
      </c>
      <c r="G993" s="1">
        <v>45476</v>
      </c>
      <c r="H993">
        <v>1</v>
      </c>
      <c r="I993" t="s">
        <v>52</v>
      </c>
      <c r="J993" t="s">
        <v>47</v>
      </c>
      <c r="K993">
        <v>0.25</v>
      </c>
      <c r="L993">
        <v>125.25</v>
      </c>
      <c r="M993">
        <v>501</v>
      </c>
      <c r="N993">
        <v>375.75</v>
      </c>
      <c r="O993" t="s">
        <v>34</v>
      </c>
      <c r="P993">
        <v>2219</v>
      </c>
      <c r="Q993" t="s">
        <v>76</v>
      </c>
      <c r="R993" s="1">
        <v>45476</v>
      </c>
      <c r="S993">
        <v>3</v>
      </c>
      <c r="T993" t="s">
        <v>52</v>
      </c>
      <c r="U993" t="s">
        <v>47</v>
      </c>
      <c r="V993" t="s">
        <v>3229</v>
      </c>
      <c r="W993" t="s">
        <v>1275</v>
      </c>
      <c r="X993">
        <v>3000</v>
      </c>
      <c r="Y993">
        <v>1200</v>
      </c>
      <c r="Z993">
        <v>3600</v>
      </c>
      <c r="AA993" t="s">
        <v>3230</v>
      </c>
    </row>
    <row r="994" spans="1:27" x14ac:dyDescent="0.2">
      <c r="A994">
        <v>3989</v>
      </c>
      <c r="B994" t="s">
        <v>1223</v>
      </c>
      <c r="C994" t="str">
        <f>_xlfn.CONCAT(Merge[[#This Row],[Customer First Name]]," ",Merge[[#This Row],[Customer Last Name]])</f>
        <v>Natalie Butler</v>
      </c>
      <c r="D994" t="s">
        <v>1224</v>
      </c>
      <c r="E994">
        <v>2220</v>
      </c>
      <c r="F994" t="s">
        <v>42</v>
      </c>
      <c r="G994" s="1">
        <v>45499</v>
      </c>
      <c r="H994">
        <v>3</v>
      </c>
      <c r="I994" t="s">
        <v>52</v>
      </c>
      <c r="J994" t="s">
        <v>81</v>
      </c>
      <c r="K994">
        <v>0.25</v>
      </c>
      <c r="L994">
        <v>73.25</v>
      </c>
      <c r="M994">
        <v>293</v>
      </c>
      <c r="N994">
        <v>219.75</v>
      </c>
      <c r="O994" t="s">
        <v>34</v>
      </c>
      <c r="P994">
        <v>2220</v>
      </c>
      <c r="Q994" t="s">
        <v>42</v>
      </c>
      <c r="R994" s="1">
        <v>45499</v>
      </c>
      <c r="S994">
        <v>3</v>
      </c>
      <c r="T994" t="s">
        <v>52</v>
      </c>
      <c r="U994" t="s">
        <v>81</v>
      </c>
      <c r="V994" t="s">
        <v>3231</v>
      </c>
      <c r="W994" t="s">
        <v>1280</v>
      </c>
      <c r="X994">
        <v>800</v>
      </c>
      <c r="Y994">
        <v>300</v>
      </c>
      <c r="Z994">
        <v>900</v>
      </c>
      <c r="AA994" t="s">
        <v>3232</v>
      </c>
    </row>
    <row r="995" spans="1:27" x14ac:dyDescent="0.2">
      <c r="A995">
        <v>3990</v>
      </c>
      <c r="B995" t="s">
        <v>1225</v>
      </c>
      <c r="C995" t="str">
        <f>_xlfn.CONCAT(Merge[[#This Row],[Customer First Name]]," ",Merge[[#This Row],[Customer Last Name]])</f>
        <v>Elian Patel</v>
      </c>
      <c r="D995" t="s">
        <v>1010</v>
      </c>
      <c r="E995">
        <v>2221</v>
      </c>
      <c r="F995" t="s">
        <v>76</v>
      </c>
      <c r="G995" s="1">
        <v>45589</v>
      </c>
      <c r="H995">
        <v>3</v>
      </c>
      <c r="I995" t="s">
        <v>52</v>
      </c>
      <c r="J995" t="s">
        <v>53</v>
      </c>
      <c r="K995">
        <v>0.25</v>
      </c>
      <c r="L995">
        <v>88.25</v>
      </c>
      <c r="M995">
        <v>353</v>
      </c>
      <c r="N995">
        <v>264.75</v>
      </c>
      <c r="O995" t="s">
        <v>34</v>
      </c>
      <c r="P995">
        <v>2221</v>
      </c>
      <c r="Q995" t="s">
        <v>76</v>
      </c>
      <c r="R995" s="1">
        <v>45589</v>
      </c>
      <c r="S995">
        <v>3</v>
      </c>
      <c r="T995" t="s">
        <v>52</v>
      </c>
      <c r="U995" t="s">
        <v>53</v>
      </c>
      <c r="V995" t="s">
        <v>3233</v>
      </c>
      <c r="W995" t="s">
        <v>1305</v>
      </c>
      <c r="X995">
        <v>4000</v>
      </c>
      <c r="Y995">
        <v>1200</v>
      </c>
      <c r="Z995">
        <v>3600</v>
      </c>
      <c r="AA995" t="s">
        <v>3234</v>
      </c>
    </row>
    <row r="996" spans="1:27" x14ac:dyDescent="0.2">
      <c r="A996">
        <v>3991</v>
      </c>
      <c r="B996" t="s">
        <v>899</v>
      </c>
      <c r="C996" t="str">
        <f>_xlfn.CONCAT(Merge[[#This Row],[Customer First Name]]," ",Merge[[#This Row],[Customer Last Name]])</f>
        <v>Sterling Gonzalez</v>
      </c>
      <c r="D996" t="s">
        <v>963</v>
      </c>
      <c r="E996">
        <v>2222</v>
      </c>
      <c r="F996" t="s">
        <v>76</v>
      </c>
      <c r="G996" s="1">
        <v>45404</v>
      </c>
      <c r="H996">
        <v>3</v>
      </c>
      <c r="I996" t="s">
        <v>32</v>
      </c>
      <c r="J996" t="s">
        <v>33</v>
      </c>
      <c r="K996">
        <v>0.25</v>
      </c>
      <c r="L996">
        <v>62.5</v>
      </c>
      <c r="M996">
        <v>250</v>
      </c>
      <c r="N996">
        <v>187.5</v>
      </c>
      <c r="O996" t="s">
        <v>114</v>
      </c>
      <c r="P996">
        <v>2222</v>
      </c>
      <c r="Q996" t="s">
        <v>76</v>
      </c>
      <c r="R996" s="1">
        <v>45404</v>
      </c>
      <c r="S996">
        <v>3</v>
      </c>
      <c r="T996" t="s">
        <v>32</v>
      </c>
      <c r="U996" t="s">
        <v>33</v>
      </c>
      <c r="V996" t="s">
        <v>3235</v>
      </c>
      <c r="W996" t="s">
        <v>1259</v>
      </c>
      <c r="X996">
        <v>6160</v>
      </c>
      <c r="Y996">
        <v>1200</v>
      </c>
      <c r="Z996">
        <v>3600</v>
      </c>
      <c r="AA996" t="s">
        <v>3236</v>
      </c>
    </row>
    <row r="997" spans="1:27" x14ac:dyDescent="0.2">
      <c r="A997">
        <v>3992</v>
      </c>
      <c r="B997" t="s">
        <v>1226</v>
      </c>
      <c r="C997" t="str">
        <f>_xlfn.CONCAT(Merge[[#This Row],[Customer First Name]]," ",Merge[[#This Row],[Customer Last Name]])</f>
        <v>Bentley Holmes</v>
      </c>
      <c r="D997" t="s">
        <v>172</v>
      </c>
      <c r="E997">
        <v>2223</v>
      </c>
      <c r="F997" t="s">
        <v>42</v>
      </c>
      <c r="G997" s="1">
        <v>45518</v>
      </c>
      <c r="H997">
        <v>2</v>
      </c>
      <c r="I997" t="s">
        <v>52</v>
      </c>
      <c r="J997" t="s">
        <v>81</v>
      </c>
      <c r="K997">
        <v>0.25</v>
      </c>
      <c r="L997">
        <v>25.5</v>
      </c>
      <c r="M997">
        <v>102</v>
      </c>
      <c r="N997">
        <v>76.5</v>
      </c>
      <c r="O997" t="s">
        <v>114</v>
      </c>
      <c r="P997">
        <v>2223</v>
      </c>
      <c r="Q997" t="s">
        <v>42</v>
      </c>
      <c r="R997" s="1">
        <v>45518</v>
      </c>
      <c r="S997">
        <v>2</v>
      </c>
      <c r="T997" t="s">
        <v>52</v>
      </c>
      <c r="U997" t="s">
        <v>81</v>
      </c>
      <c r="V997" t="s">
        <v>3237</v>
      </c>
      <c r="W997" t="s">
        <v>1280</v>
      </c>
      <c r="X997">
        <v>800</v>
      </c>
      <c r="Y997">
        <v>300</v>
      </c>
      <c r="Z997">
        <v>600</v>
      </c>
      <c r="AA997" t="s">
        <v>3238</v>
      </c>
    </row>
    <row r="998" spans="1:27" x14ac:dyDescent="0.2">
      <c r="A998">
        <v>3993</v>
      </c>
      <c r="B998" t="s">
        <v>848</v>
      </c>
      <c r="C998" t="str">
        <f>_xlfn.CONCAT(Merge[[#This Row],[Customer First Name]]," ",Merge[[#This Row],[Customer Last Name]])</f>
        <v>Frederick Sims</v>
      </c>
      <c r="D998" t="s">
        <v>811</v>
      </c>
      <c r="E998">
        <v>2224</v>
      </c>
      <c r="F998" t="s">
        <v>51</v>
      </c>
      <c r="G998" s="1">
        <v>45437</v>
      </c>
      <c r="H998">
        <v>3</v>
      </c>
      <c r="I998" t="s">
        <v>32</v>
      </c>
      <c r="J998" t="s">
        <v>64</v>
      </c>
      <c r="K998">
        <v>0.2</v>
      </c>
      <c r="L998">
        <v>168.60000000000002</v>
      </c>
      <c r="M998">
        <v>843</v>
      </c>
      <c r="N998">
        <v>674.4</v>
      </c>
      <c r="O998" t="s">
        <v>34</v>
      </c>
      <c r="P998">
        <v>2224</v>
      </c>
      <c r="Q998" t="s">
        <v>51</v>
      </c>
      <c r="R998" s="1">
        <v>45437</v>
      </c>
      <c r="S998">
        <v>2</v>
      </c>
      <c r="T998" t="s">
        <v>32</v>
      </c>
      <c r="U998" t="s">
        <v>64</v>
      </c>
      <c r="V998" t="s">
        <v>3239</v>
      </c>
      <c r="W998" t="s">
        <v>1400</v>
      </c>
      <c r="X998">
        <v>7310</v>
      </c>
      <c r="Y998">
        <v>250</v>
      </c>
      <c r="Z998">
        <v>500</v>
      </c>
      <c r="AA998" t="s">
        <v>3240</v>
      </c>
    </row>
    <row r="999" spans="1:27" x14ac:dyDescent="0.2">
      <c r="A999">
        <v>3994</v>
      </c>
      <c r="B999" t="s">
        <v>799</v>
      </c>
      <c r="C999" t="str">
        <f>_xlfn.CONCAT(Merge[[#This Row],[Customer First Name]]," ",Merge[[#This Row],[Customer Last Name]])</f>
        <v>Elliot Shields</v>
      </c>
      <c r="D999" t="s">
        <v>998</v>
      </c>
      <c r="E999">
        <v>2225</v>
      </c>
      <c r="F999" t="s">
        <v>92</v>
      </c>
      <c r="G999" s="1">
        <v>45395</v>
      </c>
      <c r="H999">
        <v>3</v>
      </c>
      <c r="I999" t="s">
        <v>32</v>
      </c>
      <c r="J999" t="s">
        <v>33</v>
      </c>
      <c r="K999">
        <v>0.3</v>
      </c>
      <c r="L999">
        <v>331.5</v>
      </c>
      <c r="M999">
        <v>1105</v>
      </c>
      <c r="N999">
        <v>773.5</v>
      </c>
      <c r="O999" t="s">
        <v>114</v>
      </c>
      <c r="P999">
        <v>2225</v>
      </c>
      <c r="Q999" t="s">
        <v>92</v>
      </c>
      <c r="R999" s="1">
        <v>45395</v>
      </c>
      <c r="S999">
        <v>1</v>
      </c>
      <c r="T999" t="s">
        <v>32</v>
      </c>
      <c r="U999" t="s">
        <v>33</v>
      </c>
      <c r="V999" t="s">
        <v>3241</v>
      </c>
      <c r="W999" t="s">
        <v>1238</v>
      </c>
      <c r="X999">
        <v>6725</v>
      </c>
      <c r="Y999">
        <v>600</v>
      </c>
      <c r="Z999">
        <v>600</v>
      </c>
      <c r="AA999" t="s">
        <v>3242</v>
      </c>
    </row>
    <row r="1000" spans="1:27" x14ac:dyDescent="0.2">
      <c r="A1000">
        <v>3995</v>
      </c>
      <c r="B1000" t="s">
        <v>1227</v>
      </c>
      <c r="C1000" t="str">
        <f>_xlfn.CONCAT(Merge[[#This Row],[Customer First Name]]," ",Merge[[#This Row],[Customer Last Name]])</f>
        <v>Ezra Green</v>
      </c>
      <c r="D1000" t="s">
        <v>1215</v>
      </c>
      <c r="E1000">
        <v>2226</v>
      </c>
      <c r="F1000" t="s">
        <v>92</v>
      </c>
      <c r="G1000" s="1">
        <v>45319</v>
      </c>
      <c r="H1000">
        <v>3</v>
      </c>
      <c r="I1000" t="s">
        <v>32</v>
      </c>
      <c r="J1000" t="s">
        <v>43</v>
      </c>
      <c r="K1000">
        <v>0.3</v>
      </c>
      <c r="L1000">
        <v>64.5</v>
      </c>
      <c r="M1000">
        <v>215</v>
      </c>
      <c r="N1000">
        <v>150.5</v>
      </c>
      <c r="O1000" t="s">
        <v>48</v>
      </c>
      <c r="P1000">
        <v>2226</v>
      </c>
      <c r="Q1000" t="s">
        <v>92</v>
      </c>
      <c r="R1000" s="1">
        <v>45319</v>
      </c>
      <c r="S1000">
        <v>1</v>
      </c>
      <c r="T1000" t="s">
        <v>32</v>
      </c>
      <c r="U1000" t="s">
        <v>43</v>
      </c>
      <c r="V1000" t="s">
        <v>3243</v>
      </c>
      <c r="W1000" t="s">
        <v>1299</v>
      </c>
      <c r="X1000">
        <v>2500</v>
      </c>
      <c r="Y1000">
        <v>600</v>
      </c>
      <c r="Z1000">
        <v>600</v>
      </c>
      <c r="AA1000" t="s">
        <v>3244</v>
      </c>
    </row>
    <row r="1001" spans="1:27" x14ac:dyDescent="0.2">
      <c r="A1001">
        <v>3996</v>
      </c>
      <c r="B1001" t="s">
        <v>465</v>
      </c>
      <c r="C1001" t="str">
        <f>_xlfn.CONCAT(Merge[[#This Row],[Customer First Name]]," ",Merge[[#This Row],[Customer Last Name]])</f>
        <v>Crew Robbins</v>
      </c>
      <c r="D1001" t="s">
        <v>1228</v>
      </c>
      <c r="E1001">
        <v>2227</v>
      </c>
      <c r="F1001" t="s">
        <v>76</v>
      </c>
      <c r="G1001" s="1">
        <v>45640</v>
      </c>
      <c r="H1001">
        <v>3</v>
      </c>
      <c r="I1001" t="s">
        <v>52</v>
      </c>
      <c r="J1001" t="s">
        <v>53</v>
      </c>
      <c r="K1001">
        <v>0.25</v>
      </c>
      <c r="L1001">
        <v>466.25</v>
      </c>
      <c r="M1001">
        <v>1865</v>
      </c>
      <c r="N1001">
        <v>1398.75</v>
      </c>
      <c r="O1001" t="s">
        <v>48</v>
      </c>
      <c r="P1001">
        <v>2227</v>
      </c>
      <c r="Q1001" t="s">
        <v>76</v>
      </c>
      <c r="R1001" s="1">
        <v>45640</v>
      </c>
      <c r="S1001">
        <v>3</v>
      </c>
      <c r="T1001" t="s">
        <v>52</v>
      </c>
      <c r="U1001" t="s">
        <v>53</v>
      </c>
      <c r="V1001" t="s">
        <v>3245</v>
      </c>
      <c r="W1001" t="s">
        <v>1268</v>
      </c>
      <c r="X1001">
        <v>4870</v>
      </c>
      <c r="Y1001">
        <v>1200</v>
      </c>
      <c r="Z1001">
        <v>3600</v>
      </c>
      <c r="AA1001" t="s">
        <v>3246</v>
      </c>
    </row>
    <row r="1002" spans="1:27" x14ac:dyDescent="0.2">
      <c r="A1002">
        <v>3997</v>
      </c>
      <c r="B1002" t="s">
        <v>1229</v>
      </c>
      <c r="C1002" t="str">
        <f>_xlfn.CONCAT(Merge[[#This Row],[Customer First Name]]," ",Merge[[#This Row],[Customer Last Name]])</f>
        <v>Willow Salinas</v>
      </c>
      <c r="D1002" t="s">
        <v>1152</v>
      </c>
      <c r="E1002">
        <v>2228</v>
      </c>
      <c r="F1002" t="s">
        <v>92</v>
      </c>
      <c r="G1002" s="1">
        <v>45386</v>
      </c>
      <c r="H1002">
        <v>2</v>
      </c>
      <c r="I1002" t="s">
        <v>71</v>
      </c>
      <c r="J1002" t="s">
        <v>47</v>
      </c>
      <c r="K1002">
        <v>0.3</v>
      </c>
      <c r="L1002">
        <v>315</v>
      </c>
      <c r="M1002">
        <v>1050</v>
      </c>
      <c r="N1002">
        <v>735</v>
      </c>
      <c r="O1002" t="s">
        <v>34</v>
      </c>
      <c r="P1002">
        <v>2228</v>
      </c>
      <c r="Q1002" t="s">
        <v>92</v>
      </c>
      <c r="R1002" s="1">
        <v>45386</v>
      </c>
      <c r="S1002">
        <v>1</v>
      </c>
      <c r="T1002" t="s">
        <v>71</v>
      </c>
      <c r="U1002" t="s">
        <v>47</v>
      </c>
      <c r="V1002" t="s">
        <v>3247</v>
      </c>
      <c r="W1002" t="s">
        <v>1275</v>
      </c>
      <c r="X1002">
        <v>3000</v>
      </c>
      <c r="Y1002">
        <v>600</v>
      </c>
      <c r="Z1002">
        <v>600</v>
      </c>
      <c r="AA1002" t="s">
        <v>3248</v>
      </c>
    </row>
    <row r="1003" spans="1:27" x14ac:dyDescent="0.2">
      <c r="A1003">
        <v>3998</v>
      </c>
      <c r="B1003" t="s">
        <v>1230</v>
      </c>
      <c r="C1003" t="str">
        <f>_xlfn.CONCAT(Merge[[#This Row],[Customer First Name]]," ",Merge[[#This Row],[Customer Last Name]])</f>
        <v>Malachi Bond</v>
      </c>
      <c r="D1003" t="s">
        <v>551</v>
      </c>
      <c r="E1003">
        <v>2229</v>
      </c>
      <c r="F1003" t="s">
        <v>76</v>
      </c>
      <c r="G1003" s="1">
        <v>45467</v>
      </c>
      <c r="H1003">
        <v>3</v>
      </c>
      <c r="I1003" t="s">
        <v>52</v>
      </c>
      <c r="J1003" t="s">
        <v>33</v>
      </c>
      <c r="K1003">
        <v>0.25</v>
      </c>
      <c r="L1003">
        <v>264.75</v>
      </c>
      <c r="M1003">
        <v>1059</v>
      </c>
      <c r="N1003">
        <v>794.25</v>
      </c>
      <c r="O1003" t="s">
        <v>48</v>
      </c>
      <c r="P1003">
        <v>2229</v>
      </c>
      <c r="Q1003" t="s">
        <v>76</v>
      </c>
      <c r="R1003" s="1">
        <v>45467</v>
      </c>
      <c r="S1003">
        <v>3</v>
      </c>
      <c r="T1003" t="s">
        <v>52</v>
      </c>
      <c r="U1003" t="s">
        <v>33</v>
      </c>
      <c r="V1003" t="s">
        <v>3249</v>
      </c>
      <c r="W1003" t="s">
        <v>1238</v>
      </c>
      <c r="X1003">
        <v>6725</v>
      </c>
      <c r="Y1003">
        <v>1200</v>
      </c>
      <c r="Z1003">
        <v>3600</v>
      </c>
      <c r="AA1003" t="s">
        <v>3250</v>
      </c>
    </row>
    <row r="1004" spans="1:27" x14ac:dyDescent="0.2">
      <c r="A1004">
        <v>3999</v>
      </c>
      <c r="B1004" t="s">
        <v>1171</v>
      </c>
      <c r="C1004" t="str">
        <f>_xlfn.CONCAT(Merge[[#This Row],[Customer First Name]]," ",Merge[[#This Row],[Customer Last Name]])</f>
        <v>Patrick Willis</v>
      </c>
      <c r="D1004" t="s">
        <v>372</v>
      </c>
      <c r="E1004">
        <v>2230</v>
      </c>
      <c r="F1004" t="s">
        <v>76</v>
      </c>
      <c r="G1004" s="1">
        <v>45423</v>
      </c>
      <c r="H1004">
        <v>3</v>
      </c>
      <c r="I1004" t="s">
        <v>52</v>
      </c>
      <c r="J1004" t="s">
        <v>57</v>
      </c>
      <c r="K1004">
        <v>0.25</v>
      </c>
      <c r="L1004">
        <v>279</v>
      </c>
      <c r="M1004">
        <v>1116</v>
      </c>
      <c r="N1004">
        <v>837</v>
      </c>
      <c r="O1004" t="s">
        <v>44</v>
      </c>
      <c r="P1004">
        <v>2230</v>
      </c>
      <c r="Q1004" t="s">
        <v>76</v>
      </c>
      <c r="R1004" s="1">
        <v>45423</v>
      </c>
      <c r="S1004">
        <v>2</v>
      </c>
      <c r="T1004" t="s">
        <v>52</v>
      </c>
      <c r="U1004" t="s">
        <v>57</v>
      </c>
      <c r="V1004" t="s">
        <v>3251</v>
      </c>
      <c r="W1004" t="s">
        <v>1253</v>
      </c>
      <c r="X1004">
        <v>5290</v>
      </c>
      <c r="Y1004">
        <v>1200</v>
      </c>
      <c r="Z1004">
        <v>2400</v>
      </c>
      <c r="AA1004" t="s">
        <v>3252</v>
      </c>
    </row>
    <row r="1005" spans="1:27" x14ac:dyDescent="0.2">
      <c r="A1005">
        <v>4000</v>
      </c>
      <c r="B1005" t="s">
        <v>1231</v>
      </c>
      <c r="C1005" t="str">
        <f>_xlfn.CONCAT(Merge[[#This Row],[Customer First Name]]," ",Merge[[#This Row],[Customer Last Name]])</f>
        <v>Dallas Compton</v>
      </c>
      <c r="D1005" t="s">
        <v>1023</v>
      </c>
      <c r="E1005">
        <v>2231</v>
      </c>
      <c r="F1005" t="s">
        <v>51</v>
      </c>
      <c r="G1005" s="1">
        <v>45300</v>
      </c>
      <c r="H1005">
        <v>2</v>
      </c>
      <c r="I1005" t="s">
        <v>32</v>
      </c>
      <c r="J1005" t="s">
        <v>57</v>
      </c>
      <c r="K1005">
        <v>0.2</v>
      </c>
      <c r="L1005">
        <v>9.8000000000000007</v>
      </c>
      <c r="M1005">
        <v>49</v>
      </c>
      <c r="N1005">
        <v>39.200000000000003</v>
      </c>
      <c r="O1005" t="s">
        <v>54</v>
      </c>
      <c r="P1005">
        <v>2231</v>
      </c>
      <c r="Q1005" t="s">
        <v>51</v>
      </c>
      <c r="R1005" s="1">
        <v>45300</v>
      </c>
      <c r="S1005">
        <v>1</v>
      </c>
      <c r="T1005" t="s">
        <v>32</v>
      </c>
      <c r="U1005" t="s">
        <v>57</v>
      </c>
      <c r="V1005" t="s">
        <v>3253</v>
      </c>
      <c r="W1005" t="s">
        <v>1253</v>
      </c>
      <c r="X1005">
        <v>5290</v>
      </c>
      <c r="Y1005">
        <v>250</v>
      </c>
      <c r="Z1005">
        <v>250</v>
      </c>
      <c r="AA1005" t="s">
        <v>3254</v>
      </c>
    </row>
  </sheetData>
  <phoneticPr fontId="2" type="noConversion"/>
  <conditionalFormatting sqref="A1:A1048576">
    <cfRule type="duplicateValues" dxfId="0"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FB683-7E97-2B44-BFE6-012B70BA6825}">
  <dimension ref="A1:K18"/>
  <sheetViews>
    <sheetView showFormulas="1" zoomScale="139" zoomScaleNormal="139" workbookViewId="0">
      <selection activeCell="C21" sqref="C21"/>
    </sheetView>
  </sheetViews>
  <sheetFormatPr baseColWidth="10" defaultRowHeight="15" x14ac:dyDescent="0.2"/>
  <cols>
    <col min="1" max="1" width="6.1640625" bestFit="1" customWidth="1"/>
    <col min="2" max="2" width="8.6640625" customWidth="1"/>
    <col min="5" max="5" width="10.33203125" bestFit="1" customWidth="1"/>
    <col min="6" max="7" width="7.33203125" bestFit="1" customWidth="1"/>
    <col min="9" max="9" width="6.33203125" bestFit="1" customWidth="1"/>
    <col min="10" max="10" width="7.33203125" bestFit="1" customWidth="1"/>
    <col min="11" max="11" width="14.5" bestFit="1" customWidth="1"/>
    <col min="12" max="12" width="10.33203125" bestFit="1" customWidth="1"/>
    <col min="13" max="13" width="7.33203125" bestFit="1" customWidth="1"/>
    <col min="14" max="14" width="14.5" bestFit="1" customWidth="1"/>
    <col min="15" max="15" width="7.33203125" bestFit="1" customWidth="1"/>
    <col min="16" max="16" width="11.33203125" bestFit="1" customWidth="1"/>
    <col min="17" max="17" width="7.33203125" bestFit="1" customWidth="1"/>
  </cols>
  <sheetData>
    <row r="1" spans="1:11" x14ac:dyDescent="0.2">
      <c r="A1" s="7" t="s">
        <v>3266</v>
      </c>
      <c r="B1" t="s">
        <v>1</v>
      </c>
    </row>
    <row r="2" spans="1:11" x14ac:dyDescent="0.2">
      <c r="A2" s="10" t="s">
        <v>2</v>
      </c>
      <c r="B2" s="12">
        <v>74</v>
      </c>
    </row>
    <row r="3" spans="1:11" x14ac:dyDescent="0.2">
      <c r="A3" s="10" t="s">
        <v>3</v>
      </c>
      <c r="B3" s="12">
        <v>79</v>
      </c>
      <c r="D3" s="7" t="s">
        <v>3266</v>
      </c>
      <c r="E3" t="s">
        <v>1</v>
      </c>
      <c r="G3" s="7" t="s">
        <v>3266</v>
      </c>
      <c r="H3" t="s">
        <v>3289</v>
      </c>
      <c r="J3" s="7" t="s">
        <v>3266</v>
      </c>
      <c r="K3" t="s">
        <v>1</v>
      </c>
    </row>
    <row r="4" spans="1:11" x14ac:dyDescent="0.2">
      <c r="A4" s="10" t="s">
        <v>4</v>
      </c>
      <c r="B4" s="12">
        <v>95</v>
      </c>
      <c r="D4" s="10" t="s">
        <v>76</v>
      </c>
      <c r="E4" s="12">
        <v>266</v>
      </c>
      <c r="G4" s="10" t="s">
        <v>31</v>
      </c>
      <c r="H4" s="12">
        <v>143772</v>
      </c>
      <c r="J4" s="10" t="s">
        <v>71</v>
      </c>
      <c r="K4" s="12">
        <v>103</v>
      </c>
    </row>
    <row r="5" spans="1:11" x14ac:dyDescent="0.2">
      <c r="A5" s="10" t="s">
        <v>5</v>
      </c>
      <c r="B5" s="12">
        <v>73</v>
      </c>
      <c r="D5" s="10" t="s">
        <v>51</v>
      </c>
      <c r="E5" s="12">
        <v>158</v>
      </c>
      <c r="G5" s="10" t="s">
        <v>42</v>
      </c>
      <c r="H5" s="12">
        <v>136949</v>
      </c>
      <c r="J5" s="10" t="s">
        <v>32</v>
      </c>
      <c r="K5" s="12">
        <v>401</v>
      </c>
    </row>
    <row r="6" spans="1:11" x14ac:dyDescent="0.2">
      <c r="A6" s="10" t="s">
        <v>6</v>
      </c>
      <c r="B6" s="12">
        <v>77</v>
      </c>
      <c r="D6" s="10" t="s">
        <v>31</v>
      </c>
      <c r="E6" s="12">
        <v>153</v>
      </c>
      <c r="G6" s="10" t="s">
        <v>76</v>
      </c>
      <c r="H6" s="12">
        <v>225217</v>
      </c>
      <c r="J6" s="10" t="s">
        <v>38</v>
      </c>
      <c r="K6" s="12">
        <v>111</v>
      </c>
    </row>
    <row r="7" spans="1:11" x14ac:dyDescent="0.2">
      <c r="A7" s="10" t="s">
        <v>7</v>
      </c>
      <c r="B7" s="12">
        <v>82</v>
      </c>
      <c r="D7" s="10" t="s">
        <v>42</v>
      </c>
      <c r="E7" s="12">
        <v>151</v>
      </c>
      <c r="G7" s="10" t="s">
        <v>51</v>
      </c>
      <c r="H7" s="12">
        <v>139566</v>
      </c>
      <c r="J7" s="10" t="s">
        <v>52</v>
      </c>
      <c r="K7" s="12">
        <v>389</v>
      </c>
    </row>
    <row r="8" spans="1:11" x14ac:dyDescent="0.2">
      <c r="A8" s="10" t="s">
        <v>8</v>
      </c>
      <c r="B8" s="12">
        <v>87</v>
      </c>
      <c r="D8" s="10" t="s">
        <v>37</v>
      </c>
      <c r="E8" s="12">
        <v>140</v>
      </c>
      <c r="G8" s="10" t="s">
        <v>92</v>
      </c>
      <c r="H8" s="12">
        <v>127318</v>
      </c>
      <c r="J8" s="10" t="s">
        <v>14</v>
      </c>
      <c r="K8" s="12">
        <v>1004</v>
      </c>
    </row>
    <row r="9" spans="1:11" x14ac:dyDescent="0.2">
      <c r="A9" s="10" t="s">
        <v>9</v>
      </c>
      <c r="B9" s="12">
        <v>97</v>
      </c>
      <c r="D9" s="10" t="s">
        <v>92</v>
      </c>
      <c r="E9" s="12">
        <v>136</v>
      </c>
      <c r="G9" s="10" t="s">
        <v>37</v>
      </c>
      <c r="H9" s="12">
        <v>119318</v>
      </c>
    </row>
    <row r="10" spans="1:11" x14ac:dyDescent="0.2">
      <c r="A10" s="10" t="s">
        <v>10</v>
      </c>
      <c r="B10" s="12">
        <v>84</v>
      </c>
      <c r="D10" s="10" t="s">
        <v>14</v>
      </c>
      <c r="E10" s="12">
        <v>1004</v>
      </c>
      <c r="G10" s="10" t="s">
        <v>14</v>
      </c>
      <c r="H10" s="12">
        <v>892140</v>
      </c>
    </row>
    <row r="11" spans="1:11" x14ac:dyDescent="0.2">
      <c r="A11" s="10" t="s">
        <v>11</v>
      </c>
      <c r="B11" s="12">
        <v>80</v>
      </c>
    </row>
    <row r="12" spans="1:11" x14ac:dyDescent="0.2">
      <c r="A12" s="10" t="s">
        <v>12</v>
      </c>
      <c r="B12" s="12">
        <v>94</v>
      </c>
    </row>
    <row r="13" spans="1:11" x14ac:dyDescent="0.2">
      <c r="A13" s="10" t="s">
        <v>13</v>
      </c>
      <c r="B13" s="12">
        <v>82</v>
      </c>
    </row>
    <row r="14" spans="1:11" x14ac:dyDescent="0.2">
      <c r="A14" s="10" t="s">
        <v>14</v>
      </c>
      <c r="B14" s="12">
        <v>1004</v>
      </c>
    </row>
    <row r="17" spans="3:5" x14ac:dyDescent="0.2">
      <c r="C17" t="s">
        <v>3289</v>
      </c>
      <c r="D17" t="s">
        <v>3290</v>
      </c>
      <c r="E17" t="s">
        <v>1</v>
      </c>
    </row>
    <row r="18" spans="3:5" x14ac:dyDescent="0.2">
      <c r="C18" s="12">
        <v>892140</v>
      </c>
      <c r="D18" s="12">
        <v>685317.29999999981</v>
      </c>
      <c r="E18" s="12">
        <v>1004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CD0FF-63AD-7041-A82D-1090425565FE}">
  <dimension ref="S14:V45"/>
  <sheetViews>
    <sheetView showGridLines="0" workbookViewId="0">
      <selection activeCell="S1" sqref="S1:S1048576"/>
    </sheetView>
  </sheetViews>
  <sheetFormatPr baseColWidth="10" defaultColWidth="0" defaultRowHeight="15" x14ac:dyDescent="0.2"/>
  <cols>
    <col min="1" max="18" width="10.83203125" customWidth="1"/>
    <col min="19" max="19" width="1.83203125" style="13" customWidth="1"/>
    <col min="23" max="16384" width="10.83203125" hidden="1"/>
  </cols>
  <sheetData>
    <row r="14" spans="21:21" x14ac:dyDescent="0.2">
      <c r="U14">
        <f>Pivot_Tables!C18</f>
        <v>892140</v>
      </c>
    </row>
    <row r="16" spans="21:21" x14ac:dyDescent="0.2">
      <c r="U16">
        <f>Pivot_Tables!D18</f>
        <v>685317.29999999981</v>
      </c>
    </row>
    <row r="18" spans="20:21" x14ac:dyDescent="0.2">
      <c r="U18">
        <f>Pivot_Tables!E18</f>
        <v>1004</v>
      </c>
    </row>
    <row r="26" spans="20:21" x14ac:dyDescent="0.2">
      <c r="T26" t="s">
        <v>3292</v>
      </c>
    </row>
    <row r="27" spans="20:21" x14ac:dyDescent="0.2">
      <c r="T27" t="s">
        <v>3293</v>
      </c>
    </row>
    <row r="28" spans="20:21" x14ac:dyDescent="0.2">
      <c r="T28" t="s">
        <v>3294</v>
      </c>
    </row>
    <row r="33" spans="20:22" x14ac:dyDescent="0.2">
      <c r="T33">
        <v>1</v>
      </c>
    </row>
    <row r="34" spans="20:22" x14ac:dyDescent="0.2">
      <c r="T34" t="s">
        <v>2</v>
      </c>
      <c r="U34" t="s">
        <v>3295</v>
      </c>
      <c r="V34" t="s">
        <v>3302</v>
      </c>
    </row>
    <row r="35" spans="20:22" x14ac:dyDescent="0.2">
      <c r="T35" t="s">
        <v>3296</v>
      </c>
      <c r="U35" t="s">
        <v>3297</v>
      </c>
      <c r="V35" t="s">
        <v>3298</v>
      </c>
    </row>
    <row r="36" spans="20:22" x14ac:dyDescent="0.2">
      <c r="T36" t="s">
        <v>4</v>
      </c>
      <c r="U36" t="s">
        <v>3299</v>
      </c>
      <c r="V36" t="s">
        <v>3298</v>
      </c>
    </row>
    <row r="37" spans="20:22" x14ac:dyDescent="0.2">
      <c r="T37" t="s">
        <v>5</v>
      </c>
      <c r="U37" t="s">
        <v>3300</v>
      </c>
      <c r="V37" t="s">
        <v>3301</v>
      </c>
    </row>
    <row r="38" spans="20:22" x14ac:dyDescent="0.2">
      <c r="T38" t="s">
        <v>6</v>
      </c>
      <c r="U38" t="s">
        <v>3300</v>
      </c>
      <c r="V38" t="s">
        <v>3298</v>
      </c>
    </row>
    <row r="39" spans="20:22" x14ac:dyDescent="0.2">
      <c r="T39" t="s">
        <v>7</v>
      </c>
      <c r="U39" t="s">
        <v>3300</v>
      </c>
      <c r="V39" t="s">
        <v>3301</v>
      </c>
    </row>
    <row r="40" spans="20:22" x14ac:dyDescent="0.2">
      <c r="T40" t="s">
        <v>8</v>
      </c>
      <c r="U40" t="s">
        <v>3300</v>
      </c>
      <c r="V40" t="s">
        <v>3298</v>
      </c>
    </row>
    <row r="41" spans="20:22" x14ac:dyDescent="0.2">
      <c r="T41" t="s">
        <v>9</v>
      </c>
      <c r="U41" t="s">
        <v>3300</v>
      </c>
      <c r="V41" t="s">
        <v>3302</v>
      </c>
    </row>
    <row r="42" spans="20:22" x14ac:dyDescent="0.2">
      <c r="T42" t="s">
        <v>10</v>
      </c>
      <c r="U42" t="s">
        <v>3300</v>
      </c>
      <c r="V42" t="s">
        <v>3301</v>
      </c>
    </row>
    <row r="43" spans="20:22" x14ac:dyDescent="0.2">
      <c r="T43" t="s">
        <v>11</v>
      </c>
      <c r="U43" t="s">
        <v>3300</v>
      </c>
      <c r="V43" t="s">
        <v>3295</v>
      </c>
    </row>
    <row r="44" spans="20:22" x14ac:dyDescent="0.2">
      <c r="T44" t="s">
        <v>12</v>
      </c>
      <c r="U44" t="s">
        <v>3303</v>
      </c>
      <c r="V44" t="s">
        <v>3304</v>
      </c>
    </row>
    <row r="45" spans="20:22" x14ac:dyDescent="0.2">
      <c r="T45" t="s">
        <v>13</v>
      </c>
      <c r="U45" t="s">
        <v>3300</v>
      </c>
      <c r="V45" t="s">
        <v>3295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F084-7C3C-A744-B1D4-9C9C8E5B3A0C}">
  <dimension ref="A1:AA5"/>
  <sheetViews>
    <sheetView workbookViewId="0">
      <selection activeCell="A3" sqref="A3:AA5"/>
    </sheetView>
  </sheetViews>
  <sheetFormatPr baseColWidth="10" defaultRowHeight="15" x14ac:dyDescent="0.2"/>
  <cols>
    <col min="1" max="1" width="11" bestFit="1" customWidth="1"/>
    <col min="2" max="2" width="19.5" bestFit="1" customWidth="1"/>
    <col min="3" max="3" width="16" bestFit="1" customWidth="1"/>
    <col min="4" max="4" width="19.83203125" bestFit="1" customWidth="1"/>
    <col min="5" max="5" width="13.1640625" bestFit="1" customWidth="1"/>
    <col min="6" max="6" width="16.5" bestFit="1" customWidth="1"/>
    <col min="7" max="7" width="12.1640625" bestFit="1" customWidth="1"/>
    <col min="8" max="8" width="17.33203125" bestFit="1" customWidth="1"/>
    <col min="9" max="9" width="13.1640625" bestFit="1" customWidth="1"/>
    <col min="10" max="11" width="11" bestFit="1" customWidth="1"/>
    <col min="12" max="12" width="23.1640625" bestFit="1" customWidth="1"/>
    <col min="13" max="13" width="11.5" bestFit="1" customWidth="1"/>
    <col min="14" max="14" width="19.1640625" bestFit="1" customWidth="1"/>
    <col min="15" max="15" width="12.5" bestFit="1" customWidth="1"/>
    <col min="16" max="16" width="14.6640625" bestFit="1" customWidth="1"/>
    <col min="17" max="17" width="18" bestFit="1" customWidth="1"/>
    <col min="18" max="18" width="13.6640625" bestFit="1" customWidth="1"/>
    <col min="19" max="19" width="19" bestFit="1" customWidth="1"/>
    <col min="20" max="20" width="14.6640625" bestFit="1" customWidth="1"/>
    <col min="21" max="21" width="11" bestFit="1" customWidth="1"/>
    <col min="22" max="22" width="16.83203125" bestFit="1" customWidth="1"/>
    <col min="23" max="23" width="11" bestFit="1" customWidth="1"/>
    <col min="24" max="24" width="12.6640625" bestFit="1" customWidth="1"/>
    <col min="25" max="25" width="19.5" bestFit="1" customWidth="1"/>
    <col min="26" max="26" width="13" bestFit="1" customWidth="1"/>
    <col min="27" max="27" width="14" bestFit="1" customWidth="1"/>
  </cols>
  <sheetData>
    <row r="1" spans="1:27" x14ac:dyDescent="0.2">
      <c r="A1" s="9" t="s">
        <v>3291</v>
      </c>
    </row>
    <row r="3" spans="1:27" x14ac:dyDescent="0.2">
      <c r="A3" t="s">
        <v>15</v>
      </c>
      <c r="B3" t="s">
        <v>16</v>
      </c>
      <c r="C3" t="s">
        <v>3275</v>
      </c>
      <c r="D3" t="s">
        <v>17</v>
      </c>
      <c r="E3" t="s">
        <v>18</v>
      </c>
      <c r="F3" t="s">
        <v>19</v>
      </c>
      <c r="G3" t="s">
        <v>20</v>
      </c>
      <c r="H3" t="s">
        <v>21</v>
      </c>
      <c r="I3" t="s">
        <v>22</v>
      </c>
      <c r="J3" t="s">
        <v>23</v>
      </c>
      <c r="K3" t="s">
        <v>24</v>
      </c>
      <c r="L3" t="s">
        <v>25</v>
      </c>
      <c r="M3" t="s">
        <v>26</v>
      </c>
      <c r="N3" t="s">
        <v>27</v>
      </c>
      <c r="O3" t="s">
        <v>28</v>
      </c>
      <c r="P3" t="s">
        <v>3268</v>
      </c>
      <c r="Q3" t="s">
        <v>3269</v>
      </c>
      <c r="R3" t="s">
        <v>3270</v>
      </c>
      <c r="S3" t="s">
        <v>3271</v>
      </c>
      <c r="T3" t="s">
        <v>3272</v>
      </c>
      <c r="U3" t="s">
        <v>3273</v>
      </c>
      <c r="V3" t="s">
        <v>1232</v>
      </c>
      <c r="W3" t="s">
        <v>1233</v>
      </c>
      <c r="X3" t="s">
        <v>1234</v>
      </c>
      <c r="Y3" t="s">
        <v>1235</v>
      </c>
      <c r="Z3" t="s">
        <v>3274</v>
      </c>
      <c r="AA3" t="s">
        <v>1236</v>
      </c>
    </row>
    <row r="4" spans="1:27" x14ac:dyDescent="0.2">
      <c r="A4">
        <v>3916</v>
      </c>
      <c r="B4" t="s">
        <v>240</v>
      </c>
      <c r="C4" t="s">
        <v>3276</v>
      </c>
      <c r="D4" t="s">
        <v>1176</v>
      </c>
      <c r="E4">
        <v>2147</v>
      </c>
      <c r="F4" t="s">
        <v>31</v>
      </c>
      <c r="G4" s="1">
        <v>45647</v>
      </c>
      <c r="H4">
        <v>3</v>
      </c>
      <c r="I4" t="s">
        <v>52</v>
      </c>
      <c r="J4" t="s">
        <v>53</v>
      </c>
      <c r="K4">
        <v>0.1</v>
      </c>
      <c r="L4">
        <v>37</v>
      </c>
      <c r="M4">
        <v>370</v>
      </c>
      <c r="N4">
        <v>333</v>
      </c>
      <c r="O4" t="s">
        <v>44</v>
      </c>
      <c r="P4">
        <v>2147</v>
      </c>
      <c r="Q4" t="s">
        <v>31</v>
      </c>
      <c r="R4" s="1">
        <v>45647</v>
      </c>
      <c r="S4">
        <v>3</v>
      </c>
      <c r="T4" t="s">
        <v>52</v>
      </c>
      <c r="U4" t="s">
        <v>53</v>
      </c>
      <c r="V4" t="s">
        <v>3085</v>
      </c>
      <c r="W4" t="s">
        <v>1268</v>
      </c>
      <c r="X4">
        <v>4870</v>
      </c>
      <c r="Y4">
        <v>250</v>
      </c>
      <c r="Z4">
        <v>750</v>
      </c>
      <c r="AA4" t="s">
        <v>3086</v>
      </c>
    </row>
    <row r="5" spans="1:27" x14ac:dyDescent="0.2">
      <c r="A5">
        <v>3477</v>
      </c>
      <c r="B5" t="s">
        <v>765</v>
      </c>
      <c r="C5" t="s">
        <v>3288</v>
      </c>
      <c r="D5" t="s">
        <v>201</v>
      </c>
      <c r="E5">
        <v>1709</v>
      </c>
      <c r="F5" t="s">
        <v>31</v>
      </c>
      <c r="G5" s="1">
        <v>45636</v>
      </c>
      <c r="H5">
        <v>1</v>
      </c>
      <c r="I5" t="s">
        <v>32</v>
      </c>
      <c r="J5" t="s">
        <v>53</v>
      </c>
      <c r="K5">
        <v>0.1</v>
      </c>
      <c r="L5">
        <v>184.5</v>
      </c>
      <c r="M5">
        <v>1845</v>
      </c>
      <c r="N5">
        <v>1660.5</v>
      </c>
      <c r="O5" t="s">
        <v>44</v>
      </c>
      <c r="P5">
        <v>1709</v>
      </c>
      <c r="Q5" t="s">
        <v>31</v>
      </c>
      <c r="R5" s="1">
        <v>45636</v>
      </c>
      <c r="S5">
        <v>1</v>
      </c>
      <c r="T5" t="s">
        <v>32</v>
      </c>
      <c r="U5" t="s">
        <v>53</v>
      </c>
      <c r="V5" t="s">
        <v>2208</v>
      </c>
      <c r="W5" t="s">
        <v>1268</v>
      </c>
      <c r="X5">
        <v>4870</v>
      </c>
      <c r="Y5">
        <v>250</v>
      </c>
      <c r="Z5">
        <v>250</v>
      </c>
      <c r="AA5" t="s">
        <v>2209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6B73-2A2C-4716-846A-D3B13E5F824B}">
  <dimension ref="A1:C7"/>
  <sheetViews>
    <sheetView workbookViewId="0">
      <selection activeCell="C5" sqref="C5"/>
    </sheetView>
  </sheetViews>
  <sheetFormatPr baseColWidth="10" defaultColWidth="8.83203125" defaultRowHeight="15" x14ac:dyDescent="0.2"/>
  <cols>
    <col min="1" max="1" width="20.83203125" customWidth="1"/>
    <col min="2" max="2" width="12.33203125" customWidth="1"/>
  </cols>
  <sheetData>
    <row r="1" spans="1:3" ht="32" x14ac:dyDescent="0.2">
      <c r="A1" s="4" t="s">
        <v>3255</v>
      </c>
      <c r="B1" s="4" t="s">
        <v>3256</v>
      </c>
      <c r="C1" s="4" t="s">
        <v>3257</v>
      </c>
    </row>
    <row r="2" spans="1:3" ht="16" x14ac:dyDescent="0.2">
      <c r="A2" s="5" t="s">
        <v>92</v>
      </c>
      <c r="B2" s="5" t="s">
        <v>3258</v>
      </c>
      <c r="C2" s="5">
        <v>0.3</v>
      </c>
    </row>
    <row r="3" spans="1:3" ht="16" x14ac:dyDescent="0.2">
      <c r="A3" s="5" t="s">
        <v>31</v>
      </c>
      <c r="B3" s="5" t="s">
        <v>3259</v>
      </c>
      <c r="C3" s="5">
        <v>0.1</v>
      </c>
    </row>
    <row r="4" spans="1:3" ht="16" x14ac:dyDescent="0.2">
      <c r="A4" s="5" t="s">
        <v>51</v>
      </c>
      <c r="B4" s="5" t="s">
        <v>3259</v>
      </c>
      <c r="C4" s="5">
        <v>0.2</v>
      </c>
    </row>
    <row r="5" spans="1:3" ht="16" x14ac:dyDescent="0.2">
      <c r="A5" s="5" t="s">
        <v>37</v>
      </c>
      <c r="B5" s="5" t="s">
        <v>3260</v>
      </c>
      <c r="C5" s="5">
        <v>0.3</v>
      </c>
    </row>
    <row r="6" spans="1:3" ht="16" x14ac:dyDescent="0.2">
      <c r="A6" s="5" t="s">
        <v>3261</v>
      </c>
      <c r="B6" s="5" t="s">
        <v>3262</v>
      </c>
      <c r="C6" s="5">
        <v>0.25</v>
      </c>
    </row>
    <row r="7" spans="1:3" ht="16" x14ac:dyDescent="0.2">
      <c r="A7" s="5" t="s">
        <v>3263</v>
      </c>
      <c r="B7" s="5" t="s">
        <v>3264</v>
      </c>
      <c r="C7" s="5">
        <v>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c7576f-0a17-4153-96c3-e6b3b35b3899">
      <Terms xmlns="http://schemas.microsoft.com/office/infopath/2007/PartnerControls"/>
    </lcf76f155ced4ddcb4097134ff3c332f>
    <TaxCatchAll xmlns="2a996e9b-acda-4a2a-ae73-4af352302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7685B740EC79408259AE2BD0A2D92D" ma:contentTypeVersion="14" ma:contentTypeDescription="Create a new document." ma:contentTypeScope="" ma:versionID="8965030d3d3696b00e9e7ccc2a238f0a">
  <xsd:schema xmlns:xsd="http://www.w3.org/2001/XMLSchema" xmlns:xs="http://www.w3.org/2001/XMLSchema" xmlns:p="http://schemas.microsoft.com/office/2006/metadata/properties" xmlns:ns2="2a996e9b-acda-4a2a-ae73-4af3523026d5" xmlns:ns3="d1c7576f-0a17-4153-96c3-e6b3b35b3899" targetNamespace="http://schemas.microsoft.com/office/2006/metadata/properties" ma:root="true" ma:fieldsID="a53a9f2614c02a34469cb9fde7117d79" ns2:_="" ns3:_="">
    <xsd:import namespace="2a996e9b-acda-4a2a-ae73-4af3523026d5"/>
    <xsd:import namespace="d1c7576f-0a17-4153-96c3-e6b3b35b389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996e9b-acda-4a2a-ae73-4af3523026d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5e8017-cffe-4aae-9af1-34a75a593669}" ma:internalName="TaxCatchAll" ma:showField="CatchAllData" ma:web="2a996e9b-acda-4a2a-ae73-4af3523026d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1c7576f-0a17-4153-96c3-e6b3b35b389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9597f9d-be7c-4b7f-9930-bc8b121da82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E5EB6FB-C232-4CB3-AC77-E6C89607248E}">
  <ds:schemaRefs>
    <ds:schemaRef ds:uri="http://schemas.microsoft.com/office/2006/metadata/properties"/>
    <ds:schemaRef ds:uri="http://schemas.microsoft.com/office/infopath/2007/PartnerControls"/>
    <ds:schemaRef ds:uri="d1c7576f-0a17-4153-96c3-e6b3b35b3899"/>
    <ds:schemaRef ds:uri="2a996e9b-acda-4a2a-ae73-4af3523026d5"/>
  </ds:schemaRefs>
</ds:datastoreItem>
</file>

<file path=customXml/itemProps2.xml><?xml version="1.0" encoding="utf-8"?>
<ds:datastoreItem xmlns:ds="http://schemas.openxmlformats.org/officeDocument/2006/customXml" ds:itemID="{DB1EA191-B2DD-4E1D-B194-417B75183C3D}">
  <ds:schemaRefs>
    <ds:schemaRef ds:uri="http://schemas.microsoft.com/sharepoint/v3/contenttype/forms"/>
  </ds:schemaRefs>
</ds:datastoreItem>
</file>

<file path=customXml/itemProps3.xml><?xml version="1.0" encoding="utf-8"?>
<ds:datastoreItem xmlns:ds="http://schemas.openxmlformats.org/officeDocument/2006/customXml" ds:itemID="{8D551494-0282-4858-A2E0-0FBAB07F3C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996e9b-acda-4a2a-ae73-4af3523026d5"/>
    <ds:schemaRef ds:uri="d1c7576f-0a17-4153-96c3-e6b3b35b38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92FD28C-35F7-5B4E-9893-564E40CFE4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Sales_1</vt:lpstr>
      <vt:lpstr>Detail2</vt:lpstr>
      <vt:lpstr>Detail4</vt:lpstr>
      <vt:lpstr>Detail6</vt:lpstr>
      <vt:lpstr>Detail7</vt:lpstr>
      <vt:lpstr>Detail8</vt:lpstr>
      <vt:lpstr>Detail9</vt:lpstr>
      <vt:lpstr>Detail10</vt:lpstr>
      <vt:lpstr>Customers</vt:lpstr>
      <vt:lpstr>Sales_Cleaned_Data</vt:lpstr>
      <vt:lpstr>Pivot_Tables</vt:lpstr>
      <vt:lpstr>Dashboard</vt:lpstr>
      <vt:lpstr>Detail12</vt:lpstr>
      <vt:lpstr>Grad_Careers_Services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Johnson,Michelle</dc:creator>
  <cp:keywords/>
  <dc:description/>
  <cp:lastModifiedBy>HARISH THOTA</cp:lastModifiedBy>
  <cp:revision/>
  <dcterms:created xsi:type="dcterms:W3CDTF">2023-05-31T18:23:50Z</dcterms:created>
  <dcterms:modified xsi:type="dcterms:W3CDTF">2025-12-10T04:23:20Z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0x010100D37685B740EC79408259AE2BD0A2D92D</vt:lpwstr>
  </property>
  <property fmtid="{D5CDD505-2E9C-101B-9397-08002B2CF9AE}" pid="3" name="MediaServiceImageTags">
    <vt:lpwstr/>
  </property>
</Properties>
</file>